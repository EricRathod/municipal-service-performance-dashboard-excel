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OneDrive\Desktop\Project 1 Municipal Service Request Excel Dashboard\"/>
    </mc:Choice>
  </mc:AlternateContent>
  <xr:revisionPtr revIDLastSave="0" documentId="8_{1F07597F-73CA-45D1-A374-D8E5D4787D71}" xr6:coauthVersionLast="47" xr6:coauthVersionMax="47" xr10:uidLastSave="{00000000-0000-0000-0000-000000000000}"/>
  <bookViews>
    <workbookView xWindow="-108" yWindow="-108" windowWidth="23256" windowHeight="12456" firstSheet="1" activeTab="5" xr2:uid="{D3EE2066-1E80-46CA-9008-A0D2F7E0A8EF}"/>
  </bookViews>
  <sheets>
    <sheet name="Pivot_status" sheetId="8" r:id="rId1"/>
    <sheet name="RawData" sheetId="2" r:id="rId2"/>
    <sheet name="Summary" sheetId="3" r:id="rId3"/>
    <sheet name="Pivot Department" sheetId="5" r:id="rId4"/>
    <sheet name="Pivot Monthly" sheetId="7" r:id="rId5"/>
    <sheet name="Dashboard" sheetId="4" r:id="rId6"/>
  </sheets>
  <definedNames>
    <definedName name="ExternalData_1" localSheetId="1" hidden="1">RawData!$A$1:$Q$2001</definedName>
  </definedNames>
  <calcPr calcId="191029"/>
  <pivotCaches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  <c r="A5" i="4"/>
  <c r="J5" i="4"/>
  <c r="G5" i="4"/>
  <c r="G6" i="3"/>
  <c r="F10" i="3"/>
  <c r="E10" i="3"/>
  <c r="C10" i="3"/>
  <c r="G10" i="3" s="1"/>
  <c r="B10" i="3"/>
  <c r="D10" i="3" s="1"/>
  <c r="F9" i="3"/>
  <c r="E9" i="3"/>
  <c r="C9" i="3"/>
  <c r="G9" i="3" s="1"/>
  <c r="B9" i="3"/>
  <c r="D9" i="3" s="1"/>
  <c r="F8" i="3"/>
  <c r="E8" i="3"/>
  <c r="C8" i="3"/>
  <c r="G8" i="3" s="1"/>
  <c r="B8" i="3"/>
  <c r="D8" i="3" s="1"/>
  <c r="G7" i="3"/>
  <c r="F7" i="3"/>
  <c r="E7" i="3"/>
  <c r="D7" i="3"/>
  <c r="C7" i="3"/>
  <c r="B7" i="3"/>
  <c r="F6" i="3"/>
  <c r="E6" i="3"/>
  <c r="C6" i="3"/>
  <c r="B6" i="3"/>
  <c r="D6" i="3" s="1"/>
  <c r="B5" i="3"/>
  <c r="D5" i="3" s="1"/>
  <c r="G5" i="3"/>
  <c r="F5" i="3"/>
  <c r="E5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1E650-0E7A-4375-993C-EFECB09E80DE}" keepAlive="1" name="Query - municipal_service_requests_clean" description="Connection to the 'municipal_service_requests_clean' query in the workbook." type="5" refreshedVersion="8" background="1" saveData="1">
    <dbPr connection="Provider=Microsoft.Mashup.OleDb.1;Data Source=$Workbook$;Location=municipal_service_requests_clean;Extended Properties=&quot;&quot;" command="SELECT * FROM [municipal_service_requests_clean]"/>
  </connection>
</connections>
</file>

<file path=xl/sharedStrings.xml><?xml version="1.0" encoding="utf-8"?>
<sst xmlns="http://schemas.openxmlformats.org/spreadsheetml/2006/main" count="18067" uniqueCount="2092">
  <si>
    <t>Request ID</t>
  </si>
  <si>
    <t>Department</t>
  </si>
  <si>
    <t>Request Type</t>
  </si>
  <si>
    <t>Priority</t>
  </si>
  <si>
    <t>Status</t>
  </si>
  <si>
    <t>Ward</t>
  </si>
  <si>
    <t>Date Opened</t>
  </si>
  <si>
    <t>Date Closed</t>
  </si>
  <si>
    <t>Channel</t>
  </si>
  <si>
    <t>Citizen Satisfaction</t>
  </si>
  <si>
    <t>Resolution Days</t>
  </si>
  <si>
    <t>Target Days</t>
  </si>
  <si>
    <t>Resolved Within Target</t>
  </si>
  <si>
    <t>Opened Month</t>
  </si>
  <si>
    <t>Opened Year</t>
  </si>
  <si>
    <t>Opened Quarter</t>
  </si>
  <si>
    <t>Is Closed</t>
  </si>
  <si>
    <t>SR-2025-00001</t>
  </si>
  <si>
    <t>Transportation Services</t>
  </si>
  <si>
    <t>Streetlight Repair</t>
  </si>
  <si>
    <t>Low</t>
  </si>
  <si>
    <t>Closed</t>
  </si>
  <si>
    <t>Ward 5</t>
  </si>
  <si>
    <t>Web</t>
  </si>
  <si>
    <t>Yes</t>
  </si>
  <si>
    <t>SR-2025-00002</t>
  </si>
  <si>
    <t>By-law Enforcement</t>
  </si>
  <si>
    <t>Animal Complaint</t>
  </si>
  <si>
    <t>Phone</t>
  </si>
  <si>
    <t>SR-2025-00003</t>
  </si>
  <si>
    <t>Traffic Concern</t>
  </si>
  <si>
    <t>Ward 4</t>
  </si>
  <si>
    <t>Mobile App</t>
  </si>
  <si>
    <t>No</t>
  </si>
  <si>
    <t>SR-2025-00004</t>
  </si>
  <si>
    <t>Waste Management</t>
  </si>
  <si>
    <t>Recycling Issue</t>
  </si>
  <si>
    <t>Open</t>
  </si>
  <si>
    <t>Ward 1</t>
  </si>
  <si>
    <t>Email</t>
  </si>
  <si>
    <t>Pending</t>
  </si>
  <si>
    <t>SR-2025-00005</t>
  </si>
  <si>
    <t>Public Works</t>
  </si>
  <si>
    <t>Sidewalk Damage</t>
  </si>
  <si>
    <t>High</t>
  </si>
  <si>
    <t>SR-2025-00006</t>
  </si>
  <si>
    <t>SR-2025-00007</t>
  </si>
  <si>
    <t>Traffic Signal Issue</t>
  </si>
  <si>
    <t>In Progress</t>
  </si>
  <si>
    <t>SR-2025-00008</t>
  </si>
  <si>
    <t>Green Bin Issue</t>
  </si>
  <si>
    <t>Medium</t>
  </si>
  <si>
    <t>Ward 3</t>
  </si>
  <si>
    <t>SR-2025-00009</t>
  </si>
  <si>
    <t>Property Standards</t>
  </si>
  <si>
    <t>SR-2025-00010</t>
  </si>
  <si>
    <t>Road Sign Damage</t>
  </si>
  <si>
    <t>SR-2025-00011</t>
  </si>
  <si>
    <t>Water Services</t>
  </si>
  <si>
    <t>Sewer Backup</t>
  </si>
  <si>
    <t>SR-2025-00012</t>
  </si>
  <si>
    <t>Ward 2</t>
  </si>
  <si>
    <t>SR-2025-00013</t>
  </si>
  <si>
    <t>Parks and Recreation</t>
  </si>
  <si>
    <t>Park Equipment Damage</t>
  </si>
  <si>
    <t>SR-2025-00014</t>
  </si>
  <si>
    <t>SR-2025-00015</t>
  </si>
  <si>
    <t>Noise Complaint</t>
  </si>
  <si>
    <t>SR-2025-00016</t>
  </si>
  <si>
    <t>SR-2025-00017</t>
  </si>
  <si>
    <t>Water Leak</t>
  </si>
  <si>
    <t>Critical</t>
  </si>
  <si>
    <t>SR-2025-00018</t>
  </si>
  <si>
    <t>SR-2025-00019</t>
  </si>
  <si>
    <t>Tree Maintenance</t>
  </si>
  <si>
    <t>SR-2025-00020</t>
  </si>
  <si>
    <t>Road Damage</t>
  </si>
  <si>
    <t>SR-2025-00021</t>
  </si>
  <si>
    <t>SR-2025-00022</t>
  </si>
  <si>
    <t>SR-2025-00023</t>
  </si>
  <si>
    <t>SR-2025-00024</t>
  </si>
  <si>
    <t>Pothole Repair</t>
  </si>
  <si>
    <t>In Person</t>
  </si>
  <si>
    <t>SR-2025-00025</t>
  </si>
  <si>
    <t>Grass Cutting</t>
  </si>
  <si>
    <t>SR-2025-00026</t>
  </si>
  <si>
    <t>SR-2025-00027</t>
  </si>
  <si>
    <t>Snow Removal</t>
  </si>
  <si>
    <t>SR-2025-00028</t>
  </si>
  <si>
    <t>Trail Maintenance</t>
  </si>
  <si>
    <t>SR-2025-00029</t>
  </si>
  <si>
    <t>SR-2025-00030</t>
  </si>
  <si>
    <t>SR-2025-00031</t>
  </si>
  <si>
    <t>SR-2025-00032</t>
  </si>
  <si>
    <t>SR-2025-00033</t>
  </si>
  <si>
    <t>SR-2025-00034</t>
  </si>
  <si>
    <t>SR-2025-00035</t>
  </si>
  <si>
    <t>Illegal Dumping</t>
  </si>
  <si>
    <t>SR-2025-00036</t>
  </si>
  <si>
    <t>Missed Garbage Pickup</t>
  </si>
  <si>
    <t>SR-2025-00037</t>
  </si>
  <si>
    <t>SR-2025-00038</t>
  </si>
  <si>
    <t>SR-2025-00039</t>
  </si>
  <si>
    <t>SR-2025-00040</t>
  </si>
  <si>
    <t>SR-2025-00041</t>
  </si>
  <si>
    <t>SR-2025-00042</t>
  </si>
  <si>
    <t>SR-2025-00043</t>
  </si>
  <si>
    <t>SR-2025-00044</t>
  </si>
  <si>
    <t>Low Water Pressure</t>
  </si>
  <si>
    <t>SR-2025-00045</t>
  </si>
  <si>
    <t>SR-2025-00046</t>
  </si>
  <si>
    <t>SR-2025-00047</t>
  </si>
  <si>
    <t>SR-2025-00048</t>
  </si>
  <si>
    <t>SR-2025-00049</t>
  </si>
  <si>
    <t>SR-2025-00050</t>
  </si>
  <si>
    <t>SR-2025-00051</t>
  </si>
  <si>
    <t>SR-2025-00052</t>
  </si>
  <si>
    <t>SR-2025-00053</t>
  </si>
  <si>
    <t>SR-2025-00054</t>
  </si>
  <si>
    <t>SR-2025-00055</t>
  </si>
  <si>
    <t>SR-2025-00056</t>
  </si>
  <si>
    <t>SR-2025-00057</t>
  </si>
  <si>
    <t>SR-2025-00058</t>
  </si>
  <si>
    <t>Parking Complaint</t>
  </si>
  <si>
    <t>SR-2025-00059</t>
  </si>
  <si>
    <t>SR-2025-00060</t>
  </si>
  <si>
    <t>SR-2025-00061</t>
  </si>
  <si>
    <t>SR-2025-00062</t>
  </si>
  <si>
    <t>SR-2025-00063</t>
  </si>
  <si>
    <t>SR-2025-00064</t>
  </si>
  <si>
    <t>SR-2025-00065</t>
  </si>
  <si>
    <t>SR-2025-00066</t>
  </si>
  <si>
    <t>SR-2025-00067</t>
  </si>
  <si>
    <t>SR-2025-00068</t>
  </si>
  <si>
    <t>SR-2025-00069</t>
  </si>
  <si>
    <t>SR-2025-00070</t>
  </si>
  <si>
    <t>SR-2025-00071</t>
  </si>
  <si>
    <t>SR-2025-00072</t>
  </si>
  <si>
    <t>SR-2025-00073</t>
  </si>
  <si>
    <t>SR-2025-00074</t>
  </si>
  <si>
    <t>SR-2025-00075</t>
  </si>
  <si>
    <t>SR-2025-00076</t>
  </si>
  <si>
    <t>SR-2025-00077</t>
  </si>
  <si>
    <t>SR-2025-00078</t>
  </si>
  <si>
    <t>SR-2025-00079</t>
  </si>
  <si>
    <t>Water Quality Concern</t>
  </si>
  <si>
    <t>SR-2025-00080</t>
  </si>
  <si>
    <t>SR-2025-00081</t>
  </si>
  <si>
    <t>SR-2025-00082</t>
  </si>
  <si>
    <t>SR-2025-00083</t>
  </si>
  <si>
    <t>SR-2025-00084</t>
  </si>
  <si>
    <t>SR-2025-00085</t>
  </si>
  <si>
    <t>SR-2025-00086</t>
  </si>
  <si>
    <t>SR-2025-00087</t>
  </si>
  <si>
    <t>SR-2025-00088</t>
  </si>
  <si>
    <t>SR-2025-00089</t>
  </si>
  <si>
    <t>SR-2025-00090</t>
  </si>
  <si>
    <t>SR-2025-00091</t>
  </si>
  <si>
    <t>SR-2025-00092</t>
  </si>
  <si>
    <t>SR-2025-00093</t>
  </si>
  <si>
    <t>SR-2025-00094</t>
  </si>
  <si>
    <t>SR-2025-00095</t>
  </si>
  <si>
    <t>SR-2025-00096</t>
  </si>
  <si>
    <t>SR-2025-00097</t>
  </si>
  <si>
    <t>SR-2025-00098</t>
  </si>
  <si>
    <t>SR-2025-00099</t>
  </si>
  <si>
    <t>SR-2025-00100</t>
  </si>
  <si>
    <t>SR-2025-00101</t>
  </si>
  <si>
    <t>SR-2025-00102</t>
  </si>
  <si>
    <t>SR-2025-00103</t>
  </si>
  <si>
    <t>SR-2025-00104</t>
  </si>
  <si>
    <t>SR-2025-00105</t>
  </si>
  <si>
    <t>SR-2025-00106</t>
  </si>
  <si>
    <t>SR-2025-00107</t>
  </si>
  <si>
    <t>SR-2025-00108</t>
  </si>
  <si>
    <t>SR-2025-00109</t>
  </si>
  <si>
    <t>SR-2025-00110</t>
  </si>
  <si>
    <t>SR-2025-00111</t>
  </si>
  <si>
    <t>SR-2025-00112</t>
  </si>
  <si>
    <t>SR-2025-00113</t>
  </si>
  <si>
    <t>SR-2025-00114</t>
  </si>
  <si>
    <t>SR-2025-00115</t>
  </si>
  <si>
    <t>SR-2025-00116</t>
  </si>
  <si>
    <t>SR-2025-00117</t>
  </si>
  <si>
    <t>SR-2025-00118</t>
  </si>
  <si>
    <t>SR-2025-00119</t>
  </si>
  <si>
    <t>SR-2025-00120</t>
  </si>
  <si>
    <t>SR-2025-00121</t>
  </si>
  <si>
    <t>SR-2025-00122</t>
  </si>
  <si>
    <t>SR-2025-00123</t>
  </si>
  <si>
    <t>SR-2025-00124</t>
  </si>
  <si>
    <t>SR-2025-00125</t>
  </si>
  <si>
    <t>SR-2025-00126</t>
  </si>
  <si>
    <t>SR-2025-00127</t>
  </si>
  <si>
    <t>SR-2025-00128</t>
  </si>
  <si>
    <t>SR-2025-00129</t>
  </si>
  <si>
    <t>SR-2025-00130</t>
  </si>
  <si>
    <t>SR-2025-00131</t>
  </si>
  <si>
    <t>SR-2025-00132</t>
  </si>
  <si>
    <t>SR-2025-00133</t>
  </si>
  <si>
    <t>SR-2025-00134</t>
  </si>
  <si>
    <t>SR-2025-00135</t>
  </si>
  <si>
    <t>SR-2025-00136</t>
  </si>
  <si>
    <t>SR-2025-00137</t>
  </si>
  <si>
    <t>SR-2025-00138</t>
  </si>
  <si>
    <t>SR-2025-00139</t>
  </si>
  <si>
    <t>SR-2025-00140</t>
  </si>
  <si>
    <t>SR-2025-00141</t>
  </si>
  <si>
    <t>SR-2025-00142</t>
  </si>
  <si>
    <t>SR-2025-00143</t>
  </si>
  <si>
    <t>SR-2025-00144</t>
  </si>
  <si>
    <t>SR-2025-00145</t>
  </si>
  <si>
    <t>SR-2025-00146</t>
  </si>
  <si>
    <t>SR-2025-00147</t>
  </si>
  <si>
    <t>SR-2025-00148</t>
  </si>
  <si>
    <t>SR-2025-00149</t>
  </si>
  <si>
    <t>SR-2025-00150</t>
  </si>
  <si>
    <t>SR-2025-00151</t>
  </si>
  <si>
    <t>SR-2025-00152</t>
  </si>
  <si>
    <t>SR-2025-00153</t>
  </si>
  <si>
    <t>SR-2025-00154</t>
  </si>
  <si>
    <t>SR-2025-00155</t>
  </si>
  <si>
    <t>SR-2025-00156</t>
  </si>
  <si>
    <t>SR-2025-00157</t>
  </si>
  <si>
    <t>SR-2025-00158</t>
  </si>
  <si>
    <t>SR-2025-00159</t>
  </si>
  <si>
    <t>SR-2025-00160</t>
  </si>
  <si>
    <t>SR-2025-00161</t>
  </si>
  <si>
    <t>SR-2025-00162</t>
  </si>
  <si>
    <t>SR-2025-00163</t>
  </si>
  <si>
    <t>SR-2025-00164</t>
  </si>
  <si>
    <t>SR-2025-00165</t>
  </si>
  <si>
    <t>SR-2025-00166</t>
  </si>
  <si>
    <t>SR-2025-00167</t>
  </si>
  <si>
    <t>SR-2025-00168</t>
  </si>
  <si>
    <t>SR-2025-00169</t>
  </si>
  <si>
    <t>SR-2025-00170</t>
  </si>
  <si>
    <t>SR-2025-00171</t>
  </si>
  <si>
    <t>SR-2025-00172</t>
  </si>
  <si>
    <t>SR-2025-00173</t>
  </si>
  <si>
    <t>SR-2025-00174</t>
  </si>
  <si>
    <t>SR-2025-00175</t>
  </si>
  <si>
    <t>SR-2025-00176</t>
  </si>
  <si>
    <t>SR-2025-00177</t>
  </si>
  <si>
    <t>SR-2025-00178</t>
  </si>
  <si>
    <t>SR-2025-00179</t>
  </si>
  <si>
    <t>SR-2025-00180</t>
  </si>
  <si>
    <t>SR-2025-00181</t>
  </si>
  <si>
    <t>SR-2025-00182</t>
  </si>
  <si>
    <t>SR-2025-00183</t>
  </si>
  <si>
    <t>SR-2025-00184</t>
  </si>
  <si>
    <t>SR-2025-00185</t>
  </si>
  <si>
    <t>SR-2025-00186</t>
  </si>
  <si>
    <t>SR-2025-00187</t>
  </si>
  <si>
    <t>SR-2025-00188</t>
  </si>
  <si>
    <t>SR-2025-00189</t>
  </si>
  <si>
    <t>SR-2025-00190</t>
  </si>
  <si>
    <t>SR-2025-00191</t>
  </si>
  <si>
    <t>SR-2025-00192</t>
  </si>
  <si>
    <t>SR-2025-00193</t>
  </si>
  <si>
    <t>SR-2025-00194</t>
  </si>
  <si>
    <t>SR-2025-00195</t>
  </si>
  <si>
    <t>SR-2025-00196</t>
  </si>
  <si>
    <t>SR-2025-00197</t>
  </si>
  <si>
    <t>SR-2025-00198</t>
  </si>
  <si>
    <t>SR-2025-00199</t>
  </si>
  <si>
    <t>SR-2025-00200</t>
  </si>
  <si>
    <t>SR-2025-00201</t>
  </si>
  <si>
    <t>SR-2025-00202</t>
  </si>
  <si>
    <t>SR-2025-00203</t>
  </si>
  <si>
    <t>SR-2025-00204</t>
  </si>
  <si>
    <t>SR-2025-00205</t>
  </si>
  <si>
    <t>SR-2025-00206</t>
  </si>
  <si>
    <t>SR-2025-00207</t>
  </si>
  <si>
    <t>SR-2025-00208</t>
  </si>
  <si>
    <t>SR-2025-00209</t>
  </si>
  <si>
    <t>SR-2025-00210</t>
  </si>
  <si>
    <t>SR-2025-00211</t>
  </si>
  <si>
    <t>SR-2025-00212</t>
  </si>
  <si>
    <t>SR-2025-00213</t>
  </si>
  <si>
    <t>SR-2025-00214</t>
  </si>
  <si>
    <t>SR-2025-00215</t>
  </si>
  <si>
    <t>SR-2025-00216</t>
  </si>
  <si>
    <t>SR-2025-00217</t>
  </si>
  <si>
    <t>SR-2025-00218</t>
  </si>
  <si>
    <t>SR-2025-00219</t>
  </si>
  <si>
    <t>SR-2025-00220</t>
  </si>
  <si>
    <t>SR-2025-00221</t>
  </si>
  <si>
    <t>SR-2025-00222</t>
  </si>
  <si>
    <t>SR-2025-00223</t>
  </si>
  <si>
    <t>SR-2025-00224</t>
  </si>
  <si>
    <t>SR-2025-00225</t>
  </si>
  <si>
    <t>SR-2025-00226</t>
  </si>
  <si>
    <t>SR-2025-00227</t>
  </si>
  <si>
    <t>SR-2025-00228</t>
  </si>
  <si>
    <t>SR-2025-00229</t>
  </si>
  <si>
    <t>SR-2025-00230</t>
  </si>
  <si>
    <t>SR-2025-00231</t>
  </si>
  <si>
    <t>SR-2025-00232</t>
  </si>
  <si>
    <t>SR-2025-00233</t>
  </si>
  <si>
    <t>SR-2025-00234</t>
  </si>
  <si>
    <t>SR-2025-00235</t>
  </si>
  <si>
    <t>SR-2025-00236</t>
  </si>
  <si>
    <t>SR-2025-00237</t>
  </si>
  <si>
    <t>SR-2025-00238</t>
  </si>
  <si>
    <t>SR-2025-00239</t>
  </si>
  <si>
    <t>SR-2025-00240</t>
  </si>
  <si>
    <t>SR-2025-00241</t>
  </si>
  <si>
    <t>SR-2025-00242</t>
  </si>
  <si>
    <t>SR-2025-00243</t>
  </si>
  <si>
    <t>SR-2025-00244</t>
  </si>
  <si>
    <t>SR-2025-00245</t>
  </si>
  <si>
    <t>SR-2025-00246</t>
  </si>
  <si>
    <t>SR-2025-00247</t>
  </si>
  <si>
    <t>SR-2025-00248</t>
  </si>
  <si>
    <t>SR-2025-00249</t>
  </si>
  <si>
    <t>SR-2025-00250</t>
  </si>
  <si>
    <t>SR-2025-00251</t>
  </si>
  <si>
    <t>SR-2025-00252</t>
  </si>
  <si>
    <t>SR-2025-00253</t>
  </si>
  <si>
    <t>SR-2025-00254</t>
  </si>
  <si>
    <t>SR-2025-00255</t>
  </si>
  <si>
    <t>SR-2025-00256</t>
  </si>
  <si>
    <t>SR-2025-00257</t>
  </si>
  <si>
    <t>SR-2025-00258</t>
  </si>
  <si>
    <t>SR-2025-00259</t>
  </si>
  <si>
    <t>SR-2025-00260</t>
  </si>
  <si>
    <t>SR-2025-00261</t>
  </si>
  <si>
    <t>SR-2025-00262</t>
  </si>
  <si>
    <t>SR-2025-00263</t>
  </si>
  <si>
    <t>SR-2025-00264</t>
  </si>
  <si>
    <t>SR-2025-00265</t>
  </si>
  <si>
    <t>SR-2025-00266</t>
  </si>
  <si>
    <t>SR-2025-00267</t>
  </si>
  <si>
    <t>SR-2025-00268</t>
  </si>
  <si>
    <t>SR-2025-00269</t>
  </si>
  <si>
    <t>SR-2025-00270</t>
  </si>
  <si>
    <t>SR-2025-00271</t>
  </si>
  <si>
    <t>SR-2025-00272</t>
  </si>
  <si>
    <t>SR-2025-00273</t>
  </si>
  <si>
    <t>SR-2025-00274</t>
  </si>
  <si>
    <t>SR-2025-00275</t>
  </si>
  <si>
    <t>SR-2025-00276</t>
  </si>
  <si>
    <t>SR-2025-00277</t>
  </si>
  <si>
    <t>SR-2025-00278</t>
  </si>
  <si>
    <t>SR-2025-00279</t>
  </si>
  <si>
    <t>SR-2025-00280</t>
  </si>
  <si>
    <t>SR-2025-00281</t>
  </si>
  <si>
    <t>SR-2025-00282</t>
  </si>
  <si>
    <t>SR-2025-00283</t>
  </si>
  <si>
    <t>SR-2025-00284</t>
  </si>
  <si>
    <t>SR-2025-00285</t>
  </si>
  <si>
    <t>SR-2025-00286</t>
  </si>
  <si>
    <t>SR-2025-00287</t>
  </si>
  <si>
    <t>SR-2025-00288</t>
  </si>
  <si>
    <t>SR-2025-00289</t>
  </si>
  <si>
    <t>SR-2025-00290</t>
  </si>
  <si>
    <t>SR-2025-00291</t>
  </si>
  <si>
    <t>SR-2025-00292</t>
  </si>
  <si>
    <t>SR-2025-00293</t>
  </si>
  <si>
    <t>SR-2025-00294</t>
  </si>
  <si>
    <t>SR-2025-00295</t>
  </si>
  <si>
    <t>SR-2025-00296</t>
  </si>
  <si>
    <t>SR-2025-00297</t>
  </si>
  <si>
    <t>SR-2025-00298</t>
  </si>
  <si>
    <t>SR-2025-00299</t>
  </si>
  <si>
    <t>SR-2025-00300</t>
  </si>
  <si>
    <t>SR-2025-00301</t>
  </si>
  <si>
    <t>SR-2025-00302</t>
  </si>
  <si>
    <t>SR-2025-00303</t>
  </si>
  <si>
    <t>SR-2025-00304</t>
  </si>
  <si>
    <t>SR-2025-00305</t>
  </si>
  <si>
    <t>SR-2025-00306</t>
  </si>
  <si>
    <t>SR-2025-00307</t>
  </si>
  <si>
    <t>SR-2025-00308</t>
  </si>
  <si>
    <t>SR-2025-00309</t>
  </si>
  <si>
    <t>SR-2025-00310</t>
  </si>
  <si>
    <t>SR-2025-00311</t>
  </si>
  <si>
    <t>SR-2025-00312</t>
  </si>
  <si>
    <t>SR-2025-00313</t>
  </si>
  <si>
    <t>SR-2025-00314</t>
  </si>
  <si>
    <t>SR-2025-00315</t>
  </si>
  <si>
    <t>SR-2025-00316</t>
  </si>
  <si>
    <t>SR-2025-00317</t>
  </si>
  <si>
    <t>SR-2025-00318</t>
  </si>
  <si>
    <t>SR-2025-00319</t>
  </si>
  <si>
    <t>SR-2025-00320</t>
  </si>
  <si>
    <t>SR-2025-00321</t>
  </si>
  <si>
    <t>SR-2025-00322</t>
  </si>
  <si>
    <t>SR-2025-00323</t>
  </si>
  <si>
    <t>SR-2025-00324</t>
  </si>
  <si>
    <t>SR-2025-00325</t>
  </si>
  <si>
    <t>SR-2025-00326</t>
  </si>
  <si>
    <t>SR-2025-00327</t>
  </si>
  <si>
    <t>SR-2025-00328</t>
  </si>
  <si>
    <t>SR-2025-00329</t>
  </si>
  <si>
    <t>SR-2025-00330</t>
  </si>
  <si>
    <t>SR-2025-00331</t>
  </si>
  <si>
    <t>SR-2025-00332</t>
  </si>
  <si>
    <t>SR-2025-00333</t>
  </si>
  <si>
    <t>SR-2025-00334</t>
  </si>
  <si>
    <t>SR-2025-00335</t>
  </si>
  <si>
    <t>SR-2025-00336</t>
  </si>
  <si>
    <t>SR-2025-00337</t>
  </si>
  <si>
    <t>SR-2025-00338</t>
  </si>
  <si>
    <t>SR-2025-00339</t>
  </si>
  <si>
    <t>SR-2025-00340</t>
  </si>
  <si>
    <t>SR-2025-00341</t>
  </si>
  <si>
    <t>SR-2025-00342</t>
  </si>
  <si>
    <t>SR-2025-00343</t>
  </si>
  <si>
    <t>SR-2025-00344</t>
  </si>
  <si>
    <t>SR-2025-00345</t>
  </si>
  <si>
    <t>SR-2025-00346</t>
  </si>
  <si>
    <t>SR-2025-00347</t>
  </si>
  <si>
    <t>SR-2025-00348</t>
  </si>
  <si>
    <t>SR-2025-00349</t>
  </si>
  <si>
    <t>SR-2025-00350</t>
  </si>
  <si>
    <t>SR-2025-00351</t>
  </si>
  <si>
    <t>SR-2025-00352</t>
  </si>
  <si>
    <t>SR-2025-00353</t>
  </si>
  <si>
    <t>SR-2025-00354</t>
  </si>
  <si>
    <t>SR-2025-00355</t>
  </si>
  <si>
    <t>SR-2025-00356</t>
  </si>
  <si>
    <t>SR-2025-00357</t>
  </si>
  <si>
    <t>SR-2025-00358</t>
  </si>
  <si>
    <t>SR-2025-00359</t>
  </si>
  <si>
    <t>SR-2025-00360</t>
  </si>
  <si>
    <t>SR-2025-00361</t>
  </si>
  <si>
    <t>SR-2025-00362</t>
  </si>
  <si>
    <t>SR-2025-00363</t>
  </si>
  <si>
    <t>SR-2025-00364</t>
  </si>
  <si>
    <t>SR-2025-00365</t>
  </si>
  <si>
    <t>SR-2025-00366</t>
  </si>
  <si>
    <t>SR-2025-00367</t>
  </si>
  <si>
    <t>SR-2025-00368</t>
  </si>
  <si>
    <t>SR-2025-00369</t>
  </si>
  <si>
    <t>SR-2025-00370</t>
  </si>
  <si>
    <t>SR-2025-00371</t>
  </si>
  <si>
    <t>SR-2025-00372</t>
  </si>
  <si>
    <t>SR-2025-00373</t>
  </si>
  <si>
    <t>SR-2025-00374</t>
  </si>
  <si>
    <t>SR-2025-00375</t>
  </si>
  <si>
    <t>SR-2025-00376</t>
  </si>
  <si>
    <t>SR-2025-00377</t>
  </si>
  <si>
    <t>SR-2025-00378</t>
  </si>
  <si>
    <t>SR-2025-00379</t>
  </si>
  <si>
    <t>SR-2025-00380</t>
  </si>
  <si>
    <t>SR-2025-00381</t>
  </si>
  <si>
    <t>SR-2025-00382</t>
  </si>
  <si>
    <t>SR-2025-00383</t>
  </si>
  <si>
    <t>SR-2025-00384</t>
  </si>
  <si>
    <t>SR-2025-00385</t>
  </si>
  <si>
    <t>SR-2025-00386</t>
  </si>
  <si>
    <t>SR-2025-00387</t>
  </si>
  <si>
    <t>SR-2025-00388</t>
  </si>
  <si>
    <t>SR-2025-00389</t>
  </si>
  <si>
    <t>SR-2025-00390</t>
  </si>
  <si>
    <t>SR-2025-00391</t>
  </si>
  <si>
    <t>SR-2025-00392</t>
  </si>
  <si>
    <t>SR-2025-00393</t>
  </si>
  <si>
    <t>SR-2025-00394</t>
  </si>
  <si>
    <t>SR-2025-00395</t>
  </si>
  <si>
    <t>SR-2025-00396</t>
  </si>
  <si>
    <t>SR-2025-00397</t>
  </si>
  <si>
    <t>SR-2025-00398</t>
  </si>
  <si>
    <t>SR-2025-00399</t>
  </si>
  <si>
    <t>SR-2025-00400</t>
  </si>
  <si>
    <t>SR-2025-00401</t>
  </si>
  <si>
    <t>SR-2025-00402</t>
  </si>
  <si>
    <t>SR-2025-00403</t>
  </si>
  <si>
    <t>SR-2025-00404</t>
  </si>
  <si>
    <t>SR-2025-00405</t>
  </si>
  <si>
    <t>SR-2025-00406</t>
  </si>
  <si>
    <t>SR-2025-00407</t>
  </si>
  <si>
    <t>SR-2025-00408</t>
  </si>
  <si>
    <t>SR-2025-00409</t>
  </si>
  <si>
    <t>SR-2025-00410</t>
  </si>
  <si>
    <t>SR-2025-00411</t>
  </si>
  <si>
    <t>SR-2025-00412</t>
  </si>
  <si>
    <t>SR-2025-00413</t>
  </si>
  <si>
    <t>SR-2025-00414</t>
  </si>
  <si>
    <t>SR-2025-00415</t>
  </si>
  <si>
    <t>SR-2025-00416</t>
  </si>
  <si>
    <t>SR-2025-00417</t>
  </si>
  <si>
    <t>SR-2025-00418</t>
  </si>
  <si>
    <t>SR-2025-00419</t>
  </si>
  <si>
    <t>SR-2025-00420</t>
  </si>
  <si>
    <t>SR-2025-00421</t>
  </si>
  <si>
    <t>SR-2025-00422</t>
  </si>
  <si>
    <t>SR-2025-00423</t>
  </si>
  <si>
    <t>SR-2025-00424</t>
  </si>
  <si>
    <t>SR-2025-00425</t>
  </si>
  <si>
    <t>SR-2025-00426</t>
  </si>
  <si>
    <t>SR-2025-00427</t>
  </si>
  <si>
    <t>SR-2025-00428</t>
  </si>
  <si>
    <t>SR-2025-00429</t>
  </si>
  <si>
    <t>SR-2025-00430</t>
  </si>
  <si>
    <t>SR-2025-00431</t>
  </si>
  <si>
    <t>SR-2025-00432</t>
  </si>
  <si>
    <t>SR-2025-00433</t>
  </si>
  <si>
    <t>SR-2025-00434</t>
  </si>
  <si>
    <t>SR-2025-00435</t>
  </si>
  <si>
    <t>SR-2025-00436</t>
  </si>
  <si>
    <t>SR-2025-00437</t>
  </si>
  <si>
    <t>SR-2025-00438</t>
  </si>
  <si>
    <t>SR-2025-00439</t>
  </si>
  <si>
    <t>SR-2025-00440</t>
  </si>
  <si>
    <t>SR-2025-00441</t>
  </si>
  <si>
    <t>SR-2025-00442</t>
  </si>
  <si>
    <t>SR-2025-00443</t>
  </si>
  <si>
    <t>SR-2025-00444</t>
  </si>
  <si>
    <t>SR-2025-00445</t>
  </si>
  <si>
    <t>SR-2025-00446</t>
  </si>
  <si>
    <t>SR-2025-00447</t>
  </si>
  <si>
    <t>SR-2025-00448</t>
  </si>
  <si>
    <t>SR-2025-00449</t>
  </si>
  <si>
    <t>SR-2025-00450</t>
  </si>
  <si>
    <t>SR-2025-00451</t>
  </si>
  <si>
    <t>SR-2025-00452</t>
  </si>
  <si>
    <t>SR-2025-00453</t>
  </si>
  <si>
    <t>SR-2025-00454</t>
  </si>
  <si>
    <t>SR-2025-00455</t>
  </si>
  <si>
    <t>SR-2025-00456</t>
  </si>
  <si>
    <t>SR-2025-00457</t>
  </si>
  <si>
    <t>SR-2025-00458</t>
  </si>
  <si>
    <t>SR-2025-00459</t>
  </si>
  <si>
    <t>SR-2025-00460</t>
  </si>
  <si>
    <t>SR-2025-00461</t>
  </si>
  <si>
    <t>SR-2025-00462</t>
  </si>
  <si>
    <t>SR-2025-00463</t>
  </si>
  <si>
    <t>SR-2025-00464</t>
  </si>
  <si>
    <t>SR-2025-00465</t>
  </si>
  <si>
    <t>SR-2025-00466</t>
  </si>
  <si>
    <t>SR-2025-00467</t>
  </si>
  <si>
    <t>SR-2025-00468</t>
  </si>
  <si>
    <t>SR-2025-00469</t>
  </si>
  <si>
    <t>SR-2025-00470</t>
  </si>
  <si>
    <t>SR-2025-00471</t>
  </si>
  <si>
    <t>SR-2025-00472</t>
  </si>
  <si>
    <t>SR-2025-00473</t>
  </si>
  <si>
    <t>SR-2025-00474</t>
  </si>
  <si>
    <t>SR-2025-00475</t>
  </si>
  <si>
    <t>SR-2025-00476</t>
  </si>
  <si>
    <t>SR-2025-00477</t>
  </si>
  <si>
    <t>SR-2025-00478</t>
  </si>
  <si>
    <t>SR-2025-00479</t>
  </si>
  <si>
    <t>SR-2025-00480</t>
  </si>
  <si>
    <t>SR-2025-00481</t>
  </si>
  <si>
    <t>SR-2025-00482</t>
  </si>
  <si>
    <t>SR-2025-00483</t>
  </si>
  <si>
    <t>SR-2025-00484</t>
  </si>
  <si>
    <t>SR-2025-00485</t>
  </si>
  <si>
    <t>SR-2025-00486</t>
  </si>
  <si>
    <t>SR-2025-00487</t>
  </si>
  <si>
    <t>SR-2025-00488</t>
  </si>
  <si>
    <t>SR-2025-00489</t>
  </si>
  <si>
    <t>SR-2025-00490</t>
  </si>
  <si>
    <t>SR-2025-00491</t>
  </si>
  <si>
    <t>SR-2025-00492</t>
  </si>
  <si>
    <t>SR-2025-00493</t>
  </si>
  <si>
    <t>SR-2025-00494</t>
  </si>
  <si>
    <t>SR-2025-00495</t>
  </si>
  <si>
    <t>SR-2025-00496</t>
  </si>
  <si>
    <t>SR-2025-00497</t>
  </si>
  <si>
    <t>SR-2025-00498</t>
  </si>
  <si>
    <t>SR-2025-00499</t>
  </si>
  <si>
    <t>SR-2025-00500</t>
  </si>
  <si>
    <t>SR-2025-00501</t>
  </si>
  <si>
    <t>SR-2025-00502</t>
  </si>
  <si>
    <t>SR-2025-00503</t>
  </si>
  <si>
    <t>SR-2025-00504</t>
  </si>
  <si>
    <t>SR-2025-00505</t>
  </si>
  <si>
    <t>SR-2025-00506</t>
  </si>
  <si>
    <t>SR-2025-00507</t>
  </si>
  <si>
    <t>SR-2025-00508</t>
  </si>
  <si>
    <t>SR-2025-00509</t>
  </si>
  <si>
    <t>SR-2025-00510</t>
  </si>
  <si>
    <t>SR-2025-00511</t>
  </si>
  <si>
    <t>SR-2025-00512</t>
  </si>
  <si>
    <t>SR-2025-00513</t>
  </si>
  <si>
    <t>SR-2025-00514</t>
  </si>
  <si>
    <t>SR-2025-00515</t>
  </si>
  <si>
    <t>SR-2025-00516</t>
  </si>
  <si>
    <t>SR-2025-00517</t>
  </si>
  <si>
    <t>SR-2025-00518</t>
  </si>
  <si>
    <t>SR-2025-00519</t>
  </si>
  <si>
    <t>SR-2025-00520</t>
  </si>
  <si>
    <t>SR-2025-00521</t>
  </si>
  <si>
    <t>SR-2025-00522</t>
  </si>
  <si>
    <t>SR-2025-00523</t>
  </si>
  <si>
    <t>SR-2025-00524</t>
  </si>
  <si>
    <t>SR-2025-00525</t>
  </si>
  <si>
    <t>SR-2025-00526</t>
  </si>
  <si>
    <t>SR-2025-00527</t>
  </si>
  <si>
    <t>SR-2025-00528</t>
  </si>
  <si>
    <t>SR-2025-00529</t>
  </si>
  <si>
    <t>SR-2025-00530</t>
  </si>
  <si>
    <t>SR-2025-00531</t>
  </si>
  <si>
    <t>SR-2025-00532</t>
  </si>
  <si>
    <t>SR-2025-00533</t>
  </si>
  <si>
    <t>SR-2025-00534</t>
  </si>
  <si>
    <t>SR-2025-00535</t>
  </si>
  <si>
    <t>SR-2025-00536</t>
  </si>
  <si>
    <t>SR-2025-00537</t>
  </si>
  <si>
    <t>SR-2025-00538</t>
  </si>
  <si>
    <t>SR-2025-00539</t>
  </si>
  <si>
    <t>SR-2025-00540</t>
  </si>
  <si>
    <t>SR-2025-00541</t>
  </si>
  <si>
    <t>SR-2025-00542</t>
  </si>
  <si>
    <t>SR-2025-00543</t>
  </si>
  <si>
    <t>SR-2025-00544</t>
  </si>
  <si>
    <t>SR-2025-00545</t>
  </si>
  <si>
    <t>SR-2025-00546</t>
  </si>
  <si>
    <t>SR-2025-00547</t>
  </si>
  <si>
    <t>SR-2025-00548</t>
  </si>
  <si>
    <t>SR-2025-00549</t>
  </si>
  <si>
    <t>SR-2025-00550</t>
  </si>
  <si>
    <t>SR-2025-00551</t>
  </si>
  <si>
    <t>SR-2025-00552</t>
  </si>
  <si>
    <t>SR-2025-00553</t>
  </si>
  <si>
    <t>SR-2025-00554</t>
  </si>
  <si>
    <t>SR-2025-00555</t>
  </si>
  <si>
    <t>SR-2025-00556</t>
  </si>
  <si>
    <t>SR-2025-00557</t>
  </si>
  <si>
    <t>SR-2025-00558</t>
  </si>
  <si>
    <t>SR-2025-00559</t>
  </si>
  <si>
    <t>SR-2025-00560</t>
  </si>
  <si>
    <t>SR-2025-00561</t>
  </si>
  <si>
    <t>SR-2025-00562</t>
  </si>
  <si>
    <t>SR-2025-00563</t>
  </si>
  <si>
    <t>SR-2025-00564</t>
  </si>
  <si>
    <t>SR-2025-00565</t>
  </si>
  <si>
    <t>SR-2025-00566</t>
  </si>
  <si>
    <t>SR-2025-00567</t>
  </si>
  <si>
    <t>SR-2025-00568</t>
  </si>
  <si>
    <t>SR-2025-00569</t>
  </si>
  <si>
    <t>SR-2025-00570</t>
  </si>
  <si>
    <t>SR-2025-00571</t>
  </si>
  <si>
    <t>SR-2025-00572</t>
  </si>
  <si>
    <t>SR-2025-00573</t>
  </si>
  <si>
    <t>SR-2025-00574</t>
  </si>
  <si>
    <t>SR-2025-00575</t>
  </si>
  <si>
    <t>SR-2025-00576</t>
  </si>
  <si>
    <t>SR-2025-00577</t>
  </si>
  <si>
    <t>SR-2025-00578</t>
  </si>
  <si>
    <t>SR-2025-00579</t>
  </si>
  <si>
    <t>SR-2025-00580</t>
  </si>
  <si>
    <t>SR-2025-00581</t>
  </si>
  <si>
    <t>SR-2025-00582</t>
  </si>
  <si>
    <t>SR-2025-00583</t>
  </si>
  <si>
    <t>SR-2025-00584</t>
  </si>
  <si>
    <t>SR-2025-00585</t>
  </si>
  <si>
    <t>SR-2025-00586</t>
  </si>
  <si>
    <t>SR-2025-00587</t>
  </si>
  <si>
    <t>SR-2025-00588</t>
  </si>
  <si>
    <t>SR-2025-00589</t>
  </si>
  <si>
    <t>SR-2025-00590</t>
  </si>
  <si>
    <t>SR-2025-00591</t>
  </si>
  <si>
    <t>SR-2025-00592</t>
  </si>
  <si>
    <t>SR-2025-00593</t>
  </si>
  <si>
    <t>SR-2025-00594</t>
  </si>
  <si>
    <t>SR-2025-00595</t>
  </si>
  <si>
    <t>SR-2025-00596</t>
  </si>
  <si>
    <t>SR-2025-00597</t>
  </si>
  <si>
    <t>SR-2025-00598</t>
  </si>
  <si>
    <t>SR-2025-00599</t>
  </si>
  <si>
    <t>SR-2025-00600</t>
  </si>
  <si>
    <t>SR-2025-00601</t>
  </si>
  <si>
    <t>SR-2025-00602</t>
  </si>
  <si>
    <t>SR-2025-00603</t>
  </si>
  <si>
    <t>SR-2025-00604</t>
  </si>
  <si>
    <t>SR-2025-00605</t>
  </si>
  <si>
    <t>SR-2025-00606</t>
  </si>
  <si>
    <t>SR-2025-00607</t>
  </si>
  <si>
    <t>SR-2025-00608</t>
  </si>
  <si>
    <t>SR-2025-00609</t>
  </si>
  <si>
    <t>SR-2025-00610</t>
  </si>
  <si>
    <t>SR-2025-00611</t>
  </si>
  <si>
    <t>SR-2025-00612</t>
  </si>
  <si>
    <t>SR-2025-00613</t>
  </si>
  <si>
    <t>SR-2025-00614</t>
  </si>
  <si>
    <t>SR-2025-00615</t>
  </si>
  <si>
    <t>SR-2025-00616</t>
  </si>
  <si>
    <t>SR-2025-00617</t>
  </si>
  <si>
    <t>SR-2025-00618</t>
  </si>
  <si>
    <t>SR-2025-00619</t>
  </si>
  <si>
    <t>SR-2025-00620</t>
  </si>
  <si>
    <t>SR-2025-00621</t>
  </si>
  <si>
    <t>SR-2025-00622</t>
  </si>
  <si>
    <t>SR-2025-00623</t>
  </si>
  <si>
    <t>SR-2025-00624</t>
  </si>
  <si>
    <t>SR-2025-00625</t>
  </si>
  <si>
    <t>SR-2025-00626</t>
  </si>
  <si>
    <t>SR-2025-00627</t>
  </si>
  <si>
    <t>SR-2025-00628</t>
  </si>
  <si>
    <t>SR-2025-00629</t>
  </si>
  <si>
    <t>SR-2025-00630</t>
  </si>
  <si>
    <t>SR-2025-00631</t>
  </si>
  <si>
    <t>SR-2025-00632</t>
  </si>
  <si>
    <t>SR-2025-00633</t>
  </si>
  <si>
    <t>SR-2025-00634</t>
  </si>
  <si>
    <t>SR-2025-00635</t>
  </si>
  <si>
    <t>SR-2025-00636</t>
  </si>
  <si>
    <t>SR-2025-00637</t>
  </si>
  <si>
    <t>SR-2025-00638</t>
  </si>
  <si>
    <t>SR-2025-00639</t>
  </si>
  <si>
    <t>SR-2025-00640</t>
  </si>
  <si>
    <t>SR-2025-00641</t>
  </si>
  <si>
    <t>SR-2025-00642</t>
  </si>
  <si>
    <t>SR-2025-00643</t>
  </si>
  <si>
    <t>SR-2025-00644</t>
  </si>
  <si>
    <t>SR-2025-00645</t>
  </si>
  <si>
    <t>SR-2025-00646</t>
  </si>
  <si>
    <t>SR-2025-00647</t>
  </si>
  <si>
    <t>SR-2025-00648</t>
  </si>
  <si>
    <t>SR-2025-00649</t>
  </si>
  <si>
    <t>SR-2025-00650</t>
  </si>
  <si>
    <t>SR-2025-00651</t>
  </si>
  <si>
    <t>SR-2025-00652</t>
  </si>
  <si>
    <t>SR-2025-00653</t>
  </si>
  <si>
    <t>SR-2025-00654</t>
  </si>
  <si>
    <t>SR-2025-00655</t>
  </si>
  <si>
    <t>SR-2025-00656</t>
  </si>
  <si>
    <t>SR-2025-00657</t>
  </si>
  <si>
    <t>SR-2025-00658</t>
  </si>
  <si>
    <t>SR-2025-00659</t>
  </si>
  <si>
    <t>SR-2025-00660</t>
  </si>
  <si>
    <t>SR-2025-00661</t>
  </si>
  <si>
    <t>SR-2025-00662</t>
  </si>
  <si>
    <t>SR-2025-00663</t>
  </si>
  <si>
    <t>SR-2025-00664</t>
  </si>
  <si>
    <t>SR-2025-00665</t>
  </si>
  <si>
    <t>SR-2025-00666</t>
  </si>
  <si>
    <t>SR-2025-00667</t>
  </si>
  <si>
    <t>SR-2025-00668</t>
  </si>
  <si>
    <t>SR-2025-00669</t>
  </si>
  <si>
    <t>SR-2025-00670</t>
  </si>
  <si>
    <t>SR-2025-00671</t>
  </si>
  <si>
    <t>SR-2025-00672</t>
  </si>
  <si>
    <t>SR-2025-00673</t>
  </si>
  <si>
    <t>SR-2025-00674</t>
  </si>
  <si>
    <t>SR-2025-00675</t>
  </si>
  <si>
    <t>SR-2025-00676</t>
  </si>
  <si>
    <t>SR-2025-00677</t>
  </si>
  <si>
    <t>SR-2025-00678</t>
  </si>
  <si>
    <t>SR-2025-00679</t>
  </si>
  <si>
    <t>SR-2025-00680</t>
  </si>
  <si>
    <t>SR-2025-00681</t>
  </si>
  <si>
    <t>SR-2025-00682</t>
  </si>
  <si>
    <t>SR-2025-00683</t>
  </si>
  <si>
    <t>SR-2025-00684</t>
  </si>
  <si>
    <t>SR-2025-00685</t>
  </si>
  <si>
    <t>SR-2025-00686</t>
  </si>
  <si>
    <t>SR-2025-00687</t>
  </si>
  <si>
    <t>SR-2025-00688</t>
  </si>
  <si>
    <t>SR-2025-00689</t>
  </si>
  <si>
    <t>SR-2025-00690</t>
  </si>
  <si>
    <t>SR-2025-00691</t>
  </si>
  <si>
    <t>SR-2025-00692</t>
  </si>
  <si>
    <t>SR-2025-00693</t>
  </si>
  <si>
    <t>SR-2025-00694</t>
  </si>
  <si>
    <t>SR-2025-00695</t>
  </si>
  <si>
    <t>SR-2025-00696</t>
  </si>
  <si>
    <t>SR-2025-00697</t>
  </si>
  <si>
    <t>SR-2025-00698</t>
  </si>
  <si>
    <t>SR-2025-00699</t>
  </si>
  <si>
    <t>SR-2025-00700</t>
  </si>
  <si>
    <t>SR-2025-00701</t>
  </si>
  <si>
    <t>SR-2025-00702</t>
  </si>
  <si>
    <t>SR-2025-00703</t>
  </si>
  <si>
    <t>SR-2025-00704</t>
  </si>
  <si>
    <t>SR-2025-00705</t>
  </si>
  <si>
    <t>SR-2025-00706</t>
  </si>
  <si>
    <t>SR-2025-00707</t>
  </si>
  <si>
    <t>SR-2025-00708</t>
  </si>
  <si>
    <t>SR-2025-00709</t>
  </si>
  <si>
    <t>SR-2025-00710</t>
  </si>
  <si>
    <t>SR-2025-00711</t>
  </si>
  <si>
    <t>SR-2025-00712</t>
  </si>
  <si>
    <t>SR-2025-00713</t>
  </si>
  <si>
    <t>SR-2025-00714</t>
  </si>
  <si>
    <t>SR-2025-00715</t>
  </si>
  <si>
    <t>SR-2025-00716</t>
  </si>
  <si>
    <t>SR-2025-00717</t>
  </si>
  <si>
    <t>SR-2025-00718</t>
  </si>
  <si>
    <t>SR-2025-00719</t>
  </si>
  <si>
    <t>SR-2025-00720</t>
  </si>
  <si>
    <t>SR-2025-00721</t>
  </si>
  <si>
    <t>SR-2025-00722</t>
  </si>
  <si>
    <t>SR-2025-00723</t>
  </si>
  <si>
    <t>SR-2025-00724</t>
  </si>
  <si>
    <t>SR-2025-00725</t>
  </si>
  <si>
    <t>SR-2025-00726</t>
  </si>
  <si>
    <t>SR-2025-00727</t>
  </si>
  <si>
    <t>SR-2025-00728</t>
  </si>
  <si>
    <t>SR-2025-00729</t>
  </si>
  <si>
    <t>SR-2025-00730</t>
  </si>
  <si>
    <t>SR-2025-00731</t>
  </si>
  <si>
    <t>SR-2025-00732</t>
  </si>
  <si>
    <t>SR-2025-00733</t>
  </si>
  <si>
    <t>SR-2025-00734</t>
  </si>
  <si>
    <t>SR-2025-00735</t>
  </si>
  <si>
    <t>SR-2025-00736</t>
  </si>
  <si>
    <t>SR-2025-00737</t>
  </si>
  <si>
    <t>SR-2025-00738</t>
  </si>
  <si>
    <t>SR-2025-00739</t>
  </si>
  <si>
    <t>SR-2025-00740</t>
  </si>
  <si>
    <t>SR-2025-00741</t>
  </si>
  <si>
    <t>SR-2025-00742</t>
  </si>
  <si>
    <t>SR-2025-00743</t>
  </si>
  <si>
    <t>SR-2025-00744</t>
  </si>
  <si>
    <t>SR-2025-00745</t>
  </si>
  <si>
    <t>SR-2025-00746</t>
  </si>
  <si>
    <t>SR-2025-00747</t>
  </si>
  <si>
    <t>SR-2025-00748</t>
  </si>
  <si>
    <t>SR-2025-00749</t>
  </si>
  <si>
    <t>SR-2025-00750</t>
  </si>
  <si>
    <t>SR-2025-00751</t>
  </si>
  <si>
    <t>SR-2025-00752</t>
  </si>
  <si>
    <t>SR-2025-00753</t>
  </si>
  <si>
    <t>SR-2025-00754</t>
  </si>
  <si>
    <t>SR-2025-00755</t>
  </si>
  <si>
    <t>SR-2025-00756</t>
  </si>
  <si>
    <t>SR-2025-00757</t>
  </si>
  <si>
    <t>SR-2025-00758</t>
  </si>
  <si>
    <t>SR-2025-00759</t>
  </si>
  <si>
    <t>SR-2025-00760</t>
  </si>
  <si>
    <t>SR-2025-00761</t>
  </si>
  <si>
    <t>SR-2025-00762</t>
  </si>
  <si>
    <t>SR-2025-00763</t>
  </si>
  <si>
    <t>SR-2025-00764</t>
  </si>
  <si>
    <t>SR-2025-00765</t>
  </si>
  <si>
    <t>SR-2025-00766</t>
  </si>
  <si>
    <t>SR-2025-00767</t>
  </si>
  <si>
    <t>SR-2025-00768</t>
  </si>
  <si>
    <t>SR-2025-00769</t>
  </si>
  <si>
    <t>SR-2025-00770</t>
  </si>
  <si>
    <t>SR-2025-00771</t>
  </si>
  <si>
    <t>SR-2025-00772</t>
  </si>
  <si>
    <t>SR-2025-00773</t>
  </si>
  <si>
    <t>SR-2025-00774</t>
  </si>
  <si>
    <t>SR-2025-00775</t>
  </si>
  <si>
    <t>SR-2025-00776</t>
  </si>
  <si>
    <t>SR-2025-00777</t>
  </si>
  <si>
    <t>SR-2025-00778</t>
  </si>
  <si>
    <t>SR-2025-00779</t>
  </si>
  <si>
    <t>SR-2025-00780</t>
  </si>
  <si>
    <t>SR-2025-00781</t>
  </si>
  <si>
    <t>SR-2025-00782</t>
  </si>
  <si>
    <t>SR-2025-00783</t>
  </si>
  <si>
    <t>SR-2025-00784</t>
  </si>
  <si>
    <t>SR-2025-00785</t>
  </si>
  <si>
    <t>SR-2025-00786</t>
  </si>
  <si>
    <t>SR-2025-00787</t>
  </si>
  <si>
    <t>SR-2025-00788</t>
  </si>
  <si>
    <t>SR-2025-00789</t>
  </si>
  <si>
    <t>SR-2025-00790</t>
  </si>
  <si>
    <t>SR-2025-00791</t>
  </si>
  <si>
    <t>SR-2025-00792</t>
  </si>
  <si>
    <t>SR-2025-00793</t>
  </si>
  <si>
    <t>SR-2025-00794</t>
  </si>
  <si>
    <t>SR-2025-00795</t>
  </si>
  <si>
    <t>SR-2025-00796</t>
  </si>
  <si>
    <t>SR-2025-00797</t>
  </si>
  <si>
    <t>SR-2025-00798</t>
  </si>
  <si>
    <t>SR-2025-00799</t>
  </si>
  <si>
    <t>SR-2025-00800</t>
  </si>
  <si>
    <t>SR-2025-00801</t>
  </si>
  <si>
    <t>SR-2025-00802</t>
  </si>
  <si>
    <t>SR-2025-00803</t>
  </si>
  <si>
    <t>SR-2025-00804</t>
  </si>
  <si>
    <t>SR-2025-00805</t>
  </si>
  <si>
    <t>SR-2025-00806</t>
  </si>
  <si>
    <t>SR-2025-00807</t>
  </si>
  <si>
    <t>SR-2025-00808</t>
  </si>
  <si>
    <t>SR-2025-00809</t>
  </si>
  <si>
    <t>SR-2025-00810</t>
  </si>
  <si>
    <t>SR-2025-00811</t>
  </si>
  <si>
    <t>SR-2025-00812</t>
  </si>
  <si>
    <t>SR-2025-00813</t>
  </si>
  <si>
    <t>SR-2025-00814</t>
  </si>
  <si>
    <t>SR-2025-00815</t>
  </si>
  <si>
    <t>SR-2025-00816</t>
  </si>
  <si>
    <t>SR-2025-00817</t>
  </si>
  <si>
    <t>SR-2025-00818</t>
  </si>
  <si>
    <t>SR-2025-00819</t>
  </si>
  <si>
    <t>SR-2025-00820</t>
  </si>
  <si>
    <t>SR-2025-00821</t>
  </si>
  <si>
    <t>SR-2025-00822</t>
  </si>
  <si>
    <t>SR-2025-00823</t>
  </si>
  <si>
    <t>SR-2025-00824</t>
  </si>
  <si>
    <t>SR-2025-00825</t>
  </si>
  <si>
    <t>SR-2025-00826</t>
  </si>
  <si>
    <t>SR-2025-00827</t>
  </si>
  <si>
    <t>SR-2025-00828</t>
  </si>
  <si>
    <t>SR-2025-00829</t>
  </si>
  <si>
    <t>SR-2025-00830</t>
  </si>
  <si>
    <t>SR-2025-00831</t>
  </si>
  <si>
    <t>SR-2025-00832</t>
  </si>
  <si>
    <t>SR-2025-00833</t>
  </si>
  <si>
    <t>SR-2025-00834</t>
  </si>
  <si>
    <t>SR-2025-00835</t>
  </si>
  <si>
    <t>SR-2025-00836</t>
  </si>
  <si>
    <t>SR-2025-00837</t>
  </si>
  <si>
    <t>SR-2025-00838</t>
  </si>
  <si>
    <t>SR-2025-00839</t>
  </si>
  <si>
    <t>SR-2025-00840</t>
  </si>
  <si>
    <t>SR-2025-00841</t>
  </si>
  <si>
    <t>SR-2025-00842</t>
  </si>
  <si>
    <t>SR-2025-00843</t>
  </si>
  <si>
    <t>SR-2025-00844</t>
  </si>
  <si>
    <t>SR-2025-00845</t>
  </si>
  <si>
    <t>SR-2025-00846</t>
  </si>
  <si>
    <t>SR-2025-00847</t>
  </si>
  <si>
    <t>SR-2025-00848</t>
  </si>
  <si>
    <t>SR-2025-00849</t>
  </si>
  <si>
    <t>SR-2025-00850</t>
  </si>
  <si>
    <t>SR-2025-00851</t>
  </si>
  <si>
    <t>SR-2025-00852</t>
  </si>
  <si>
    <t>SR-2025-00853</t>
  </si>
  <si>
    <t>SR-2025-00854</t>
  </si>
  <si>
    <t>SR-2025-00855</t>
  </si>
  <si>
    <t>SR-2025-00856</t>
  </si>
  <si>
    <t>SR-2025-00857</t>
  </si>
  <si>
    <t>SR-2025-00858</t>
  </si>
  <si>
    <t>SR-2025-00859</t>
  </si>
  <si>
    <t>SR-2025-00860</t>
  </si>
  <si>
    <t>SR-2025-00861</t>
  </si>
  <si>
    <t>SR-2025-00862</t>
  </si>
  <si>
    <t>SR-2025-00863</t>
  </si>
  <si>
    <t>SR-2025-00864</t>
  </si>
  <si>
    <t>SR-2025-00865</t>
  </si>
  <si>
    <t>SR-2025-00866</t>
  </si>
  <si>
    <t>SR-2025-00867</t>
  </si>
  <si>
    <t>SR-2025-00868</t>
  </si>
  <si>
    <t>SR-2025-00869</t>
  </si>
  <si>
    <t>SR-2025-00870</t>
  </si>
  <si>
    <t>SR-2025-00871</t>
  </si>
  <si>
    <t>SR-2025-00872</t>
  </si>
  <si>
    <t>SR-2025-00873</t>
  </si>
  <si>
    <t>SR-2025-00874</t>
  </si>
  <si>
    <t>SR-2025-00875</t>
  </si>
  <si>
    <t>SR-2025-00876</t>
  </si>
  <si>
    <t>SR-2025-00877</t>
  </si>
  <si>
    <t>SR-2025-00878</t>
  </si>
  <si>
    <t>SR-2025-00879</t>
  </si>
  <si>
    <t>SR-2025-00880</t>
  </si>
  <si>
    <t>SR-2025-00881</t>
  </si>
  <si>
    <t>SR-2025-00882</t>
  </si>
  <si>
    <t>SR-2025-00883</t>
  </si>
  <si>
    <t>SR-2025-00884</t>
  </si>
  <si>
    <t>SR-2025-00885</t>
  </si>
  <si>
    <t>SR-2025-00886</t>
  </si>
  <si>
    <t>SR-2025-00887</t>
  </si>
  <si>
    <t>SR-2025-00888</t>
  </si>
  <si>
    <t>SR-2025-00889</t>
  </si>
  <si>
    <t>SR-2025-00890</t>
  </si>
  <si>
    <t>SR-2025-00891</t>
  </si>
  <si>
    <t>SR-2025-00892</t>
  </si>
  <si>
    <t>SR-2025-00893</t>
  </si>
  <si>
    <t>SR-2025-00894</t>
  </si>
  <si>
    <t>SR-2025-00895</t>
  </si>
  <si>
    <t>SR-2025-00896</t>
  </si>
  <si>
    <t>SR-2025-00897</t>
  </si>
  <si>
    <t>SR-2025-00898</t>
  </si>
  <si>
    <t>SR-2025-00899</t>
  </si>
  <si>
    <t>SR-2025-00900</t>
  </si>
  <si>
    <t>SR-2025-00901</t>
  </si>
  <si>
    <t>SR-2025-00902</t>
  </si>
  <si>
    <t>SR-2025-00903</t>
  </si>
  <si>
    <t>SR-2025-00904</t>
  </si>
  <si>
    <t>SR-2025-00905</t>
  </si>
  <si>
    <t>SR-2025-00906</t>
  </si>
  <si>
    <t>SR-2025-00907</t>
  </si>
  <si>
    <t>SR-2025-00908</t>
  </si>
  <si>
    <t>SR-2025-00909</t>
  </si>
  <si>
    <t>SR-2025-00910</t>
  </si>
  <si>
    <t>SR-2025-00911</t>
  </si>
  <si>
    <t>SR-2025-00912</t>
  </si>
  <si>
    <t>SR-2025-00913</t>
  </si>
  <si>
    <t>SR-2025-00914</t>
  </si>
  <si>
    <t>SR-2025-00915</t>
  </si>
  <si>
    <t>SR-2025-00916</t>
  </si>
  <si>
    <t>SR-2025-00917</t>
  </si>
  <si>
    <t>SR-2025-00918</t>
  </si>
  <si>
    <t>SR-2025-00919</t>
  </si>
  <si>
    <t>SR-2025-00920</t>
  </si>
  <si>
    <t>SR-2025-00921</t>
  </si>
  <si>
    <t>SR-2025-00922</t>
  </si>
  <si>
    <t>SR-2025-00923</t>
  </si>
  <si>
    <t>SR-2025-00924</t>
  </si>
  <si>
    <t>SR-2025-00925</t>
  </si>
  <si>
    <t>SR-2025-00926</t>
  </si>
  <si>
    <t>SR-2025-00927</t>
  </si>
  <si>
    <t>SR-2025-00928</t>
  </si>
  <si>
    <t>SR-2025-00929</t>
  </si>
  <si>
    <t>SR-2025-00930</t>
  </si>
  <si>
    <t>SR-2025-00931</t>
  </si>
  <si>
    <t>SR-2025-00932</t>
  </si>
  <si>
    <t>SR-2025-00933</t>
  </si>
  <si>
    <t>SR-2025-00934</t>
  </si>
  <si>
    <t>SR-2025-00935</t>
  </si>
  <si>
    <t>SR-2025-00936</t>
  </si>
  <si>
    <t>SR-2025-00937</t>
  </si>
  <si>
    <t>SR-2025-00938</t>
  </si>
  <si>
    <t>SR-2025-00939</t>
  </si>
  <si>
    <t>SR-2025-00940</t>
  </si>
  <si>
    <t>SR-2025-00941</t>
  </si>
  <si>
    <t>SR-2025-00942</t>
  </si>
  <si>
    <t>SR-2025-00943</t>
  </si>
  <si>
    <t>SR-2025-00944</t>
  </si>
  <si>
    <t>SR-2025-00945</t>
  </si>
  <si>
    <t>SR-2025-00946</t>
  </si>
  <si>
    <t>SR-2025-00947</t>
  </si>
  <si>
    <t>SR-2025-00948</t>
  </si>
  <si>
    <t>SR-2025-00949</t>
  </si>
  <si>
    <t>SR-2025-00950</t>
  </si>
  <si>
    <t>SR-2025-00951</t>
  </si>
  <si>
    <t>SR-2025-00952</t>
  </si>
  <si>
    <t>SR-2025-00953</t>
  </si>
  <si>
    <t>SR-2025-00954</t>
  </si>
  <si>
    <t>SR-2025-00955</t>
  </si>
  <si>
    <t>SR-2025-00956</t>
  </si>
  <si>
    <t>SR-2025-00957</t>
  </si>
  <si>
    <t>SR-2025-00958</t>
  </si>
  <si>
    <t>SR-2025-00959</t>
  </si>
  <si>
    <t>SR-2025-00960</t>
  </si>
  <si>
    <t>SR-2025-00961</t>
  </si>
  <si>
    <t>SR-2025-00962</t>
  </si>
  <si>
    <t>SR-2025-00963</t>
  </si>
  <si>
    <t>SR-2025-00964</t>
  </si>
  <si>
    <t>SR-2025-00965</t>
  </si>
  <si>
    <t>SR-2025-00966</t>
  </si>
  <si>
    <t>SR-2025-00967</t>
  </si>
  <si>
    <t>SR-2025-00968</t>
  </si>
  <si>
    <t>SR-2025-00969</t>
  </si>
  <si>
    <t>SR-2025-00970</t>
  </si>
  <si>
    <t>SR-2025-00971</t>
  </si>
  <si>
    <t>SR-2025-00972</t>
  </si>
  <si>
    <t>SR-2025-00973</t>
  </si>
  <si>
    <t>SR-2025-00974</t>
  </si>
  <si>
    <t>SR-2025-00975</t>
  </si>
  <si>
    <t>SR-2025-00976</t>
  </si>
  <si>
    <t>SR-2025-00977</t>
  </si>
  <si>
    <t>SR-2025-00978</t>
  </si>
  <si>
    <t>SR-2025-00979</t>
  </si>
  <si>
    <t>SR-2025-00980</t>
  </si>
  <si>
    <t>SR-2025-00981</t>
  </si>
  <si>
    <t>SR-2025-00982</t>
  </si>
  <si>
    <t>SR-2025-00983</t>
  </si>
  <si>
    <t>SR-2025-00984</t>
  </si>
  <si>
    <t>SR-2025-00985</t>
  </si>
  <si>
    <t>SR-2025-00986</t>
  </si>
  <si>
    <t>SR-2025-00987</t>
  </si>
  <si>
    <t>SR-2025-00988</t>
  </si>
  <si>
    <t>SR-2025-00989</t>
  </si>
  <si>
    <t>SR-2025-00990</t>
  </si>
  <si>
    <t>SR-2025-00991</t>
  </si>
  <si>
    <t>SR-2025-00992</t>
  </si>
  <si>
    <t>SR-2025-00993</t>
  </si>
  <si>
    <t>SR-2025-00994</t>
  </si>
  <si>
    <t>SR-2025-00995</t>
  </si>
  <si>
    <t>SR-2025-00996</t>
  </si>
  <si>
    <t>SR-2025-00997</t>
  </si>
  <si>
    <t>SR-2025-00998</t>
  </si>
  <si>
    <t>SR-2025-00999</t>
  </si>
  <si>
    <t>SR-2025-01000</t>
  </si>
  <si>
    <t>SR-2025-01001</t>
  </si>
  <si>
    <t>SR-2025-01002</t>
  </si>
  <si>
    <t>SR-2025-01003</t>
  </si>
  <si>
    <t>SR-2025-01004</t>
  </si>
  <si>
    <t>SR-2025-01005</t>
  </si>
  <si>
    <t>SR-2025-01006</t>
  </si>
  <si>
    <t>SR-2025-01007</t>
  </si>
  <si>
    <t>SR-2025-01008</t>
  </si>
  <si>
    <t>SR-2025-01009</t>
  </si>
  <si>
    <t>SR-2025-01010</t>
  </si>
  <si>
    <t>SR-2025-01011</t>
  </si>
  <si>
    <t>SR-2025-01012</t>
  </si>
  <si>
    <t>SR-2025-01013</t>
  </si>
  <si>
    <t>SR-2025-01014</t>
  </si>
  <si>
    <t>SR-2025-01015</t>
  </si>
  <si>
    <t>SR-2025-01016</t>
  </si>
  <si>
    <t>SR-2025-01017</t>
  </si>
  <si>
    <t>SR-2025-01018</t>
  </si>
  <si>
    <t>SR-2025-01019</t>
  </si>
  <si>
    <t>SR-2025-01020</t>
  </si>
  <si>
    <t>SR-2025-01021</t>
  </si>
  <si>
    <t>SR-2025-01022</t>
  </si>
  <si>
    <t>SR-2025-01023</t>
  </si>
  <si>
    <t>SR-2025-01024</t>
  </si>
  <si>
    <t>SR-2025-01025</t>
  </si>
  <si>
    <t>SR-2025-01026</t>
  </si>
  <si>
    <t>SR-2025-01027</t>
  </si>
  <si>
    <t>SR-2025-01028</t>
  </si>
  <si>
    <t>SR-2025-01029</t>
  </si>
  <si>
    <t>SR-2025-01030</t>
  </si>
  <si>
    <t>SR-2025-01031</t>
  </si>
  <si>
    <t>SR-2025-01032</t>
  </si>
  <si>
    <t>SR-2025-01033</t>
  </si>
  <si>
    <t>SR-2025-01034</t>
  </si>
  <si>
    <t>SR-2025-01035</t>
  </si>
  <si>
    <t>SR-2025-01036</t>
  </si>
  <si>
    <t>SR-2025-01037</t>
  </si>
  <si>
    <t>SR-2025-01038</t>
  </si>
  <si>
    <t>SR-2025-01039</t>
  </si>
  <si>
    <t>SR-2025-01040</t>
  </si>
  <si>
    <t>SR-2025-01041</t>
  </si>
  <si>
    <t>SR-2025-01042</t>
  </si>
  <si>
    <t>SR-2025-01043</t>
  </si>
  <si>
    <t>SR-2025-01044</t>
  </si>
  <si>
    <t>SR-2025-01045</t>
  </si>
  <si>
    <t>SR-2025-01046</t>
  </si>
  <si>
    <t>SR-2025-01047</t>
  </si>
  <si>
    <t>SR-2025-01048</t>
  </si>
  <si>
    <t>SR-2025-01049</t>
  </si>
  <si>
    <t>SR-2025-01050</t>
  </si>
  <si>
    <t>SR-2025-01051</t>
  </si>
  <si>
    <t>SR-2025-01052</t>
  </si>
  <si>
    <t>SR-2025-01053</t>
  </si>
  <si>
    <t>SR-2025-01054</t>
  </si>
  <si>
    <t>SR-2025-01055</t>
  </si>
  <si>
    <t>SR-2025-01056</t>
  </si>
  <si>
    <t>SR-2025-01057</t>
  </si>
  <si>
    <t>SR-2025-01058</t>
  </si>
  <si>
    <t>SR-2025-01059</t>
  </si>
  <si>
    <t>SR-2025-01060</t>
  </si>
  <si>
    <t>SR-2025-01061</t>
  </si>
  <si>
    <t>SR-2025-01062</t>
  </si>
  <si>
    <t>SR-2025-01063</t>
  </si>
  <si>
    <t>SR-2025-01064</t>
  </si>
  <si>
    <t>SR-2025-01065</t>
  </si>
  <si>
    <t>SR-2025-01066</t>
  </si>
  <si>
    <t>SR-2025-01067</t>
  </si>
  <si>
    <t>SR-2025-01068</t>
  </si>
  <si>
    <t>SR-2025-01069</t>
  </si>
  <si>
    <t>SR-2025-01070</t>
  </si>
  <si>
    <t>SR-2025-01071</t>
  </si>
  <si>
    <t>SR-2025-01072</t>
  </si>
  <si>
    <t>SR-2025-01073</t>
  </si>
  <si>
    <t>SR-2025-01074</t>
  </si>
  <si>
    <t>SR-2025-01075</t>
  </si>
  <si>
    <t>SR-2025-01076</t>
  </si>
  <si>
    <t>SR-2025-01077</t>
  </si>
  <si>
    <t>SR-2025-01078</t>
  </si>
  <si>
    <t>SR-2025-01079</t>
  </si>
  <si>
    <t>SR-2025-01080</t>
  </si>
  <si>
    <t>SR-2025-01081</t>
  </si>
  <si>
    <t>SR-2025-01082</t>
  </si>
  <si>
    <t>SR-2025-01083</t>
  </si>
  <si>
    <t>SR-2025-01084</t>
  </si>
  <si>
    <t>SR-2025-01085</t>
  </si>
  <si>
    <t>SR-2025-01086</t>
  </si>
  <si>
    <t>SR-2025-01087</t>
  </si>
  <si>
    <t>SR-2025-01088</t>
  </si>
  <si>
    <t>SR-2025-01089</t>
  </si>
  <si>
    <t>SR-2025-01090</t>
  </si>
  <si>
    <t>SR-2025-01091</t>
  </si>
  <si>
    <t>SR-2025-01092</t>
  </si>
  <si>
    <t>SR-2025-01093</t>
  </si>
  <si>
    <t>SR-2025-01094</t>
  </si>
  <si>
    <t>SR-2025-01095</t>
  </si>
  <si>
    <t>SR-2025-01096</t>
  </si>
  <si>
    <t>SR-2025-01097</t>
  </si>
  <si>
    <t>SR-2025-01098</t>
  </si>
  <si>
    <t>SR-2025-01099</t>
  </si>
  <si>
    <t>SR-2025-01100</t>
  </si>
  <si>
    <t>SR-2025-01101</t>
  </si>
  <si>
    <t>SR-2025-01102</t>
  </si>
  <si>
    <t>SR-2025-01103</t>
  </si>
  <si>
    <t>SR-2025-01104</t>
  </si>
  <si>
    <t>SR-2025-01105</t>
  </si>
  <si>
    <t>SR-2025-01106</t>
  </si>
  <si>
    <t>SR-2025-01107</t>
  </si>
  <si>
    <t>SR-2025-01108</t>
  </si>
  <si>
    <t>SR-2025-01109</t>
  </si>
  <si>
    <t>SR-2025-01110</t>
  </si>
  <si>
    <t>SR-2025-01111</t>
  </si>
  <si>
    <t>SR-2025-01112</t>
  </si>
  <si>
    <t>SR-2025-01113</t>
  </si>
  <si>
    <t>SR-2025-01114</t>
  </si>
  <si>
    <t>SR-2025-01115</t>
  </si>
  <si>
    <t>SR-2025-01116</t>
  </si>
  <si>
    <t>SR-2025-01117</t>
  </si>
  <si>
    <t>SR-2025-01118</t>
  </si>
  <si>
    <t>SR-2025-01119</t>
  </si>
  <si>
    <t>SR-2025-01120</t>
  </si>
  <si>
    <t>SR-2025-01121</t>
  </si>
  <si>
    <t>SR-2025-01122</t>
  </si>
  <si>
    <t>SR-2025-01123</t>
  </si>
  <si>
    <t>SR-2025-01124</t>
  </si>
  <si>
    <t>SR-2025-01125</t>
  </si>
  <si>
    <t>SR-2025-01126</t>
  </si>
  <si>
    <t>SR-2025-01127</t>
  </si>
  <si>
    <t>SR-2025-01128</t>
  </si>
  <si>
    <t>SR-2025-01129</t>
  </si>
  <si>
    <t>SR-2025-01130</t>
  </si>
  <si>
    <t>SR-2025-01131</t>
  </si>
  <si>
    <t>SR-2025-01132</t>
  </si>
  <si>
    <t>SR-2025-01133</t>
  </si>
  <si>
    <t>SR-2025-01134</t>
  </si>
  <si>
    <t>SR-2025-01135</t>
  </si>
  <si>
    <t>SR-2025-01136</t>
  </si>
  <si>
    <t>SR-2025-01137</t>
  </si>
  <si>
    <t>SR-2025-01138</t>
  </si>
  <si>
    <t>SR-2025-01139</t>
  </si>
  <si>
    <t>SR-2025-01140</t>
  </si>
  <si>
    <t>SR-2025-01141</t>
  </si>
  <si>
    <t>SR-2025-01142</t>
  </si>
  <si>
    <t>SR-2025-01143</t>
  </si>
  <si>
    <t>SR-2025-01144</t>
  </si>
  <si>
    <t>SR-2025-01145</t>
  </si>
  <si>
    <t>SR-2025-01146</t>
  </si>
  <si>
    <t>SR-2025-01147</t>
  </si>
  <si>
    <t>SR-2025-01148</t>
  </si>
  <si>
    <t>SR-2025-01149</t>
  </si>
  <si>
    <t>SR-2025-01150</t>
  </si>
  <si>
    <t>SR-2025-01151</t>
  </si>
  <si>
    <t>SR-2025-01152</t>
  </si>
  <si>
    <t>SR-2025-01153</t>
  </si>
  <si>
    <t>SR-2025-01154</t>
  </si>
  <si>
    <t>SR-2025-01155</t>
  </si>
  <si>
    <t>SR-2025-01156</t>
  </si>
  <si>
    <t>SR-2025-01157</t>
  </si>
  <si>
    <t>SR-2025-01158</t>
  </si>
  <si>
    <t>SR-2025-01159</t>
  </si>
  <si>
    <t>SR-2025-01160</t>
  </si>
  <si>
    <t>SR-2025-01161</t>
  </si>
  <si>
    <t>SR-2025-01162</t>
  </si>
  <si>
    <t>SR-2025-01163</t>
  </si>
  <si>
    <t>SR-2025-01164</t>
  </si>
  <si>
    <t>SR-2025-01165</t>
  </si>
  <si>
    <t>SR-2025-01166</t>
  </si>
  <si>
    <t>SR-2025-01167</t>
  </si>
  <si>
    <t>SR-2025-01168</t>
  </si>
  <si>
    <t>SR-2025-01169</t>
  </si>
  <si>
    <t>SR-2025-01170</t>
  </si>
  <si>
    <t>SR-2025-01171</t>
  </si>
  <si>
    <t>SR-2025-01172</t>
  </si>
  <si>
    <t>SR-2025-01173</t>
  </si>
  <si>
    <t>SR-2025-01174</t>
  </si>
  <si>
    <t>SR-2025-01175</t>
  </si>
  <si>
    <t>SR-2025-01176</t>
  </si>
  <si>
    <t>SR-2025-01177</t>
  </si>
  <si>
    <t>SR-2025-01178</t>
  </si>
  <si>
    <t>SR-2025-01179</t>
  </si>
  <si>
    <t>SR-2025-01180</t>
  </si>
  <si>
    <t>SR-2025-01181</t>
  </si>
  <si>
    <t>SR-2025-01182</t>
  </si>
  <si>
    <t>SR-2025-01183</t>
  </si>
  <si>
    <t>SR-2025-01184</t>
  </si>
  <si>
    <t>SR-2025-01185</t>
  </si>
  <si>
    <t>SR-2025-01186</t>
  </si>
  <si>
    <t>SR-2025-01187</t>
  </si>
  <si>
    <t>SR-2025-01188</t>
  </si>
  <si>
    <t>SR-2025-01189</t>
  </si>
  <si>
    <t>SR-2025-01190</t>
  </si>
  <si>
    <t>SR-2025-01191</t>
  </si>
  <si>
    <t>SR-2025-01192</t>
  </si>
  <si>
    <t>SR-2025-01193</t>
  </si>
  <si>
    <t>SR-2025-01194</t>
  </si>
  <si>
    <t>SR-2025-01195</t>
  </si>
  <si>
    <t>SR-2025-01196</t>
  </si>
  <si>
    <t>SR-2025-01197</t>
  </si>
  <si>
    <t>SR-2025-01198</t>
  </si>
  <si>
    <t>SR-2025-01199</t>
  </si>
  <si>
    <t>SR-2025-01200</t>
  </si>
  <si>
    <t>SR-2025-01201</t>
  </si>
  <si>
    <t>SR-2025-01202</t>
  </si>
  <si>
    <t>SR-2025-01203</t>
  </si>
  <si>
    <t>SR-2025-01204</t>
  </si>
  <si>
    <t>SR-2025-01205</t>
  </si>
  <si>
    <t>SR-2025-01206</t>
  </si>
  <si>
    <t>SR-2025-01207</t>
  </si>
  <si>
    <t>SR-2025-01208</t>
  </si>
  <si>
    <t>SR-2025-01209</t>
  </si>
  <si>
    <t>SR-2025-01210</t>
  </si>
  <si>
    <t>SR-2025-01211</t>
  </si>
  <si>
    <t>SR-2025-01212</t>
  </si>
  <si>
    <t>SR-2025-01213</t>
  </si>
  <si>
    <t>SR-2025-01214</t>
  </si>
  <si>
    <t>SR-2025-01215</t>
  </si>
  <si>
    <t>SR-2025-01216</t>
  </si>
  <si>
    <t>SR-2025-01217</t>
  </si>
  <si>
    <t>SR-2025-01218</t>
  </si>
  <si>
    <t>SR-2025-01219</t>
  </si>
  <si>
    <t>SR-2025-01220</t>
  </si>
  <si>
    <t>SR-2025-01221</t>
  </si>
  <si>
    <t>SR-2025-01222</t>
  </si>
  <si>
    <t>SR-2025-01223</t>
  </si>
  <si>
    <t>SR-2025-01224</t>
  </si>
  <si>
    <t>SR-2025-01225</t>
  </si>
  <si>
    <t>SR-2025-01226</t>
  </si>
  <si>
    <t>SR-2025-01227</t>
  </si>
  <si>
    <t>SR-2025-01228</t>
  </si>
  <si>
    <t>SR-2025-01229</t>
  </si>
  <si>
    <t>SR-2025-01230</t>
  </si>
  <si>
    <t>SR-2025-01231</t>
  </si>
  <si>
    <t>SR-2025-01232</t>
  </si>
  <si>
    <t>SR-2025-01233</t>
  </si>
  <si>
    <t>SR-2025-01234</t>
  </si>
  <si>
    <t>SR-2025-01235</t>
  </si>
  <si>
    <t>SR-2025-01236</t>
  </si>
  <si>
    <t>SR-2025-01237</t>
  </si>
  <si>
    <t>SR-2025-01238</t>
  </si>
  <si>
    <t>SR-2025-01239</t>
  </si>
  <si>
    <t>SR-2025-01240</t>
  </si>
  <si>
    <t>SR-2025-01241</t>
  </si>
  <si>
    <t>SR-2025-01242</t>
  </si>
  <si>
    <t>SR-2025-01243</t>
  </si>
  <si>
    <t>SR-2025-01244</t>
  </si>
  <si>
    <t>SR-2025-01245</t>
  </si>
  <si>
    <t>SR-2025-01246</t>
  </si>
  <si>
    <t>SR-2025-01247</t>
  </si>
  <si>
    <t>SR-2025-01248</t>
  </si>
  <si>
    <t>SR-2025-01249</t>
  </si>
  <si>
    <t>SR-2025-01250</t>
  </si>
  <si>
    <t>SR-2025-01251</t>
  </si>
  <si>
    <t>SR-2025-01252</t>
  </si>
  <si>
    <t>SR-2025-01253</t>
  </si>
  <si>
    <t>SR-2025-01254</t>
  </si>
  <si>
    <t>SR-2025-01255</t>
  </si>
  <si>
    <t>SR-2025-01256</t>
  </si>
  <si>
    <t>SR-2025-01257</t>
  </si>
  <si>
    <t>SR-2025-01258</t>
  </si>
  <si>
    <t>SR-2025-01259</t>
  </si>
  <si>
    <t>SR-2025-01260</t>
  </si>
  <si>
    <t>SR-2025-01261</t>
  </si>
  <si>
    <t>SR-2025-01262</t>
  </si>
  <si>
    <t>SR-2025-01263</t>
  </si>
  <si>
    <t>SR-2025-01264</t>
  </si>
  <si>
    <t>SR-2025-01265</t>
  </si>
  <si>
    <t>SR-2025-01266</t>
  </si>
  <si>
    <t>SR-2025-01267</t>
  </si>
  <si>
    <t>SR-2025-01268</t>
  </si>
  <si>
    <t>SR-2025-01269</t>
  </si>
  <si>
    <t>SR-2025-01270</t>
  </si>
  <si>
    <t>SR-2025-01271</t>
  </si>
  <si>
    <t>SR-2025-01272</t>
  </si>
  <si>
    <t>SR-2025-01273</t>
  </si>
  <si>
    <t>SR-2025-01274</t>
  </si>
  <si>
    <t>SR-2025-01275</t>
  </si>
  <si>
    <t>SR-2025-01276</t>
  </si>
  <si>
    <t>SR-2025-01277</t>
  </si>
  <si>
    <t>SR-2025-01278</t>
  </si>
  <si>
    <t>SR-2025-01279</t>
  </si>
  <si>
    <t>SR-2025-01280</t>
  </si>
  <si>
    <t>SR-2025-01281</t>
  </si>
  <si>
    <t>SR-2025-01282</t>
  </si>
  <si>
    <t>SR-2025-01283</t>
  </si>
  <si>
    <t>SR-2025-01284</t>
  </si>
  <si>
    <t>SR-2025-01285</t>
  </si>
  <si>
    <t>SR-2025-01286</t>
  </si>
  <si>
    <t>SR-2025-01287</t>
  </si>
  <si>
    <t>SR-2025-01288</t>
  </si>
  <si>
    <t>SR-2025-01289</t>
  </si>
  <si>
    <t>SR-2025-01290</t>
  </si>
  <si>
    <t>SR-2025-01291</t>
  </si>
  <si>
    <t>SR-2025-01292</t>
  </si>
  <si>
    <t>SR-2025-01293</t>
  </si>
  <si>
    <t>SR-2025-01294</t>
  </si>
  <si>
    <t>SR-2025-01295</t>
  </si>
  <si>
    <t>SR-2025-01296</t>
  </si>
  <si>
    <t>SR-2025-01297</t>
  </si>
  <si>
    <t>SR-2025-01298</t>
  </si>
  <si>
    <t>SR-2025-01299</t>
  </si>
  <si>
    <t>SR-2025-01300</t>
  </si>
  <si>
    <t>SR-2025-01301</t>
  </si>
  <si>
    <t>SR-2025-01302</t>
  </si>
  <si>
    <t>SR-2025-01303</t>
  </si>
  <si>
    <t>SR-2025-01304</t>
  </si>
  <si>
    <t>SR-2025-01305</t>
  </si>
  <si>
    <t>SR-2025-01306</t>
  </si>
  <si>
    <t>SR-2025-01307</t>
  </si>
  <si>
    <t>SR-2025-01308</t>
  </si>
  <si>
    <t>SR-2025-01309</t>
  </si>
  <si>
    <t>SR-2025-01310</t>
  </si>
  <si>
    <t>SR-2025-01311</t>
  </si>
  <si>
    <t>SR-2025-01312</t>
  </si>
  <si>
    <t>SR-2025-01313</t>
  </si>
  <si>
    <t>SR-2025-01314</t>
  </si>
  <si>
    <t>SR-2025-01315</t>
  </si>
  <si>
    <t>SR-2025-01316</t>
  </si>
  <si>
    <t>SR-2025-01317</t>
  </si>
  <si>
    <t>SR-2025-01318</t>
  </si>
  <si>
    <t>SR-2025-01319</t>
  </si>
  <si>
    <t>SR-2025-01320</t>
  </si>
  <si>
    <t>SR-2025-01321</t>
  </si>
  <si>
    <t>SR-2025-01322</t>
  </si>
  <si>
    <t>SR-2025-01323</t>
  </si>
  <si>
    <t>SR-2025-01324</t>
  </si>
  <si>
    <t>SR-2025-01325</t>
  </si>
  <si>
    <t>SR-2025-01326</t>
  </si>
  <si>
    <t>SR-2025-01327</t>
  </si>
  <si>
    <t>SR-2025-01328</t>
  </si>
  <si>
    <t>SR-2025-01329</t>
  </si>
  <si>
    <t>SR-2025-01330</t>
  </si>
  <si>
    <t>SR-2025-01331</t>
  </si>
  <si>
    <t>SR-2025-01332</t>
  </si>
  <si>
    <t>SR-2025-01333</t>
  </si>
  <si>
    <t>SR-2025-01334</t>
  </si>
  <si>
    <t>SR-2025-01335</t>
  </si>
  <si>
    <t>SR-2025-01336</t>
  </si>
  <si>
    <t>SR-2025-01337</t>
  </si>
  <si>
    <t>SR-2025-01338</t>
  </si>
  <si>
    <t>SR-2025-01339</t>
  </si>
  <si>
    <t>SR-2025-01340</t>
  </si>
  <si>
    <t>SR-2025-01341</t>
  </si>
  <si>
    <t>SR-2025-01342</t>
  </si>
  <si>
    <t>SR-2025-01343</t>
  </si>
  <si>
    <t>SR-2025-01344</t>
  </si>
  <si>
    <t>SR-2025-01345</t>
  </si>
  <si>
    <t>SR-2025-01346</t>
  </si>
  <si>
    <t>SR-2025-01347</t>
  </si>
  <si>
    <t>SR-2025-01348</t>
  </si>
  <si>
    <t>SR-2025-01349</t>
  </si>
  <si>
    <t>SR-2025-01350</t>
  </si>
  <si>
    <t>SR-2025-01351</t>
  </si>
  <si>
    <t>SR-2025-01352</t>
  </si>
  <si>
    <t>SR-2025-01353</t>
  </si>
  <si>
    <t>SR-2025-01354</t>
  </si>
  <si>
    <t>SR-2025-01355</t>
  </si>
  <si>
    <t>SR-2025-01356</t>
  </si>
  <si>
    <t>SR-2025-01357</t>
  </si>
  <si>
    <t>SR-2025-01358</t>
  </si>
  <si>
    <t>SR-2025-01359</t>
  </si>
  <si>
    <t>SR-2025-01360</t>
  </si>
  <si>
    <t>SR-2025-01361</t>
  </si>
  <si>
    <t>SR-2025-01362</t>
  </si>
  <si>
    <t>SR-2025-01363</t>
  </si>
  <si>
    <t>SR-2025-01364</t>
  </si>
  <si>
    <t>SR-2025-01365</t>
  </si>
  <si>
    <t>SR-2025-01366</t>
  </si>
  <si>
    <t>SR-2025-01367</t>
  </si>
  <si>
    <t>SR-2025-01368</t>
  </si>
  <si>
    <t>SR-2025-01369</t>
  </si>
  <si>
    <t>SR-2025-01370</t>
  </si>
  <si>
    <t>SR-2025-01371</t>
  </si>
  <si>
    <t>SR-2025-01372</t>
  </si>
  <si>
    <t>SR-2025-01373</t>
  </si>
  <si>
    <t>SR-2025-01374</t>
  </si>
  <si>
    <t>SR-2025-01375</t>
  </si>
  <si>
    <t>SR-2025-01376</t>
  </si>
  <si>
    <t>SR-2025-01377</t>
  </si>
  <si>
    <t>SR-2025-01378</t>
  </si>
  <si>
    <t>SR-2025-01379</t>
  </si>
  <si>
    <t>SR-2025-01380</t>
  </si>
  <si>
    <t>SR-2025-01381</t>
  </si>
  <si>
    <t>SR-2025-01382</t>
  </si>
  <si>
    <t>SR-2025-01383</t>
  </si>
  <si>
    <t>SR-2025-01384</t>
  </si>
  <si>
    <t>SR-2025-01385</t>
  </si>
  <si>
    <t>SR-2025-01386</t>
  </si>
  <si>
    <t>SR-2025-01387</t>
  </si>
  <si>
    <t>SR-2025-01388</t>
  </si>
  <si>
    <t>SR-2025-01389</t>
  </si>
  <si>
    <t>SR-2025-01390</t>
  </si>
  <si>
    <t>SR-2025-01391</t>
  </si>
  <si>
    <t>SR-2025-01392</t>
  </si>
  <si>
    <t>SR-2025-01393</t>
  </si>
  <si>
    <t>SR-2025-01394</t>
  </si>
  <si>
    <t>SR-2025-01395</t>
  </si>
  <si>
    <t>SR-2025-01396</t>
  </si>
  <si>
    <t>SR-2025-01397</t>
  </si>
  <si>
    <t>SR-2025-01398</t>
  </si>
  <si>
    <t>SR-2025-01399</t>
  </si>
  <si>
    <t>SR-2025-01400</t>
  </si>
  <si>
    <t>SR-2025-01401</t>
  </si>
  <si>
    <t>SR-2025-01402</t>
  </si>
  <si>
    <t>SR-2025-01403</t>
  </si>
  <si>
    <t>SR-2025-01404</t>
  </si>
  <si>
    <t>SR-2025-01405</t>
  </si>
  <si>
    <t>SR-2025-01406</t>
  </si>
  <si>
    <t>SR-2025-01407</t>
  </si>
  <si>
    <t>SR-2025-01408</t>
  </si>
  <si>
    <t>SR-2025-01409</t>
  </si>
  <si>
    <t>SR-2025-01410</t>
  </si>
  <si>
    <t>SR-2025-01411</t>
  </si>
  <si>
    <t>SR-2025-01412</t>
  </si>
  <si>
    <t>SR-2025-01413</t>
  </si>
  <si>
    <t>SR-2025-01414</t>
  </si>
  <si>
    <t>SR-2025-01415</t>
  </si>
  <si>
    <t>SR-2025-01416</t>
  </si>
  <si>
    <t>SR-2025-01417</t>
  </si>
  <si>
    <t>SR-2025-01418</t>
  </si>
  <si>
    <t>SR-2025-01419</t>
  </si>
  <si>
    <t>SR-2025-01420</t>
  </si>
  <si>
    <t>SR-2025-01421</t>
  </si>
  <si>
    <t>SR-2025-01422</t>
  </si>
  <si>
    <t>SR-2025-01423</t>
  </si>
  <si>
    <t>SR-2025-01424</t>
  </si>
  <si>
    <t>SR-2025-01425</t>
  </si>
  <si>
    <t>SR-2025-01426</t>
  </si>
  <si>
    <t>SR-2025-01427</t>
  </si>
  <si>
    <t>SR-2025-01428</t>
  </si>
  <si>
    <t>SR-2025-01429</t>
  </si>
  <si>
    <t>SR-2025-01430</t>
  </si>
  <si>
    <t>SR-2025-01431</t>
  </si>
  <si>
    <t>SR-2025-01432</t>
  </si>
  <si>
    <t>SR-2025-01433</t>
  </si>
  <si>
    <t>SR-2025-01434</t>
  </si>
  <si>
    <t>SR-2025-01435</t>
  </si>
  <si>
    <t>SR-2025-01436</t>
  </si>
  <si>
    <t>SR-2025-01437</t>
  </si>
  <si>
    <t>SR-2025-01438</t>
  </si>
  <si>
    <t>SR-2025-01439</t>
  </si>
  <si>
    <t>SR-2025-01440</t>
  </si>
  <si>
    <t>SR-2025-01441</t>
  </si>
  <si>
    <t>SR-2025-01442</t>
  </si>
  <si>
    <t>SR-2025-01443</t>
  </si>
  <si>
    <t>SR-2025-01444</t>
  </si>
  <si>
    <t>SR-2025-01445</t>
  </si>
  <si>
    <t>SR-2025-01446</t>
  </si>
  <si>
    <t>SR-2025-01447</t>
  </si>
  <si>
    <t>SR-2025-01448</t>
  </si>
  <si>
    <t>SR-2025-01449</t>
  </si>
  <si>
    <t>SR-2025-01450</t>
  </si>
  <si>
    <t>SR-2025-01451</t>
  </si>
  <si>
    <t>SR-2025-01452</t>
  </si>
  <si>
    <t>SR-2025-01453</t>
  </si>
  <si>
    <t>SR-2025-01454</t>
  </si>
  <si>
    <t>SR-2025-01455</t>
  </si>
  <si>
    <t>SR-2025-01456</t>
  </si>
  <si>
    <t>SR-2025-01457</t>
  </si>
  <si>
    <t>SR-2025-01458</t>
  </si>
  <si>
    <t>SR-2025-01459</t>
  </si>
  <si>
    <t>SR-2025-01460</t>
  </si>
  <si>
    <t>SR-2025-01461</t>
  </si>
  <si>
    <t>SR-2025-01462</t>
  </si>
  <si>
    <t>SR-2025-01463</t>
  </si>
  <si>
    <t>SR-2025-01464</t>
  </si>
  <si>
    <t>SR-2025-01465</t>
  </si>
  <si>
    <t>SR-2025-01466</t>
  </si>
  <si>
    <t>SR-2025-01467</t>
  </si>
  <si>
    <t>SR-2025-01468</t>
  </si>
  <si>
    <t>SR-2025-01469</t>
  </si>
  <si>
    <t>SR-2025-01470</t>
  </si>
  <si>
    <t>SR-2025-01471</t>
  </si>
  <si>
    <t>SR-2025-01472</t>
  </si>
  <si>
    <t>SR-2025-01473</t>
  </si>
  <si>
    <t>SR-2025-01474</t>
  </si>
  <si>
    <t>SR-2025-01475</t>
  </si>
  <si>
    <t>SR-2025-01476</t>
  </si>
  <si>
    <t>SR-2025-01477</t>
  </si>
  <si>
    <t>SR-2025-01478</t>
  </si>
  <si>
    <t>SR-2025-01479</t>
  </si>
  <si>
    <t>SR-2025-01480</t>
  </si>
  <si>
    <t>SR-2025-01481</t>
  </si>
  <si>
    <t>SR-2025-01482</t>
  </si>
  <si>
    <t>SR-2025-01483</t>
  </si>
  <si>
    <t>SR-2025-01484</t>
  </si>
  <si>
    <t>SR-2025-01485</t>
  </si>
  <si>
    <t>SR-2025-01486</t>
  </si>
  <si>
    <t>SR-2025-01487</t>
  </si>
  <si>
    <t>SR-2025-01488</t>
  </si>
  <si>
    <t>SR-2025-01489</t>
  </si>
  <si>
    <t>SR-2025-01490</t>
  </si>
  <si>
    <t>SR-2025-01491</t>
  </si>
  <si>
    <t>SR-2025-01492</t>
  </si>
  <si>
    <t>SR-2025-01493</t>
  </si>
  <si>
    <t>SR-2025-01494</t>
  </si>
  <si>
    <t>SR-2025-01495</t>
  </si>
  <si>
    <t>SR-2025-01496</t>
  </si>
  <si>
    <t>SR-2025-01497</t>
  </si>
  <si>
    <t>SR-2025-01498</t>
  </si>
  <si>
    <t>SR-2025-01499</t>
  </si>
  <si>
    <t>SR-2025-01500</t>
  </si>
  <si>
    <t>SR-2025-01501</t>
  </si>
  <si>
    <t>SR-2025-01502</t>
  </si>
  <si>
    <t>SR-2025-01503</t>
  </si>
  <si>
    <t>SR-2025-01504</t>
  </si>
  <si>
    <t>SR-2025-01505</t>
  </si>
  <si>
    <t>SR-2025-01506</t>
  </si>
  <si>
    <t>SR-2025-01507</t>
  </si>
  <si>
    <t>SR-2025-01508</t>
  </si>
  <si>
    <t>SR-2025-01509</t>
  </si>
  <si>
    <t>SR-2025-01510</t>
  </si>
  <si>
    <t>SR-2025-01511</t>
  </si>
  <si>
    <t>SR-2025-01512</t>
  </si>
  <si>
    <t>SR-2025-01513</t>
  </si>
  <si>
    <t>SR-2025-01514</t>
  </si>
  <si>
    <t>SR-2025-01515</t>
  </si>
  <si>
    <t>SR-2025-01516</t>
  </si>
  <si>
    <t>SR-2025-01517</t>
  </si>
  <si>
    <t>SR-2025-01518</t>
  </si>
  <si>
    <t>SR-2025-01519</t>
  </si>
  <si>
    <t>SR-2025-01520</t>
  </si>
  <si>
    <t>SR-2025-01521</t>
  </si>
  <si>
    <t>SR-2025-01522</t>
  </si>
  <si>
    <t>SR-2025-01523</t>
  </si>
  <si>
    <t>SR-2025-01524</t>
  </si>
  <si>
    <t>SR-2025-01525</t>
  </si>
  <si>
    <t>SR-2025-01526</t>
  </si>
  <si>
    <t>SR-2025-01527</t>
  </si>
  <si>
    <t>SR-2025-01528</t>
  </si>
  <si>
    <t>SR-2025-01529</t>
  </si>
  <si>
    <t>SR-2025-01530</t>
  </si>
  <si>
    <t>SR-2025-01531</t>
  </si>
  <si>
    <t>SR-2025-01532</t>
  </si>
  <si>
    <t>SR-2025-01533</t>
  </si>
  <si>
    <t>SR-2025-01534</t>
  </si>
  <si>
    <t>SR-2025-01535</t>
  </si>
  <si>
    <t>SR-2025-01536</t>
  </si>
  <si>
    <t>SR-2025-01537</t>
  </si>
  <si>
    <t>SR-2025-01538</t>
  </si>
  <si>
    <t>SR-2025-01539</t>
  </si>
  <si>
    <t>SR-2025-01540</t>
  </si>
  <si>
    <t>SR-2025-01541</t>
  </si>
  <si>
    <t>SR-2025-01542</t>
  </si>
  <si>
    <t>SR-2025-01543</t>
  </si>
  <si>
    <t>SR-2025-01544</t>
  </si>
  <si>
    <t>SR-2025-01545</t>
  </si>
  <si>
    <t>SR-2025-01546</t>
  </si>
  <si>
    <t>SR-2025-01547</t>
  </si>
  <si>
    <t>SR-2025-01548</t>
  </si>
  <si>
    <t>SR-2025-01549</t>
  </si>
  <si>
    <t>SR-2025-01550</t>
  </si>
  <si>
    <t>SR-2025-01551</t>
  </si>
  <si>
    <t>SR-2025-01552</t>
  </si>
  <si>
    <t>SR-2025-01553</t>
  </si>
  <si>
    <t>SR-2025-01554</t>
  </si>
  <si>
    <t>SR-2025-01555</t>
  </si>
  <si>
    <t>SR-2025-01556</t>
  </si>
  <si>
    <t>SR-2025-01557</t>
  </si>
  <si>
    <t>SR-2025-01558</t>
  </si>
  <si>
    <t>SR-2025-01559</t>
  </si>
  <si>
    <t>SR-2025-01560</t>
  </si>
  <si>
    <t>SR-2025-01561</t>
  </si>
  <si>
    <t>SR-2025-01562</t>
  </si>
  <si>
    <t>SR-2025-01563</t>
  </si>
  <si>
    <t>SR-2025-01564</t>
  </si>
  <si>
    <t>SR-2025-01565</t>
  </si>
  <si>
    <t>SR-2025-01566</t>
  </si>
  <si>
    <t>SR-2025-01567</t>
  </si>
  <si>
    <t>SR-2025-01568</t>
  </si>
  <si>
    <t>SR-2025-01569</t>
  </si>
  <si>
    <t>SR-2025-01570</t>
  </si>
  <si>
    <t>SR-2025-01571</t>
  </si>
  <si>
    <t>SR-2025-01572</t>
  </si>
  <si>
    <t>SR-2025-01573</t>
  </si>
  <si>
    <t>SR-2025-01574</t>
  </si>
  <si>
    <t>SR-2025-01575</t>
  </si>
  <si>
    <t>SR-2025-01576</t>
  </si>
  <si>
    <t>SR-2025-01577</t>
  </si>
  <si>
    <t>SR-2025-01578</t>
  </si>
  <si>
    <t>SR-2025-01579</t>
  </si>
  <si>
    <t>SR-2025-01580</t>
  </si>
  <si>
    <t>SR-2025-01581</t>
  </si>
  <si>
    <t>SR-2025-01582</t>
  </si>
  <si>
    <t>SR-2025-01583</t>
  </si>
  <si>
    <t>SR-2025-01584</t>
  </si>
  <si>
    <t>SR-2025-01585</t>
  </si>
  <si>
    <t>SR-2025-01586</t>
  </si>
  <si>
    <t>SR-2025-01587</t>
  </si>
  <si>
    <t>SR-2025-01588</t>
  </si>
  <si>
    <t>SR-2025-01589</t>
  </si>
  <si>
    <t>SR-2025-01590</t>
  </si>
  <si>
    <t>SR-2025-01591</t>
  </si>
  <si>
    <t>SR-2025-01592</t>
  </si>
  <si>
    <t>SR-2025-01593</t>
  </si>
  <si>
    <t>SR-2025-01594</t>
  </si>
  <si>
    <t>SR-2025-01595</t>
  </si>
  <si>
    <t>SR-2025-01596</t>
  </si>
  <si>
    <t>SR-2025-01597</t>
  </si>
  <si>
    <t>SR-2025-01598</t>
  </si>
  <si>
    <t>SR-2025-01599</t>
  </si>
  <si>
    <t>SR-2025-01600</t>
  </si>
  <si>
    <t>SR-2025-01601</t>
  </si>
  <si>
    <t>SR-2025-01602</t>
  </si>
  <si>
    <t>SR-2025-01603</t>
  </si>
  <si>
    <t>SR-2025-01604</t>
  </si>
  <si>
    <t>SR-2025-01605</t>
  </si>
  <si>
    <t>SR-2025-01606</t>
  </si>
  <si>
    <t>SR-2025-01607</t>
  </si>
  <si>
    <t>SR-2025-01608</t>
  </si>
  <si>
    <t>SR-2025-01609</t>
  </si>
  <si>
    <t>SR-2025-01610</t>
  </si>
  <si>
    <t>SR-2025-01611</t>
  </si>
  <si>
    <t>SR-2025-01612</t>
  </si>
  <si>
    <t>SR-2025-01613</t>
  </si>
  <si>
    <t>SR-2025-01614</t>
  </si>
  <si>
    <t>SR-2025-01615</t>
  </si>
  <si>
    <t>SR-2025-01616</t>
  </si>
  <si>
    <t>SR-2025-01617</t>
  </si>
  <si>
    <t>SR-2025-01618</t>
  </si>
  <si>
    <t>SR-2025-01619</t>
  </si>
  <si>
    <t>SR-2025-01620</t>
  </si>
  <si>
    <t>SR-2025-01621</t>
  </si>
  <si>
    <t>SR-2025-01622</t>
  </si>
  <si>
    <t>SR-2025-01623</t>
  </si>
  <si>
    <t>SR-2025-01624</t>
  </si>
  <si>
    <t>SR-2025-01625</t>
  </si>
  <si>
    <t>SR-2025-01626</t>
  </si>
  <si>
    <t>SR-2025-01627</t>
  </si>
  <si>
    <t>SR-2025-01628</t>
  </si>
  <si>
    <t>SR-2025-01629</t>
  </si>
  <si>
    <t>SR-2025-01630</t>
  </si>
  <si>
    <t>SR-2025-01631</t>
  </si>
  <si>
    <t>SR-2025-01632</t>
  </si>
  <si>
    <t>SR-2025-01633</t>
  </si>
  <si>
    <t>SR-2025-01634</t>
  </si>
  <si>
    <t>SR-2025-01635</t>
  </si>
  <si>
    <t>SR-2025-01636</t>
  </si>
  <si>
    <t>SR-2025-01637</t>
  </si>
  <si>
    <t>SR-2025-01638</t>
  </si>
  <si>
    <t>SR-2025-01639</t>
  </si>
  <si>
    <t>SR-2025-01640</t>
  </si>
  <si>
    <t>SR-2025-01641</t>
  </si>
  <si>
    <t>SR-2025-01642</t>
  </si>
  <si>
    <t>SR-2025-01643</t>
  </si>
  <si>
    <t>SR-2025-01644</t>
  </si>
  <si>
    <t>SR-2025-01645</t>
  </si>
  <si>
    <t>SR-2025-01646</t>
  </si>
  <si>
    <t>SR-2025-01647</t>
  </si>
  <si>
    <t>SR-2025-01648</t>
  </si>
  <si>
    <t>SR-2025-01649</t>
  </si>
  <si>
    <t>SR-2025-01650</t>
  </si>
  <si>
    <t>SR-2025-01651</t>
  </si>
  <si>
    <t>SR-2025-01652</t>
  </si>
  <si>
    <t>SR-2025-01653</t>
  </si>
  <si>
    <t>SR-2025-01654</t>
  </si>
  <si>
    <t>SR-2025-01655</t>
  </si>
  <si>
    <t>SR-2025-01656</t>
  </si>
  <si>
    <t>SR-2025-01657</t>
  </si>
  <si>
    <t>SR-2025-01658</t>
  </si>
  <si>
    <t>SR-2025-01659</t>
  </si>
  <si>
    <t>SR-2025-01660</t>
  </si>
  <si>
    <t>SR-2025-01661</t>
  </si>
  <si>
    <t>SR-2025-01662</t>
  </si>
  <si>
    <t>SR-2025-01663</t>
  </si>
  <si>
    <t>SR-2025-01664</t>
  </si>
  <si>
    <t>SR-2025-01665</t>
  </si>
  <si>
    <t>SR-2025-01666</t>
  </si>
  <si>
    <t>SR-2025-01667</t>
  </si>
  <si>
    <t>SR-2025-01668</t>
  </si>
  <si>
    <t>SR-2025-01669</t>
  </si>
  <si>
    <t>SR-2025-01670</t>
  </si>
  <si>
    <t>SR-2025-01671</t>
  </si>
  <si>
    <t>SR-2025-01672</t>
  </si>
  <si>
    <t>SR-2025-01673</t>
  </si>
  <si>
    <t>SR-2025-01674</t>
  </si>
  <si>
    <t>SR-2025-01675</t>
  </si>
  <si>
    <t>SR-2025-01676</t>
  </si>
  <si>
    <t>SR-2025-01677</t>
  </si>
  <si>
    <t>SR-2025-01678</t>
  </si>
  <si>
    <t>SR-2025-01679</t>
  </si>
  <si>
    <t>SR-2025-01680</t>
  </si>
  <si>
    <t>SR-2025-01681</t>
  </si>
  <si>
    <t>SR-2025-01682</t>
  </si>
  <si>
    <t>SR-2025-01683</t>
  </si>
  <si>
    <t>SR-2025-01684</t>
  </si>
  <si>
    <t>SR-2025-01685</t>
  </si>
  <si>
    <t>SR-2025-01686</t>
  </si>
  <si>
    <t>SR-2025-01687</t>
  </si>
  <si>
    <t>SR-2025-01688</t>
  </si>
  <si>
    <t>SR-2025-01689</t>
  </si>
  <si>
    <t>SR-2025-01690</t>
  </si>
  <si>
    <t>SR-2025-01691</t>
  </si>
  <si>
    <t>SR-2025-01692</t>
  </si>
  <si>
    <t>SR-2025-01693</t>
  </si>
  <si>
    <t>SR-2025-01694</t>
  </si>
  <si>
    <t>SR-2025-01695</t>
  </si>
  <si>
    <t>SR-2025-01696</t>
  </si>
  <si>
    <t>SR-2025-01697</t>
  </si>
  <si>
    <t>SR-2025-01698</t>
  </si>
  <si>
    <t>SR-2025-01699</t>
  </si>
  <si>
    <t>SR-2025-01700</t>
  </si>
  <si>
    <t>SR-2025-01701</t>
  </si>
  <si>
    <t>SR-2025-01702</t>
  </si>
  <si>
    <t>SR-2025-01703</t>
  </si>
  <si>
    <t>SR-2025-01704</t>
  </si>
  <si>
    <t>SR-2025-01705</t>
  </si>
  <si>
    <t>SR-2025-01706</t>
  </si>
  <si>
    <t>SR-2025-01707</t>
  </si>
  <si>
    <t>SR-2025-01708</t>
  </si>
  <si>
    <t>SR-2025-01709</t>
  </si>
  <si>
    <t>SR-2025-01710</t>
  </si>
  <si>
    <t>SR-2025-01711</t>
  </si>
  <si>
    <t>SR-2025-01712</t>
  </si>
  <si>
    <t>SR-2025-01713</t>
  </si>
  <si>
    <t>SR-2025-01714</t>
  </si>
  <si>
    <t>SR-2025-01715</t>
  </si>
  <si>
    <t>SR-2025-01716</t>
  </si>
  <si>
    <t>SR-2025-01717</t>
  </si>
  <si>
    <t>SR-2025-01718</t>
  </si>
  <si>
    <t>SR-2025-01719</t>
  </si>
  <si>
    <t>SR-2025-01720</t>
  </si>
  <si>
    <t>SR-2025-01721</t>
  </si>
  <si>
    <t>SR-2025-01722</t>
  </si>
  <si>
    <t>SR-2025-01723</t>
  </si>
  <si>
    <t>SR-2025-01724</t>
  </si>
  <si>
    <t>SR-2025-01725</t>
  </si>
  <si>
    <t>SR-2025-01726</t>
  </si>
  <si>
    <t>SR-2025-01727</t>
  </si>
  <si>
    <t>SR-2025-01728</t>
  </si>
  <si>
    <t>SR-2025-01729</t>
  </si>
  <si>
    <t>SR-2025-01730</t>
  </si>
  <si>
    <t>SR-2025-01731</t>
  </si>
  <si>
    <t>SR-2025-01732</t>
  </si>
  <si>
    <t>SR-2025-01733</t>
  </si>
  <si>
    <t>SR-2025-01734</t>
  </si>
  <si>
    <t>SR-2025-01735</t>
  </si>
  <si>
    <t>SR-2025-01736</t>
  </si>
  <si>
    <t>SR-2025-01737</t>
  </si>
  <si>
    <t>SR-2025-01738</t>
  </si>
  <si>
    <t>SR-2025-01739</t>
  </si>
  <si>
    <t>SR-2025-01740</t>
  </si>
  <si>
    <t>SR-2025-01741</t>
  </si>
  <si>
    <t>SR-2025-01742</t>
  </si>
  <si>
    <t>SR-2025-01743</t>
  </si>
  <si>
    <t>SR-2025-01744</t>
  </si>
  <si>
    <t>SR-2025-01745</t>
  </si>
  <si>
    <t>SR-2025-01746</t>
  </si>
  <si>
    <t>SR-2025-01747</t>
  </si>
  <si>
    <t>SR-2025-01748</t>
  </si>
  <si>
    <t>SR-2025-01749</t>
  </si>
  <si>
    <t>SR-2025-01750</t>
  </si>
  <si>
    <t>SR-2025-01751</t>
  </si>
  <si>
    <t>SR-2025-01752</t>
  </si>
  <si>
    <t>SR-2025-01753</t>
  </si>
  <si>
    <t>SR-2025-01754</t>
  </si>
  <si>
    <t>SR-2025-01755</t>
  </si>
  <si>
    <t>SR-2025-01756</t>
  </si>
  <si>
    <t>SR-2025-01757</t>
  </si>
  <si>
    <t>SR-2025-01758</t>
  </si>
  <si>
    <t>SR-2025-01759</t>
  </si>
  <si>
    <t>SR-2025-01760</t>
  </si>
  <si>
    <t>SR-2025-01761</t>
  </si>
  <si>
    <t>SR-2025-01762</t>
  </si>
  <si>
    <t>SR-2025-01763</t>
  </si>
  <si>
    <t>SR-2025-01764</t>
  </si>
  <si>
    <t>SR-2025-01765</t>
  </si>
  <si>
    <t>SR-2025-01766</t>
  </si>
  <si>
    <t>SR-2025-01767</t>
  </si>
  <si>
    <t>SR-2025-01768</t>
  </si>
  <si>
    <t>SR-2025-01769</t>
  </si>
  <si>
    <t>SR-2025-01770</t>
  </si>
  <si>
    <t>SR-2025-01771</t>
  </si>
  <si>
    <t>SR-2025-01772</t>
  </si>
  <si>
    <t>SR-2025-01773</t>
  </si>
  <si>
    <t>SR-2025-01774</t>
  </si>
  <si>
    <t>SR-2025-01775</t>
  </si>
  <si>
    <t>SR-2025-01776</t>
  </si>
  <si>
    <t>SR-2025-01777</t>
  </si>
  <si>
    <t>SR-2025-01778</t>
  </si>
  <si>
    <t>SR-2025-01779</t>
  </si>
  <si>
    <t>SR-2025-01780</t>
  </si>
  <si>
    <t>SR-2025-01781</t>
  </si>
  <si>
    <t>SR-2025-01782</t>
  </si>
  <si>
    <t>SR-2025-01783</t>
  </si>
  <si>
    <t>SR-2025-01784</t>
  </si>
  <si>
    <t>SR-2025-01785</t>
  </si>
  <si>
    <t>SR-2025-01786</t>
  </si>
  <si>
    <t>SR-2025-01787</t>
  </si>
  <si>
    <t>SR-2025-01788</t>
  </si>
  <si>
    <t>SR-2025-01789</t>
  </si>
  <si>
    <t>SR-2025-01790</t>
  </si>
  <si>
    <t>SR-2025-01791</t>
  </si>
  <si>
    <t>SR-2025-01792</t>
  </si>
  <si>
    <t>SR-2025-01793</t>
  </si>
  <si>
    <t>SR-2025-01794</t>
  </si>
  <si>
    <t>SR-2025-01795</t>
  </si>
  <si>
    <t>SR-2025-01796</t>
  </si>
  <si>
    <t>SR-2025-01797</t>
  </si>
  <si>
    <t>SR-2025-01798</t>
  </si>
  <si>
    <t>SR-2025-01799</t>
  </si>
  <si>
    <t>SR-2025-01800</t>
  </si>
  <si>
    <t>SR-2025-01801</t>
  </si>
  <si>
    <t>SR-2025-01802</t>
  </si>
  <si>
    <t>SR-2025-01803</t>
  </si>
  <si>
    <t>SR-2025-01804</t>
  </si>
  <si>
    <t>SR-2025-01805</t>
  </si>
  <si>
    <t>SR-2025-01806</t>
  </si>
  <si>
    <t>SR-2025-01807</t>
  </si>
  <si>
    <t>SR-2025-01808</t>
  </si>
  <si>
    <t>SR-2025-01809</t>
  </si>
  <si>
    <t>SR-2025-01810</t>
  </si>
  <si>
    <t>SR-2025-01811</t>
  </si>
  <si>
    <t>SR-2025-01812</t>
  </si>
  <si>
    <t>SR-2025-01813</t>
  </si>
  <si>
    <t>SR-2025-01814</t>
  </si>
  <si>
    <t>SR-2025-01815</t>
  </si>
  <si>
    <t>SR-2025-01816</t>
  </si>
  <si>
    <t>SR-2025-01817</t>
  </si>
  <si>
    <t>SR-2025-01818</t>
  </si>
  <si>
    <t>SR-2025-01819</t>
  </si>
  <si>
    <t>SR-2025-01820</t>
  </si>
  <si>
    <t>SR-2025-01821</t>
  </si>
  <si>
    <t>SR-2025-01822</t>
  </si>
  <si>
    <t>SR-2025-01823</t>
  </si>
  <si>
    <t>SR-2025-01824</t>
  </si>
  <si>
    <t>SR-2025-01825</t>
  </si>
  <si>
    <t>SR-2025-01826</t>
  </si>
  <si>
    <t>SR-2025-01827</t>
  </si>
  <si>
    <t>SR-2025-01828</t>
  </si>
  <si>
    <t>SR-2025-01829</t>
  </si>
  <si>
    <t>SR-2025-01830</t>
  </si>
  <si>
    <t>SR-2025-01831</t>
  </si>
  <si>
    <t>SR-2025-01832</t>
  </si>
  <si>
    <t>SR-2025-01833</t>
  </si>
  <si>
    <t>SR-2025-01834</t>
  </si>
  <si>
    <t>SR-2025-01835</t>
  </si>
  <si>
    <t>SR-2025-01836</t>
  </si>
  <si>
    <t>SR-2025-01837</t>
  </si>
  <si>
    <t>SR-2025-01838</t>
  </si>
  <si>
    <t>SR-2025-01839</t>
  </si>
  <si>
    <t>SR-2025-01840</t>
  </si>
  <si>
    <t>SR-2025-01841</t>
  </si>
  <si>
    <t>SR-2025-01842</t>
  </si>
  <si>
    <t>SR-2025-01843</t>
  </si>
  <si>
    <t>SR-2025-01844</t>
  </si>
  <si>
    <t>SR-2025-01845</t>
  </si>
  <si>
    <t>SR-2025-01846</t>
  </si>
  <si>
    <t>SR-2025-01847</t>
  </si>
  <si>
    <t>SR-2025-01848</t>
  </si>
  <si>
    <t>SR-2025-01849</t>
  </si>
  <si>
    <t>SR-2025-01850</t>
  </si>
  <si>
    <t>SR-2025-01851</t>
  </si>
  <si>
    <t>SR-2025-01852</t>
  </si>
  <si>
    <t>SR-2025-01853</t>
  </si>
  <si>
    <t>SR-2025-01854</t>
  </si>
  <si>
    <t>SR-2025-01855</t>
  </si>
  <si>
    <t>SR-2025-01856</t>
  </si>
  <si>
    <t>SR-2025-01857</t>
  </si>
  <si>
    <t>SR-2025-01858</t>
  </si>
  <si>
    <t>SR-2025-01859</t>
  </si>
  <si>
    <t>SR-2025-01860</t>
  </si>
  <si>
    <t>SR-2025-01861</t>
  </si>
  <si>
    <t>SR-2025-01862</t>
  </si>
  <si>
    <t>SR-2025-01863</t>
  </si>
  <si>
    <t>SR-2025-01864</t>
  </si>
  <si>
    <t>SR-2025-01865</t>
  </si>
  <si>
    <t>SR-2025-01866</t>
  </si>
  <si>
    <t>SR-2025-01867</t>
  </si>
  <si>
    <t>SR-2025-01868</t>
  </si>
  <si>
    <t>SR-2025-01869</t>
  </si>
  <si>
    <t>SR-2025-01870</t>
  </si>
  <si>
    <t>SR-2025-01871</t>
  </si>
  <si>
    <t>SR-2025-01872</t>
  </si>
  <si>
    <t>SR-2025-01873</t>
  </si>
  <si>
    <t>SR-2025-01874</t>
  </si>
  <si>
    <t>SR-2025-01875</t>
  </si>
  <si>
    <t>SR-2025-01876</t>
  </si>
  <si>
    <t>SR-2025-01877</t>
  </si>
  <si>
    <t>SR-2025-01878</t>
  </si>
  <si>
    <t>SR-2025-01879</t>
  </si>
  <si>
    <t>SR-2025-01880</t>
  </si>
  <si>
    <t>SR-2025-01881</t>
  </si>
  <si>
    <t>SR-2025-01882</t>
  </si>
  <si>
    <t>SR-2025-01883</t>
  </si>
  <si>
    <t>SR-2025-01884</t>
  </si>
  <si>
    <t>SR-2025-01885</t>
  </si>
  <si>
    <t>SR-2025-01886</t>
  </si>
  <si>
    <t>SR-2025-01887</t>
  </si>
  <si>
    <t>SR-2025-01888</t>
  </si>
  <si>
    <t>SR-2025-01889</t>
  </si>
  <si>
    <t>SR-2025-01890</t>
  </si>
  <si>
    <t>SR-2025-01891</t>
  </si>
  <si>
    <t>SR-2025-01892</t>
  </si>
  <si>
    <t>SR-2025-01893</t>
  </si>
  <si>
    <t>SR-2025-01894</t>
  </si>
  <si>
    <t>SR-2025-01895</t>
  </si>
  <si>
    <t>SR-2025-01896</t>
  </si>
  <si>
    <t>SR-2025-01897</t>
  </si>
  <si>
    <t>SR-2025-01898</t>
  </si>
  <si>
    <t>SR-2025-01899</t>
  </si>
  <si>
    <t>SR-2025-01900</t>
  </si>
  <si>
    <t>SR-2025-01901</t>
  </si>
  <si>
    <t>SR-2025-01902</t>
  </si>
  <si>
    <t>SR-2025-01903</t>
  </si>
  <si>
    <t>SR-2025-01904</t>
  </si>
  <si>
    <t>SR-2025-01905</t>
  </si>
  <si>
    <t>SR-2025-01906</t>
  </si>
  <si>
    <t>SR-2025-01907</t>
  </si>
  <si>
    <t>SR-2025-01908</t>
  </si>
  <si>
    <t>SR-2025-01909</t>
  </si>
  <si>
    <t>SR-2025-01910</t>
  </si>
  <si>
    <t>SR-2025-01911</t>
  </si>
  <si>
    <t>SR-2025-01912</t>
  </si>
  <si>
    <t>SR-2025-01913</t>
  </si>
  <si>
    <t>SR-2025-01914</t>
  </si>
  <si>
    <t>SR-2025-01915</t>
  </si>
  <si>
    <t>SR-2025-01916</t>
  </si>
  <si>
    <t>SR-2025-01917</t>
  </si>
  <si>
    <t>SR-2025-01918</t>
  </si>
  <si>
    <t>SR-2025-01919</t>
  </si>
  <si>
    <t>SR-2025-01920</t>
  </si>
  <si>
    <t>SR-2025-01921</t>
  </si>
  <si>
    <t>SR-2025-01922</t>
  </si>
  <si>
    <t>SR-2025-01923</t>
  </si>
  <si>
    <t>SR-2025-01924</t>
  </si>
  <si>
    <t>SR-2025-01925</t>
  </si>
  <si>
    <t>SR-2025-01926</t>
  </si>
  <si>
    <t>SR-2025-01927</t>
  </si>
  <si>
    <t>SR-2025-01928</t>
  </si>
  <si>
    <t>SR-2025-01929</t>
  </si>
  <si>
    <t>SR-2025-01930</t>
  </si>
  <si>
    <t>SR-2025-01931</t>
  </si>
  <si>
    <t>SR-2025-01932</t>
  </si>
  <si>
    <t>SR-2025-01933</t>
  </si>
  <si>
    <t>SR-2025-01934</t>
  </si>
  <si>
    <t>SR-2025-01935</t>
  </si>
  <si>
    <t>SR-2025-01936</t>
  </si>
  <si>
    <t>SR-2025-01937</t>
  </si>
  <si>
    <t>SR-2025-01938</t>
  </si>
  <si>
    <t>SR-2025-01939</t>
  </si>
  <si>
    <t>SR-2025-01940</t>
  </si>
  <si>
    <t>SR-2025-01941</t>
  </si>
  <si>
    <t>SR-2025-01942</t>
  </si>
  <si>
    <t>SR-2025-01943</t>
  </si>
  <si>
    <t>SR-2025-01944</t>
  </si>
  <si>
    <t>SR-2025-01945</t>
  </si>
  <si>
    <t>SR-2025-01946</t>
  </si>
  <si>
    <t>SR-2025-01947</t>
  </si>
  <si>
    <t>SR-2025-01948</t>
  </si>
  <si>
    <t>SR-2025-01949</t>
  </si>
  <si>
    <t>SR-2025-01950</t>
  </si>
  <si>
    <t>SR-2025-01951</t>
  </si>
  <si>
    <t>SR-2025-01952</t>
  </si>
  <si>
    <t>SR-2025-01953</t>
  </si>
  <si>
    <t>SR-2025-01954</t>
  </si>
  <si>
    <t>SR-2025-01955</t>
  </si>
  <si>
    <t>SR-2025-01956</t>
  </si>
  <si>
    <t>SR-2025-01957</t>
  </si>
  <si>
    <t>SR-2025-01958</t>
  </si>
  <si>
    <t>SR-2025-01959</t>
  </si>
  <si>
    <t>SR-2025-01960</t>
  </si>
  <si>
    <t>SR-2025-01961</t>
  </si>
  <si>
    <t>SR-2025-01962</t>
  </si>
  <si>
    <t>SR-2025-01963</t>
  </si>
  <si>
    <t>SR-2025-01964</t>
  </si>
  <si>
    <t>SR-2025-01965</t>
  </si>
  <si>
    <t>SR-2025-01966</t>
  </si>
  <si>
    <t>SR-2025-01967</t>
  </si>
  <si>
    <t>SR-2025-01968</t>
  </si>
  <si>
    <t>SR-2025-01969</t>
  </si>
  <si>
    <t>SR-2025-01970</t>
  </si>
  <si>
    <t>SR-2025-01971</t>
  </si>
  <si>
    <t>SR-2025-01972</t>
  </si>
  <si>
    <t>SR-2025-01973</t>
  </si>
  <si>
    <t>SR-2025-01974</t>
  </si>
  <si>
    <t>SR-2025-01975</t>
  </si>
  <si>
    <t>SR-2025-01976</t>
  </si>
  <si>
    <t>SR-2025-01977</t>
  </si>
  <si>
    <t>SR-2025-01978</t>
  </si>
  <si>
    <t>SR-2025-01979</t>
  </si>
  <si>
    <t>SR-2025-01980</t>
  </si>
  <si>
    <t>SR-2025-01981</t>
  </si>
  <si>
    <t>SR-2025-01982</t>
  </si>
  <si>
    <t>SR-2025-01983</t>
  </si>
  <si>
    <t>SR-2025-01984</t>
  </si>
  <si>
    <t>SR-2025-01985</t>
  </si>
  <si>
    <t>SR-2025-01986</t>
  </si>
  <si>
    <t>SR-2025-01987</t>
  </si>
  <si>
    <t>SR-2025-01988</t>
  </si>
  <si>
    <t>SR-2025-01989</t>
  </si>
  <si>
    <t>SR-2025-01990</t>
  </si>
  <si>
    <t>SR-2025-01991</t>
  </si>
  <si>
    <t>SR-2025-01992</t>
  </si>
  <si>
    <t>SR-2025-01993</t>
  </si>
  <si>
    <t>SR-2025-01994</t>
  </si>
  <si>
    <t>SR-2025-01995</t>
  </si>
  <si>
    <t>SR-2025-01996</t>
  </si>
  <si>
    <t>SR-2025-01997</t>
  </si>
  <si>
    <t>SR-2025-01998</t>
  </si>
  <si>
    <t>SR-2025-01999</t>
  </si>
  <si>
    <t>SR-2025-02000</t>
  </si>
  <si>
    <t>Municipal Service Request Summary</t>
  </si>
  <si>
    <t>Total Requests</t>
  </si>
  <si>
    <t>Closed Requests</t>
  </si>
  <si>
    <t>Open / In Progress</t>
  </si>
  <si>
    <t>Avg Resolution Days</t>
  </si>
  <si>
    <t>Avg Satisfaction</t>
  </si>
  <si>
    <t>% Within Target</t>
  </si>
  <si>
    <t>Municipal Service Request Performance Dashboard</t>
  </si>
  <si>
    <t>Average Resolution Days</t>
  </si>
  <si>
    <t>Row Labels</t>
  </si>
  <si>
    <t>Grand Total</t>
  </si>
  <si>
    <t>Count of Request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</si>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</sst>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0" formatCode="0.0%"/>
  </numFmts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0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70" fontId="0" fillId="2" borderId="2" xfId="0" applyNumberFormat="1" applyFill="1" applyBorder="1" applyAlignment="1">
      <alignment horizontal="center"/>
    </xf>
    <xf numFmtId="170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70" fontId="0" fillId="2" borderId="0" xfId="0" applyNumberFormat="1" applyFill="1" applyBorder="1" applyAlignment="1">
      <alignment horizontal="center"/>
    </xf>
    <xf numFmtId="170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70" fontId="0" fillId="2" borderId="7" xfId="0" applyNumberFormat="1" applyFill="1" applyBorder="1" applyAlignment="1">
      <alignment horizontal="center"/>
    </xf>
    <xf numFmtId="170" fontId="0" fillId="2" borderId="8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70" fontId="0" fillId="2" borderId="1" xfId="0" applyNumberFormat="1" applyFill="1" applyBorder="1" applyAlignment="1">
      <alignment horizontal="center"/>
    </xf>
    <xf numFmtId="170" fontId="0" fillId="2" borderId="4" xfId="0" applyNumberFormat="1" applyFill="1" applyBorder="1" applyAlignment="1">
      <alignment horizontal="center"/>
    </xf>
    <xf numFmtId="170" fontId="0" fillId="2" borderId="6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[Municipal_Service_Request_Dashboard.xlsx]Pivot_status!PivotTable6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Status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F-43C7-ADEA-774DA2F820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F-43C7-ADEA-774DA2F820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2F-43C7-ADEA-774DA2F820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Pivot_status!$A$4:$A$7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Pivot_status!$B$4:$B$7</c:f>
              <c:numCache>
                <c:formatCode>General</c:formatCode>
                <c:ptCount val="3"/>
                <c:pt idx="0">
                  <c:v>1494</c:v>
                </c:pt>
                <c:pt idx="1">
                  <c:v>267</c:v>
                </c:pt>
                <c:pt idx="2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F-43C7-ADEA-774DA2F820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[Municipal_Service_Request_Dashboard.xlsx]Pivot Department!PivotTable4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Department'!$A$4:$A$10</c:f>
              <c:strCache>
                <c:ptCount val="6"/>
                <c:pt idx="0">
                  <c:v>Water Services</c:v>
                </c:pt>
                <c:pt idx="1">
                  <c:v>Parks and Recreation</c:v>
                </c:pt>
                <c:pt idx="2">
                  <c:v>By-law Enforcement</c:v>
                </c:pt>
                <c:pt idx="3">
                  <c:v>Transportation Services</c:v>
                </c:pt>
                <c:pt idx="4">
                  <c:v>Public Works</c:v>
                </c:pt>
                <c:pt idx="5">
                  <c:v>Waste Management</c:v>
                </c:pt>
              </c:strCache>
            </c:strRef>
          </c:cat>
          <c:val>
            <c:numRef>
              <c:f>'Pivot Department'!$B$4:$B$10</c:f>
              <c:numCache>
                <c:formatCode>General</c:formatCode>
                <c:ptCount val="6"/>
                <c:pt idx="0">
                  <c:v>377</c:v>
                </c:pt>
                <c:pt idx="1">
                  <c:v>344</c:v>
                </c:pt>
                <c:pt idx="2">
                  <c:v>333</c:v>
                </c:pt>
                <c:pt idx="3">
                  <c:v>323</c:v>
                </c:pt>
                <c:pt idx="4">
                  <c:v>312</c:v>
                </c:pt>
                <c:pt idx="5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5-420C-9169-3D7E05186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656240"/>
        <c:axId val="185647120"/>
        <c:axId val="0"/>
      </c:bar3DChart>
      <c:catAx>
        <c:axId val="18565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7120"/>
        <c:crosses val="autoZero"/>
        <c:auto val="1"/>
        <c:lblAlgn val="ctr"/>
        <c:lblOffset val="100"/>
        <c:noMultiLvlLbl val="0"/>
      </c:catAx>
      <c:valAx>
        <c:axId val="18564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5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[Municipal_Service_Request_Dashboard.xlsx]Pivot Monthly!Pivot_Monthly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service requests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Monthly'!$B$3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Monthly'!$A$4:$A$17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Monthly'!$B$4:$B$17</c:f>
              <c:numCache>
                <c:formatCode>General</c:formatCode>
                <c:ptCount val="12"/>
                <c:pt idx="0">
                  <c:v>164</c:v>
                </c:pt>
                <c:pt idx="1">
                  <c:v>162</c:v>
                </c:pt>
                <c:pt idx="2">
                  <c:v>164</c:v>
                </c:pt>
                <c:pt idx="3">
                  <c:v>139</c:v>
                </c:pt>
                <c:pt idx="4">
                  <c:v>174</c:v>
                </c:pt>
                <c:pt idx="5">
                  <c:v>171</c:v>
                </c:pt>
                <c:pt idx="6">
                  <c:v>187</c:v>
                </c:pt>
                <c:pt idx="7">
                  <c:v>174</c:v>
                </c:pt>
                <c:pt idx="8">
                  <c:v>174</c:v>
                </c:pt>
                <c:pt idx="9">
                  <c:v>173</c:v>
                </c:pt>
                <c:pt idx="10">
                  <c:v>159</c:v>
                </c:pt>
                <c:pt idx="11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C-4114-82C8-F39320AD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608752"/>
        <c:axId val="535606352"/>
      </c:lineChart>
      <c:catAx>
        <c:axId val="5356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06352"/>
        <c:crosses val="autoZero"/>
        <c:auto val="1"/>
        <c:lblAlgn val="ctr"/>
        <c:lblOffset val="100"/>
        <c:noMultiLvlLbl val="0"/>
      </c:catAx>
      <c:valAx>
        <c:axId val="53560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0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7</xdr:row>
      <xdr:rowOff>0</xdr:rowOff>
    </xdr:from>
    <xdr:to>
      <xdr:col>15</xdr:col>
      <xdr:colOff>15240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71FB7-E3E0-423C-B49D-28332A14F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7</xdr:row>
      <xdr:rowOff>0</xdr:rowOff>
    </xdr:from>
    <xdr:to>
      <xdr:col>7</xdr:col>
      <xdr:colOff>312420</xdr:colOff>
      <xdr:row>22</xdr:row>
      <xdr:rowOff>0</xdr:rowOff>
    </xdr:to>
    <xdr:graphicFrame macro="">
      <xdr:nvGraphicFramePr>
        <xdr:cNvPr id="3" name="Requests by Department">
          <a:extLst>
            <a:ext uri="{FF2B5EF4-FFF2-40B4-BE49-F238E27FC236}">
              <a16:creationId xmlns:a16="http://schemas.microsoft.com/office/drawing/2014/main" id="{98652C29-D614-4C0D-9511-D8D0063CD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7FD2AE-94AB-48BE-9E1B-F545869EE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" refreshedDate="46222.181829861111" createdVersion="8" refreshedVersion="8" minRefreshableVersion="3" recordCount="2000" xr:uid="{CFA893D7-9D4C-4F1B-9D38-F50461CE2328}">
  <cacheSource type="worksheet">
    <worksheetSource name="ServiceRequests"/>
  </cacheSource>
  <cacheFields count="19">
    <cacheField name="Request ID" numFmtId="0">
      <sharedItems/>
    </cacheField>
    <cacheField name="Department" numFmtId="0">
      <sharedItems count="6">
        <s v="Transportation Services"/>
        <s v="By-law Enforcement"/>
        <s v="Waste Management"/>
        <s v="Public Works"/>
        <s v="Water Services"/>
        <s v="Parks and Recreation"/>
      </sharedItems>
    </cacheField>
    <cacheField name="Request Type" numFmtId="0">
      <sharedItems/>
    </cacheField>
    <cacheField name="Priority" numFmtId="0">
      <sharedItems/>
    </cacheField>
    <cacheField name="Status" numFmtId="0">
      <sharedItems count="3">
        <s v="Closed"/>
        <s v="Open"/>
        <s v="In Progress"/>
      </sharedItems>
    </cacheField>
    <cacheField name="Ward" numFmtId="0">
      <sharedItems/>
    </cacheField>
    <cacheField name="Date Opened" numFmtId="14">
      <sharedItems containsSemiMixedTypes="0" containsNonDate="0" containsDate="1" containsString="0" minDate="2025-01-01T00:00:00" maxDate="2026-01-01T00:00:00" count="362">
        <d v="2025-04-25T00:00:00"/>
        <d v="2025-04-30T00:00:00"/>
        <d v="2025-01-04T00:00:00"/>
        <d v="2025-02-22T00:00:00"/>
        <d v="2025-01-23T00:00:00"/>
        <d v="2025-07-05T00:00:00"/>
        <d v="2025-07-09T00:00:00"/>
        <d v="2025-08-25T00:00:00"/>
        <d v="2025-04-28T00:00:00"/>
        <d v="2025-10-18T00:00:00"/>
        <d v="2025-08-23T00:00:00"/>
        <d v="2025-10-27T00:00:00"/>
        <d v="2025-01-25T00:00:00"/>
        <d v="2025-08-28T00:00:00"/>
        <d v="2025-05-17T00:00:00"/>
        <d v="2025-05-15T00:00:00"/>
        <d v="2025-11-24T00:00:00"/>
        <d v="2025-02-27T00:00:00"/>
        <d v="2025-02-13T00:00:00"/>
        <d v="2025-10-09T00:00:00"/>
        <d v="2025-12-10T00:00:00"/>
        <d v="2025-10-29T00:00:00"/>
        <d v="2025-06-19T00:00:00"/>
        <d v="2025-03-09T00:00:00"/>
        <d v="2025-08-05T00:00:00"/>
        <d v="2025-02-25T00:00:00"/>
        <d v="2025-01-08T00:00:00"/>
        <d v="2025-07-25T00:00:00"/>
        <d v="2025-10-12T00:00:00"/>
        <d v="2025-02-04T00:00:00"/>
        <d v="2025-02-11T00:00:00"/>
        <d v="2025-05-03T00:00:00"/>
        <d v="2025-10-16T00:00:00"/>
        <d v="2025-05-06T00:00:00"/>
        <d v="2025-11-10T00:00:00"/>
        <d v="2025-03-01T00:00:00"/>
        <d v="2025-11-21T00:00:00"/>
        <d v="2025-12-28T00:00:00"/>
        <d v="2025-10-26T00:00:00"/>
        <d v="2025-01-21T00:00:00"/>
        <d v="2025-05-02T00:00:00"/>
        <d v="2025-07-30T00:00:00"/>
        <d v="2025-08-29T00:00:00"/>
        <d v="2025-07-24T00:00:00"/>
        <d v="2025-01-20T00:00:00"/>
        <d v="2025-11-07T00:00:00"/>
        <d v="2025-10-03T00:00:00"/>
        <d v="2025-11-16T00:00:00"/>
        <d v="2025-06-17T00:00:00"/>
        <d v="2025-03-31T00:00:00"/>
        <d v="2025-12-02T00:00:00"/>
        <d v="2025-03-28T00:00:00"/>
        <d v="2025-05-01T00:00:00"/>
        <d v="2025-09-01T00:00:00"/>
        <d v="2025-09-23T00:00:00"/>
        <d v="2025-03-10T00:00:00"/>
        <d v="2025-11-17T00:00:00"/>
        <d v="2025-02-02T00:00:00"/>
        <d v="2025-07-19T00:00:00"/>
        <d v="2025-01-15T00:00:00"/>
        <d v="2025-07-21T00:00:00"/>
        <d v="2025-04-19T00:00:00"/>
        <d v="2025-10-04T00:00:00"/>
        <d v="2025-01-16T00:00:00"/>
        <d v="2025-06-09T00:00:00"/>
        <d v="2025-02-08T00:00:00"/>
        <d v="2025-11-22T00:00:00"/>
        <d v="2025-05-19T00:00:00"/>
        <d v="2025-05-18T00:00:00"/>
        <d v="2025-12-09T00:00:00"/>
        <d v="2025-06-24T00:00:00"/>
        <d v="2025-04-08T00:00:00"/>
        <d v="2025-09-09T00:00:00"/>
        <d v="2025-10-25T00:00:00"/>
        <d v="2025-06-06T00:00:00"/>
        <d v="2025-05-22T00:00:00"/>
        <d v="2025-07-04T00:00:00"/>
        <d v="2025-12-24T00:00:00"/>
        <d v="2025-04-05T00:00:00"/>
        <d v="2025-12-18T00:00:00"/>
        <d v="2025-12-19T00:00:00"/>
        <d v="2025-06-05T00:00:00"/>
        <d v="2025-08-10T00:00:00"/>
        <d v="2025-10-22T00:00:00"/>
        <d v="2025-02-23T00:00:00"/>
        <d v="2025-08-21T00:00:00"/>
        <d v="2025-07-31T00:00:00"/>
        <d v="2025-02-28T00:00:00"/>
        <d v="2025-09-18T00:00:00"/>
        <d v="2025-11-03T00:00:00"/>
        <d v="2025-12-04T00:00:00"/>
        <d v="2025-07-13T00:00:00"/>
        <d v="2025-09-15T00:00:00"/>
        <d v="2025-12-12T00:00:00"/>
        <d v="2025-02-05T00:00:00"/>
        <d v="2025-07-11T00:00:00"/>
        <d v="2025-07-15T00:00:00"/>
        <d v="2025-05-11T00:00:00"/>
        <d v="2025-10-28T00:00:00"/>
        <d v="2025-07-16T00:00:00"/>
        <d v="2025-02-16T00:00:00"/>
        <d v="2025-07-07T00:00:00"/>
        <d v="2025-09-04T00:00:00"/>
        <d v="2025-04-26T00:00:00"/>
        <d v="2025-01-13T00:00:00"/>
        <d v="2025-08-26T00:00:00"/>
        <d v="2025-02-19T00:00:00"/>
        <d v="2025-09-08T00:00:00"/>
        <d v="2025-03-04T00:00:00"/>
        <d v="2025-03-06T00:00:00"/>
        <d v="2025-03-17T00:00:00"/>
        <d v="2025-02-26T00:00:00"/>
        <d v="2025-06-15T00:00:00"/>
        <d v="2025-11-11T00:00:00"/>
        <d v="2025-05-31T00:00:00"/>
        <d v="2025-10-10T00:00:00"/>
        <d v="2025-08-01T00:00:00"/>
        <d v="2025-06-18T00:00:00"/>
        <d v="2025-12-22T00:00:00"/>
        <d v="2025-10-17T00:00:00"/>
        <d v="2025-07-12T00:00:00"/>
        <d v="2025-09-06T00:00:00"/>
        <d v="2025-12-14T00:00:00"/>
        <d v="2025-04-15T00:00:00"/>
        <d v="2025-08-09T00:00:00"/>
        <d v="2025-01-22T00:00:00"/>
        <d v="2025-10-21T00:00:00"/>
        <d v="2025-11-13T00:00:00"/>
        <d v="2025-09-26T00:00:00"/>
        <d v="2025-04-12T00:00:00"/>
        <d v="2025-10-24T00:00:00"/>
        <d v="2025-08-15T00:00:00"/>
        <d v="2025-08-20T00:00:00"/>
        <d v="2025-03-19T00:00:00"/>
        <d v="2025-08-13T00:00:00"/>
        <d v="2025-06-29T00:00:00"/>
        <d v="2025-06-08T00:00:00"/>
        <d v="2025-06-01T00:00:00"/>
        <d v="2025-11-02T00:00:00"/>
        <d v="2025-08-19T00:00:00"/>
        <d v="2025-03-16T00:00:00"/>
        <d v="2025-02-10T00:00:00"/>
        <d v="2025-06-04T00:00:00"/>
        <d v="2025-01-01T00:00:00"/>
        <d v="2025-09-27T00:00:00"/>
        <d v="2025-07-18T00:00:00"/>
        <d v="2025-10-06T00:00:00"/>
        <d v="2025-03-05T00:00:00"/>
        <d v="2025-09-12T00:00:00"/>
        <d v="2025-04-03T00:00:00"/>
        <d v="2025-08-07T00:00:00"/>
        <d v="2025-11-08T00:00:00"/>
        <d v="2025-01-17T00:00:00"/>
        <d v="2025-02-09T00:00:00"/>
        <d v="2025-04-06T00:00:00"/>
        <d v="2025-08-16T00:00:00"/>
        <d v="2025-06-03T00:00:00"/>
        <d v="2025-03-13T00:00:00"/>
        <d v="2025-03-08T00:00:00"/>
        <d v="2025-09-03T00:00:00"/>
        <d v="2025-12-30T00:00:00"/>
        <d v="2025-05-21T00:00:00"/>
        <d v="2025-01-24T00:00:00"/>
        <d v="2025-11-18T00:00:00"/>
        <d v="2025-01-31T00:00:00"/>
        <d v="2025-06-13T00:00:00"/>
        <d v="2025-03-23T00:00:00"/>
        <d v="2025-09-13T00:00:00"/>
        <d v="2025-06-30T00:00:00"/>
        <d v="2025-10-15T00:00:00"/>
        <d v="2025-06-20T00:00:00"/>
        <d v="2025-03-25T00:00:00"/>
        <d v="2025-01-09T00:00:00"/>
        <d v="2025-03-29T00:00:00"/>
        <d v="2025-09-30T00:00:00"/>
        <d v="2025-06-02T00:00:00"/>
        <d v="2025-06-26T00:00:00"/>
        <d v="2025-05-12T00:00:00"/>
        <d v="2025-08-30T00:00:00"/>
        <d v="2025-02-15T00:00:00"/>
        <d v="2025-07-23T00:00:00"/>
        <d v="2025-06-21T00:00:00"/>
        <d v="2025-04-09T00:00:00"/>
        <d v="2025-06-22T00:00:00"/>
        <d v="2025-02-14T00:00:00"/>
        <d v="2025-12-27T00:00:00"/>
        <d v="2025-04-22T00:00:00"/>
        <d v="2025-01-29T00:00:00"/>
        <d v="2025-06-07T00:00:00"/>
        <d v="2025-11-25T00:00:00"/>
        <d v="2025-06-27T00:00:00"/>
        <d v="2025-12-11T00:00:00"/>
        <d v="2025-09-11T00:00:00"/>
        <d v="2025-11-06T00:00:00"/>
        <d v="2025-10-01T00:00:00"/>
        <d v="2025-04-24T00:00:00"/>
        <d v="2025-05-10T00:00:00"/>
        <d v="2025-12-23T00:00:00"/>
        <d v="2025-02-18T00:00:00"/>
        <d v="2025-12-05T00:00:00"/>
        <d v="2025-12-31T00:00:00"/>
        <d v="2025-10-13T00:00:00"/>
        <d v="2025-06-16T00:00:00"/>
        <d v="2025-07-14T00:00:00"/>
        <d v="2025-08-04T00:00:00"/>
        <d v="2025-11-12T00:00:00"/>
        <d v="2025-10-31T00:00:00"/>
        <d v="2025-05-30T00:00:00"/>
        <d v="2025-12-21T00:00:00"/>
        <d v="2025-11-01T00:00:00"/>
        <d v="2025-09-19T00:00:00"/>
        <d v="2025-09-05T00:00:00"/>
        <d v="2025-05-05T00:00:00"/>
        <d v="2025-07-27T00:00:00"/>
        <d v="2025-01-03T00:00:00"/>
        <d v="2025-11-27T00:00:00"/>
        <d v="2025-01-28T00:00:00"/>
        <d v="2025-04-23T00:00:00"/>
        <d v="2025-08-14T00:00:00"/>
        <d v="2025-05-07T00:00:00"/>
        <d v="2025-03-02T00:00:00"/>
        <d v="2025-08-08T00:00:00"/>
        <d v="2025-02-17T00:00:00"/>
        <d v="2025-06-25T00:00:00"/>
        <d v="2025-02-12T00:00:00"/>
        <d v="2025-11-04T00:00:00"/>
        <d v="2025-02-06T00:00:00"/>
        <d v="2025-02-07T00:00:00"/>
        <d v="2025-01-30T00:00:00"/>
        <d v="2025-05-13T00:00:00"/>
        <d v="2025-01-19T00:00:00"/>
        <d v="2025-01-27T00:00:00"/>
        <d v="2025-04-11T00:00:00"/>
        <d v="2025-05-24T00:00:00"/>
        <d v="2025-08-11T00:00:00"/>
        <d v="2025-03-21T00:00:00"/>
        <d v="2025-04-17T00:00:00"/>
        <d v="2025-07-02T00:00:00"/>
        <d v="2025-02-03T00:00:00"/>
        <d v="2025-01-26T00:00:00"/>
        <d v="2025-11-14T00:00:00"/>
        <d v="2025-03-12T00:00:00"/>
        <d v="2025-07-03T00:00:00"/>
        <d v="2025-12-03T00:00:00"/>
        <d v="2025-03-30T00:00:00"/>
        <d v="2025-10-30T00:00:00"/>
        <d v="2025-09-10T00:00:00"/>
        <d v="2025-07-06T00:00:00"/>
        <d v="2025-03-27T00:00:00"/>
        <d v="2025-10-23T00:00:00"/>
        <d v="2025-01-11T00:00:00"/>
        <d v="2025-12-01T00:00:00"/>
        <d v="2025-07-29T00:00:00"/>
        <d v="2025-12-16T00:00:00"/>
        <d v="2025-09-24T00:00:00"/>
        <d v="2025-12-17T00:00:00"/>
        <d v="2025-06-14T00:00:00"/>
        <d v="2025-07-26T00:00:00"/>
        <d v="2025-04-20T00:00:00"/>
        <d v="2025-08-03T00:00:00"/>
        <d v="2025-10-14T00:00:00"/>
        <d v="2025-09-16T00:00:00"/>
        <d v="2025-10-08T00:00:00"/>
        <d v="2025-12-06T00:00:00"/>
        <d v="2025-05-25T00:00:00"/>
        <d v="2025-04-14T00:00:00"/>
        <d v="2025-11-15T00:00:00"/>
        <d v="2025-08-22T00:00:00"/>
        <d v="2025-06-23T00:00:00"/>
        <d v="2025-05-08T00:00:00"/>
        <d v="2025-05-29T00:00:00"/>
        <d v="2025-09-21T00:00:00"/>
        <d v="2025-05-04T00:00:00"/>
        <d v="2025-11-19T00:00:00"/>
        <d v="2025-04-02T00:00:00"/>
        <d v="2025-03-11T00:00:00"/>
        <d v="2025-11-28T00:00:00"/>
        <d v="2025-09-20T00:00:00"/>
        <d v="2025-09-17T00:00:00"/>
        <d v="2025-11-29T00:00:00"/>
        <d v="2025-03-26T00:00:00"/>
        <d v="2025-01-10T00:00:00"/>
        <d v="2025-06-11T00:00:00"/>
        <d v="2025-04-13T00:00:00"/>
        <d v="2025-05-16T00:00:00"/>
        <d v="2025-09-02T00:00:00"/>
        <d v="2025-01-12T00:00:00"/>
        <d v="2025-08-31T00:00:00"/>
        <d v="2025-05-20T00:00:00"/>
        <d v="2025-09-25T00:00:00"/>
        <d v="2025-04-07T00:00:00"/>
        <d v="2025-07-10T00:00:00"/>
        <d v="2025-05-09T00:00:00"/>
        <d v="2025-12-26T00:00:00"/>
        <d v="2025-06-28T00:00:00"/>
        <d v="2025-02-24T00:00:00"/>
        <d v="2025-10-20T00:00:00"/>
        <d v="2025-04-27T00:00:00"/>
        <d v="2025-03-22T00:00:00"/>
        <d v="2025-09-14T00:00:00"/>
        <d v="2025-10-05T00:00:00"/>
        <d v="2025-01-14T00:00:00"/>
        <d v="2025-10-02T00:00:00"/>
        <d v="2025-09-22T00:00:00"/>
        <d v="2025-05-26T00:00:00"/>
        <d v="2025-03-15T00:00:00"/>
        <d v="2025-02-01T00:00:00"/>
        <d v="2025-05-27T00:00:00"/>
        <d v="2025-02-20T00:00:00"/>
        <d v="2025-04-10T00:00:00"/>
        <d v="2025-01-07T00:00:00"/>
        <d v="2025-02-21T00:00:00"/>
        <d v="2025-09-29T00:00:00"/>
        <d v="2025-04-21T00:00:00"/>
        <d v="2025-11-23T00:00:00"/>
        <d v="2025-12-29T00:00:00"/>
        <d v="2025-05-23T00:00:00"/>
        <d v="2025-08-06T00:00:00"/>
        <d v="2025-07-17T00:00:00"/>
        <d v="2025-04-01T00:00:00"/>
        <d v="2025-09-07T00:00:00"/>
        <d v="2025-12-13T00:00:00"/>
        <d v="2025-08-24T00:00:00"/>
        <d v="2025-11-30T00:00:00"/>
        <d v="2025-07-28T00:00:00"/>
        <d v="2025-10-07T00:00:00"/>
        <d v="2025-11-26T00:00:00"/>
        <d v="2025-11-05T00:00:00"/>
        <d v="2025-07-01T00:00:00"/>
        <d v="2025-07-22T00:00:00"/>
        <d v="2025-03-07T00:00:00"/>
        <d v="2025-05-14T00:00:00"/>
        <d v="2025-08-02T00:00:00"/>
        <d v="2025-07-08T00:00:00"/>
        <d v="2025-04-04T00:00:00"/>
        <d v="2025-08-12T00:00:00"/>
        <d v="2025-03-20T00:00:00"/>
        <d v="2025-07-20T00:00:00"/>
        <d v="2025-10-11T00:00:00"/>
        <d v="2025-12-08T00:00:00"/>
        <d v="2025-03-03T00:00:00"/>
        <d v="2025-12-25T00:00:00"/>
        <d v="2025-03-18T00:00:00"/>
        <d v="2025-04-18T00:00:00"/>
        <d v="2025-10-19T00:00:00"/>
        <d v="2025-08-27T00:00:00"/>
        <d v="2025-06-12T00:00:00"/>
        <d v="2025-11-09T00:00:00"/>
        <d v="2025-01-02T00:00:00"/>
        <d v="2025-12-07T00:00:00"/>
        <d v="2025-09-28T00:00:00"/>
        <d v="2025-03-24T00:00:00"/>
        <d v="2025-12-15T00:00:00"/>
        <d v="2025-01-06T00:00:00"/>
        <d v="2025-08-17T00:00:00"/>
        <d v="2025-05-28T00:00:00"/>
        <d v="2025-01-18T00:00:00"/>
        <d v="2025-04-16T00:00:00"/>
        <d v="2025-04-29T00:00:00"/>
        <d v="2025-11-20T00:00:00"/>
        <d v="2025-01-05T00:00:00"/>
        <d v="2025-06-10T00:00:00"/>
      </sharedItems>
      <fieldGroup par="18"/>
    </cacheField>
    <cacheField name="Date Closed" numFmtId="14">
      <sharedItems containsNonDate="0" containsDate="1" containsString="0" containsBlank="1" minDate="2025-01-04T00:00:00" maxDate="2026-01-16T00:00:00"/>
    </cacheField>
    <cacheField name="Channel" numFmtId="0">
      <sharedItems/>
    </cacheField>
    <cacheField name="Citizen Satisfaction" numFmtId="0">
      <sharedItems containsString="0" containsBlank="1" containsNumber="1" containsInteger="1" minValue="1" maxValue="5"/>
    </cacheField>
    <cacheField name="Resolution Days" numFmtId="0">
      <sharedItems containsString="0" containsBlank="1" containsNumber="1" containsInteger="1" minValue="0" maxValue="15"/>
    </cacheField>
    <cacheField name="Target Days" numFmtId="0">
      <sharedItems containsSemiMixedTypes="0" containsString="0" containsNumber="1" containsInteger="1" minValue="3" maxValue="14"/>
    </cacheField>
    <cacheField name="Resolved Within Target" numFmtId="0">
      <sharedItems/>
    </cacheField>
    <cacheField name="Opened Month" numFmtId="14">
      <sharedItems containsSemiMixedTypes="0" containsNonDate="0" containsDate="1" containsString="0" minDate="2025-01-01T00:00:00" maxDate="2025-12-02T00:00:00"/>
    </cacheField>
    <cacheField name="Opened Year" numFmtId="0">
      <sharedItems containsSemiMixedTypes="0" containsString="0" containsNumber="1" containsInteger="1" minValue="2025" maxValue="2025"/>
    </cacheField>
    <cacheField name="Opened Quarter" numFmtId="0">
      <sharedItems containsSemiMixedTypes="0" containsString="0" containsNumber="1" containsInteger="1" minValue="1" maxValue="4"/>
    </cacheField>
    <cacheField name="Is Closed" numFmtId="0">
      <sharedItems/>
    </cacheField>
    <cacheField name="Months (Date Opened)" numFmtId="0" databaseField="0">
      <fieldGroup base="6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Date Opened)" numFmtId="0" databaseField="0">
      <fieldGroup base="6">
        <rangePr groupBy="years" startDate="2025-01-01T00:00:00" endDate="2026-01-01T00:00:00"/>
        <groupItems count="4">
          <s v="&lt;01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R-2025-00001"/>
    <x v="0"/>
    <s v="Streetlight Repair"/>
    <s v="Low"/>
    <x v="0"/>
    <s v="Ward 5"/>
    <x v="0"/>
    <d v="2025-04-30T00:00:00"/>
    <s v="Web"/>
    <n v="5"/>
    <n v="5"/>
    <n v="14"/>
    <s v="Yes"/>
    <d v="2025-04-01T00:00:00"/>
    <n v="2025"/>
    <n v="2"/>
    <s v="Yes"/>
  </r>
  <r>
    <s v="SR-2025-00002"/>
    <x v="1"/>
    <s v="Animal Complaint"/>
    <s v="Low"/>
    <x v="0"/>
    <s v="Ward 5"/>
    <x v="1"/>
    <d v="2025-05-11T00:00:00"/>
    <s v="Phone"/>
    <n v="4"/>
    <n v="11"/>
    <n v="14"/>
    <s v="Yes"/>
    <d v="2025-04-01T00:00:00"/>
    <n v="2025"/>
    <n v="2"/>
    <s v="Yes"/>
  </r>
  <r>
    <s v="SR-2025-00003"/>
    <x v="0"/>
    <s v="Traffic Concern"/>
    <s v="Low"/>
    <x v="0"/>
    <s v="Ward 4"/>
    <x v="2"/>
    <d v="2025-01-19T00:00:00"/>
    <s v="Mobile App"/>
    <n v="5"/>
    <n v="15"/>
    <n v="14"/>
    <s v="No"/>
    <d v="2025-01-01T00:00:00"/>
    <n v="2025"/>
    <n v="1"/>
    <s v="Yes"/>
  </r>
  <r>
    <s v="SR-2025-00004"/>
    <x v="2"/>
    <s v="Recycling Issue"/>
    <s v="Low"/>
    <x v="1"/>
    <s v="Ward 1"/>
    <x v="3"/>
    <m/>
    <s v="Email"/>
    <m/>
    <m/>
    <n v="14"/>
    <s v="Pending"/>
    <d v="2025-02-01T00:00:00"/>
    <n v="2025"/>
    <n v="1"/>
    <s v="No"/>
  </r>
  <r>
    <s v="SR-2025-00005"/>
    <x v="3"/>
    <s v="Sidewalk Damage"/>
    <s v="High"/>
    <x v="0"/>
    <s v="Ward 1"/>
    <x v="4"/>
    <d v="2025-01-29T00:00:00"/>
    <s v="Email"/>
    <n v="4"/>
    <n v="6"/>
    <n v="7"/>
    <s v="Yes"/>
    <d v="2025-01-01T00:00:00"/>
    <n v="2025"/>
    <n v="1"/>
    <s v="Yes"/>
  </r>
  <r>
    <s v="SR-2025-00006"/>
    <x v="3"/>
    <s v="Sidewalk Damage"/>
    <s v="High"/>
    <x v="0"/>
    <s v="Ward 1"/>
    <x v="5"/>
    <d v="2025-07-10T00:00:00"/>
    <s v="Web"/>
    <n v="3"/>
    <n v="5"/>
    <n v="7"/>
    <s v="Yes"/>
    <d v="2025-07-01T00:00:00"/>
    <n v="2025"/>
    <n v="3"/>
    <s v="Yes"/>
  </r>
  <r>
    <s v="SR-2025-00007"/>
    <x v="0"/>
    <s v="Traffic Signal Issue"/>
    <s v="High"/>
    <x v="2"/>
    <s v="Ward 1"/>
    <x v="1"/>
    <m/>
    <s v="Email"/>
    <m/>
    <m/>
    <n v="7"/>
    <s v="Pending"/>
    <d v="2025-04-01T00:00:00"/>
    <n v="2025"/>
    <n v="2"/>
    <s v="No"/>
  </r>
  <r>
    <s v="SR-2025-00008"/>
    <x v="2"/>
    <s v="Green Bin Issue"/>
    <s v="Medium"/>
    <x v="0"/>
    <s v="Ward 3"/>
    <x v="6"/>
    <d v="2025-07-16T00:00:00"/>
    <s v="Web"/>
    <n v="3"/>
    <n v="7"/>
    <n v="10"/>
    <s v="Yes"/>
    <d v="2025-07-01T00:00:00"/>
    <n v="2025"/>
    <n v="3"/>
    <s v="Yes"/>
  </r>
  <r>
    <s v="SR-2025-00009"/>
    <x v="1"/>
    <s v="Property Standards"/>
    <s v="Medium"/>
    <x v="0"/>
    <s v="Ward 5"/>
    <x v="7"/>
    <d v="2025-09-02T00:00:00"/>
    <s v="Phone"/>
    <n v="3"/>
    <n v="8"/>
    <n v="10"/>
    <s v="Yes"/>
    <d v="2025-08-01T00:00:00"/>
    <n v="2025"/>
    <n v="3"/>
    <s v="Yes"/>
  </r>
  <r>
    <s v="SR-2025-00010"/>
    <x v="0"/>
    <s v="Road Sign Damage"/>
    <s v="High"/>
    <x v="1"/>
    <s v="Ward 1"/>
    <x v="8"/>
    <m/>
    <s v="Mobile App"/>
    <m/>
    <m/>
    <n v="7"/>
    <s v="Pending"/>
    <d v="2025-04-01T00:00:00"/>
    <n v="2025"/>
    <n v="2"/>
    <s v="No"/>
  </r>
  <r>
    <s v="SR-2025-00011"/>
    <x v="4"/>
    <s v="Sewer Backup"/>
    <s v="Low"/>
    <x v="2"/>
    <s v="Ward 3"/>
    <x v="9"/>
    <m/>
    <s v="Phone"/>
    <m/>
    <m/>
    <n v="14"/>
    <s v="Pending"/>
    <d v="2025-10-01T00:00:00"/>
    <n v="2025"/>
    <n v="4"/>
    <s v="No"/>
  </r>
  <r>
    <s v="SR-2025-00012"/>
    <x v="0"/>
    <s v="Traffic Concern"/>
    <s v="Medium"/>
    <x v="2"/>
    <s v="Ward 2"/>
    <x v="10"/>
    <m/>
    <s v="Mobile App"/>
    <m/>
    <m/>
    <n v="10"/>
    <s v="Pending"/>
    <d v="2025-08-01T00:00:00"/>
    <n v="2025"/>
    <n v="3"/>
    <s v="No"/>
  </r>
  <r>
    <s v="SR-2025-00013"/>
    <x v="5"/>
    <s v="Park Equipment Damage"/>
    <s v="High"/>
    <x v="0"/>
    <s v="Ward 4"/>
    <x v="11"/>
    <d v="2025-10-31T00:00:00"/>
    <s v="Mobile App"/>
    <n v="5"/>
    <n v="4"/>
    <n v="7"/>
    <s v="Yes"/>
    <d v="2025-10-01T00:00:00"/>
    <n v="2025"/>
    <n v="4"/>
    <s v="Yes"/>
  </r>
  <r>
    <s v="SR-2025-00014"/>
    <x v="5"/>
    <s v="Park Equipment Damage"/>
    <s v="Medium"/>
    <x v="0"/>
    <s v="Ward 2"/>
    <x v="12"/>
    <d v="2025-01-28T00:00:00"/>
    <s v="Email"/>
    <n v="3"/>
    <n v="3"/>
    <n v="10"/>
    <s v="Yes"/>
    <d v="2025-01-01T00:00:00"/>
    <n v="2025"/>
    <n v="1"/>
    <s v="Yes"/>
  </r>
  <r>
    <s v="SR-2025-00015"/>
    <x v="1"/>
    <s v="Noise Complaint"/>
    <s v="Medium"/>
    <x v="0"/>
    <s v="Ward 5"/>
    <x v="13"/>
    <d v="2025-09-07T00:00:00"/>
    <s v="Web"/>
    <n v="3"/>
    <n v="10"/>
    <n v="10"/>
    <s v="Yes"/>
    <d v="2025-08-01T00:00:00"/>
    <n v="2025"/>
    <n v="3"/>
    <s v="Yes"/>
  </r>
  <r>
    <s v="SR-2025-00016"/>
    <x v="0"/>
    <s v="Streetlight Repair"/>
    <s v="Medium"/>
    <x v="0"/>
    <s v="Ward 4"/>
    <x v="14"/>
    <d v="2025-05-24T00:00:00"/>
    <s v="Phone"/>
    <n v="3"/>
    <n v="7"/>
    <n v="10"/>
    <s v="Yes"/>
    <d v="2025-05-01T00:00:00"/>
    <n v="2025"/>
    <n v="2"/>
    <s v="Yes"/>
  </r>
  <r>
    <s v="SR-2025-00017"/>
    <x v="4"/>
    <s v="Water Leak"/>
    <s v="Critical"/>
    <x v="2"/>
    <s v="Ward 5"/>
    <x v="15"/>
    <m/>
    <s v="Phone"/>
    <m/>
    <m/>
    <n v="3"/>
    <s v="Pending"/>
    <d v="2025-05-01T00:00:00"/>
    <n v="2025"/>
    <n v="2"/>
    <s v="No"/>
  </r>
  <r>
    <s v="SR-2025-00018"/>
    <x v="1"/>
    <s v="Noise Complaint"/>
    <s v="High"/>
    <x v="0"/>
    <s v="Ward 2"/>
    <x v="16"/>
    <d v="2025-11-29T00:00:00"/>
    <s v="Mobile App"/>
    <n v="4"/>
    <n v="5"/>
    <n v="7"/>
    <s v="Yes"/>
    <d v="2025-11-01T00:00:00"/>
    <n v="2025"/>
    <n v="4"/>
    <s v="Yes"/>
  </r>
  <r>
    <s v="SR-2025-00019"/>
    <x v="5"/>
    <s v="Tree Maintenance"/>
    <s v="Medium"/>
    <x v="0"/>
    <s v="Ward 3"/>
    <x v="17"/>
    <d v="2025-03-06T00:00:00"/>
    <s v="Phone"/>
    <n v="5"/>
    <n v="7"/>
    <n v="10"/>
    <s v="Yes"/>
    <d v="2025-02-01T00:00:00"/>
    <n v="2025"/>
    <n v="1"/>
    <s v="Yes"/>
  </r>
  <r>
    <s v="SR-2025-00020"/>
    <x v="3"/>
    <s v="Road Damage"/>
    <s v="High"/>
    <x v="2"/>
    <s v="Ward 4"/>
    <x v="18"/>
    <m/>
    <s v="Web"/>
    <m/>
    <m/>
    <n v="7"/>
    <s v="Pending"/>
    <d v="2025-02-01T00:00:00"/>
    <n v="2025"/>
    <n v="1"/>
    <s v="No"/>
  </r>
  <r>
    <s v="SR-2025-00021"/>
    <x v="1"/>
    <s v="Property Standards"/>
    <s v="Low"/>
    <x v="0"/>
    <s v="Ward 5"/>
    <x v="19"/>
    <d v="2025-10-14T00:00:00"/>
    <s v="Email"/>
    <n v="3"/>
    <n v="5"/>
    <n v="14"/>
    <s v="Yes"/>
    <d v="2025-10-01T00:00:00"/>
    <n v="2025"/>
    <n v="4"/>
    <s v="Yes"/>
  </r>
  <r>
    <s v="SR-2025-00022"/>
    <x v="5"/>
    <s v="Park Equipment Damage"/>
    <s v="High"/>
    <x v="0"/>
    <s v="Ward 5"/>
    <x v="20"/>
    <d v="2025-12-16T00:00:00"/>
    <s v="Email"/>
    <n v="4"/>
    <n v="6"/>
    <n v="7"/>
    <s v="Yes"/>
    <d v="2025-12-01T00:00:00"/>
    <n v="2025"/>
    <n v="4"/>
    <s v="Yes"/>
  </r>
  <r>
    <s v="SR-2025-00023"/>
    <x v="3"/>
    <s v="Road Damage"/>
    <s v="Low"/>
    <x v="0"/>
    <s v="Ward 2"/>
    <x v="21"/>
    <d v="2025-11-09T00:00:00"/>
    <s v="Web"/>
    <n v="3"/>
    <n v="11"/>
    <n v="14"/>
    <s v="Yes"/>
    <d v="2025-10-01T00:00:00"/>
    <n v="2025"/>
    <n v="4"/>
    <s v="Yes"/>
  </r>
  <r>
    <s v="SR-2025-00024"/>
    <x v="3"/>
    <s v="Pothole Repair"/>
    <s v="Low"/>
    <x v="2"/>
    <s v="Ward 1"/>
    <x v="22"/>
    <m/>
    <s v="In Person"/>
    <m/>
    <m/>
    <n v="14"/>
    <s v="Pending"/>
    <d v="2025-06-01T00:00:00"/>
    <n v="2025"/>
    <n v="2"/>
    <s v="No"/>
  </r>
  <r>
    <s v="SR-2025-00025"/>
    <x v="5"/>
    <s v="Grass Cutting"/>
    <s v="Medium"/>
    <x v="0"/>
    <s v="Ward 4"/>
    <x v="23"/>
    <d v="2025-03-18T00:00:00"/>
    <s v="Email"/>
    <n v="3"/>
    <n v="9"/>
    <n v="10"/>
    <s v="Yes"/>
    <d v="2025-03-01T00:00:00"/>
    <n v="2025"/>
    <n v="1"/>
    <s v="Yes"/>
  </r>
  <r>
    <s v="SR-2025-00026"/>
    <x v="5"/>
    <s v="Tree Maintenance"/>
    <s v="Low"/>
    <x v="0"/>
    <s v="Ward 1"/>
    <x v="24"/>
    <d v="2025-08-14T00:00:00"/>
    <s v="Web"/>
    <n v="4"/>
    <n v="9"/>
    <n v="14"/>
    <s v="Yes"/>
    <d v="2025-08-01T00:00:00"/>
    <n v="2025"/>
    <n v="3"/>
    <s v="Yes"/>
  </r>
  <r>
    <s v="SR-2025-00027"/>
    <x v="3"/>
    <s v="Snow Removal"/>
    <s v="High"/>
    <x v="1"/>
    <s v="Ward 2"/>
    <x v="25"/>
    <m/>
    <s v="Phone"/>
    <m/>
    <m/>
    <n v="7"/>
    <s v="Pending"/>
    <d v="2025-02-01T00:00:00"/>
    <n v="2025"/>
    <n v="1"/>
    <s v="No"/>
  </r>
  <r>
    <s v="SR-2025-00028"/>
    <x v="5"/>
    <s v="Trail Maintenance"/>
    <s v="Low"/>
    <x v="0"/>
    <s v="Ward 1"/>
    <x v="7"/>
    <d v="2025-08-31T00:00:00"/>
    <s v="Email"/>
    <n v="5"/>
    <n v="6"/>
    <n v="14"/>
    <s v="Yes"/>
    <d v="2025-08-01T00:00:00"/>
    <n v="2025"/>
    <n v="3"/>
    <s v="Yes"/>
  </r>
  <r>
    <s v="SR-2025-00029"/>
    <x v="1"/>
    <s v="Noise Complaint"/>
    <s v="Low"/>
    <x v="2"/>
    <s v="Ward 1"/>
    <x v="26"/>
    <m/>
    <s v="Phone"/>
    <m/>
    <m/>
    <n v="14"/>
    <s v="Pending"/>
    <d v="2025-01-01T00:00:00"/>
    <n v="2025"/>
    <n v="1"/>
    <s v="No"/>
  </r>
  <r>
    <s v="SR-2025-00030"/>
    <x v="5"/>
    <s v="Trail Maintenance"/>
    <s v="Medium"/>
    <x v="0"/>
    <s v="Ward 1"/>
    <x v="27"/>
    <d v="2025-07-27T00:00:00"/>
    <s v="Email"/>
    <n v="3"/>
    <n v="2"/>
    <n v="10"/>
    <s v="Yes"/>
    <d v="2025-07-01T00:00:00"/>
    <n v="2025"/>
    <n v="3"/>
    <s v="Yes"/>
  </r>
  <r>
    <s v="SR-2025-00031"/>
    <x v="2"/>
    <s v="Green Bin Issue"/>
    <s v="Medium"/>
    <x v="0"/>
    <s v="Ward 3"/>
    <x v="28"/>
    <d v="2025-10-21T00:00:00"/>
    <s v="Phone"/>
    <n v="3"/>
    <n v="9"/>
    <n v="10"/>
    <s v="Yes"/>
    <d v="2025-10-01T00:00:00"/>
    <n v="2025"/>
    <n v="4"/>
    <s v="Yes"/>
  </r>
  <r>
    <s v="SR-2025-00032"/>
    <x v="3"/>
    <s v="Pothole Repair"/>
    <s v="High"/>
    <x v="0"/>
    <s v="Ward 5"/>
    <x v="11"/>
    <d v="2025-10-31T00:00:00"/>
    <s v="Phone"/>
    <n v="4"/>
    <n v="4"/>
    <n v="7"/>
    <s v="Yes"/>
    <d v="2025-10-01T00:00:00"/>
    <n v="2025"/>
    <n v="4"/>
    <s v="Yes"/>
  </r>
  <r>
    <s v="SR-2025-00033"/>
    <x v="3"/>
    <s v="Pothole Repair"/>
    <s v="High"/>
    <x v="0"/>
    <s v="Ward 4"/>
    <x v="29"/>
    <d v="2025-02-10T00:00:00"/>
    <s v="Web"/>
    <n v="5"/>
    <n v="6"/>
    <n v="7"/>
    <s v="Yes"/>
    <d v="2025-02-01T00:00:00"/>
    <n v="2025"/>
    <n v="1"/>
    <s v="Yes"/>
  </r>
  <r>
    <s v="SR-2025-00034"/>
    <x v="1"/>
    <s v="Property Standards"/>
    <s v="Medium"/>
    <x v="0"/>
    <s v="Ward 5"/>
    <x v="30"/>
    <d v="2025-02-19T00:00:00"/>
    <s v="In Person"/>
    <n v="4"/>
    <n v="8"/>
    <n v="10"/>
    <s v="Yes"/>
    <d v="2025-02-01T00:00:00"/>
    <n v="2025"/>
    <n v="1"/>
    <s v="Yes"/>
  </r>
  <r>
    <s v="SR-2025-00035"/>
    <x v="2"/>
    <s v="Illegal Dumping"/>
    <s v="Low"/>
    <x v="0"/>
    <s v="Ward 3"/>
    <x v="31"/>
    <d v="2025-05-10T00:00:00"/>
    <s v="Email"/>
    <n v="4"/>
    <n v="7"/>
    <n v="14"/>
    <s v="Yes"/>
    <d v="2025-05-01T00:00:00"/>
    <n v="2025"/>
    <n v="2"/>
    <s v="Yes"/>
  </r>
  <r>
    <s v="SR-2025-00036"/>
    <x v="2"/>
    <s v="Missed Garbage Pickup"/>
    <s v="Low"/>
    <x v="0"/>
    <s v="Ward 2"/>
    <x v="32"/>
    <d v="2025-10-20T00:00:00"/>
    <s v="In Person"/>
    <n v="2"/>
    <n v="4"/>
    <n v="14"/>
    <s v="Yes"/>
    <d v="2025-10-01T00:00:00"/>
    <n v="2025"/>
    <n v="4"/>
    <s v="Yes"/>
  </r>
  <r>
    <s v="SR-2025-00037"/>
    <x v="2"/>
    <s v="Recycling Issue"/>
    <s v="High"/>
    <x v="2"/>
    <s v="Ward 3"/>
    <x v="33"/>
    <m/>
    <s v="Mobile App"/>
    <m/>
    <m/>
    <n v="7"/>
    <s v="Pending"/>
    <d v="2025-05-01T00:00:00"/>
    <n v="2025"/>
    <n v="2"/>
    <s v="No"/>
  </r>
  <r>
    <s v="SR-2025-00038"/>
    <x v="5"/>
    <s v="Trail Maintenance"/>
    <s v="High"/>
    <x v="0"/>
    <s v="Ward 1"/>
    <x v="34"/>
    <d v="2025-11-17T00:00:00"/>
    <s v="In Person"/>
    <n v="4"/>
    <n v="7"/>
    <n v="7"/>
    <s v="Yes"/>
    <d v="2025-11-01T00:00:00"/>
    <n v="2025"/>
    <n v="4"/>
    <s v="Yes"/>
  </r>
  <r>
    <s v="SR-2025-00039"/>
    <x v="2"/>
    <s v="Missed Garbage Pickup"/>
    <s v="High"/>
    <x v="0"/>
    <s v="Ward 2"/>
    <x v="35"/>
    <d v="2025-03-02T00:00:00"/>
    <s v="Mobile App"/>
    <n v="5"/>
    <n v="1"/>
    <n v="7"/>
    <s v="Yes"/>
    <d v="2025-03-01T00:00:00"/>
    <n v="2025"/>
    <n v="1"/>
    <s v="Yes"/>
  </r>
  <r>
    <s v="SR-2025-00040"/>
    <x v="2"/>
    <s v="Recycling Issue"/>
    <s v="High"/>
    <x v="0"/>
    <s v="Ward 4"/>
    <x v="36"/>
    <d v="2025-11-28T00:00:00"/>
    <s v="Mobile App"/>
    <n v="3"/>
    <n v="7"/>
    <n v="7"/>
    <s v="Yes"/>
    <d v="2025-11-01T00:00:00"/>
    <n v="2025"/>
    <n v="4"/>
    <s v="Yes"/>
  </r>
  <r>
    <s v="SR-2025-00041"/>
    <x v="3"/>
    <s v="Pothole Repair"/>
    <s v="Medium"/>
    <x v="1"/>
    <s v="Ward 1"/>
    <x v="4"/>
    <m/>
    <s v="Mobile App"/>
    <m/>
    <m/>
    <n v="10"/>
    <s v="Pending"/>
    <d v="2025-01-01T00:00:00"/>
    <n v="2025"/>
    <n v="1"/>
    <s v="No"/>
  </r>
  <r>
    <s v="SR-2025-00042"/>
    <x v="5"/>
    <s v="Grass Cutting"/>
    <s v="Low"/>
    <x v="0"/>
    <s v="Ward 1"/>
    <x v="37"/>
    <d v="2026-01-06T00:00:00"/>
    <s v="Web"/>
    <n v="4"/>
    <n v="9"/>
    <n v="14"/>
    <s v="Yes"/>
    <d v="2025-12-01T00:00:00"/>
    <n v="2025"/>
    <n v="4"/>
    <s v="Yes"/>
  </r>
  <r>
    <s v="SR-2025-00043"/>
    <x v="0"/>
    <s v="Traffic Signal Issue"/>
    <s v="Medium"/>
    <x v="1"/>
    <s v="Ward 5"/>
    <x v="38"/>
    <m/>
    <s v="Phone"/>
    <m/>
    <m/>
    <n v="10"/>
    <s v="Pending"/>
    <d v="2025-10-01T00:00:00"/>
    <n v="2025"/>
    <n v="4"/>
    <s v="No"/>
  </r>
  <r>
    <s v="SR-2025-00044"/>
    <x v="4"/>
    <s v="Low Water Pressure"/>
    <s v="Low"/>
    <x v="0"/>
    <s v="Ward 2"/>
    <x v="39"/>
    <d v="2025-01-29T00:00:00"/>
    <s v="Web"/>
    <n v="3"/>
    <n v="8"/>
    <n v="14"/>
    <s v="Yes"/>
    <d v="2025-01-01T00:00:00"/>
    <n v="2025"/>
    <n v="1"/>
    <s v="Yes"/>
  </r>
  <r>
    <s v="SR-2025-00045"/>
    <x v="2"/>
    <s v="Green Bin Issue"/>
    <s v="Critical"/>
    <x v="1"/>
    <s v="Ward 2"/>
    <x v="40"/>
    <m/>
    <s v="Phone"/>
    <m/>
    <m/>
    <n v="3"/>
    <s v="Pending"/>
    <d v="2025-05-01T00:00:00"/>
    <n v="2025"/>
    <n v="2"/>
    <s v="No"/>
  </r>
  <r>
    <s v="SR-2025-00046"/>
    <x v="4"/>
    <s v="Water Leak"/>
    <s v="Low"/>
    <x v="2"/>
    <s v="Ward 2"/>
    <x v="41"/>
    <m/>
    <s v="Mobile App"/>
    <m/>
    <m/>
    <n v="14"/>
    <s v="Pending"/>
    <d v="2025-07-01T00:00:00"/>
    <n v="2025"/>
    <n v="3"/>
    <s v="No"/>
  </r>
  <r>
    <s v="SR-2025-00047"/>
    <x v="5"/>
    <s v="Tree Maintenance"/>
    <s v="Medium"/>
    <x v="0"/>
    <s v="Ward 4"/>
    <x v="42"/>
    <d v="2025-09-03T00:00:00"/>
    <s v="Mobile App"/>
    <n v="3"/>
    <n v="5"/>
    <n v="10"/>
    <s v="Yes"/>
    <d v="2025-08-01T00:00:00"/>
    <n v="2025"/>
    <n v="3"/>
    <s v="Yes"/>
  </r>
  <r>
    <s v="SR-2025-00048"/>
    <x v="2"/>
    <s v="Recycling Issue"/>
    <s v="Low"/>
    <x v="0"/>
    <s v="Ward 1"/>
    <x v="43"/>
    <d v="2025-08-01T00:00:00"/>
    <s v="Mobile App"/>
    <n v="3"/>
    <n v="8"/>
    <n v="14"/>
    <s v="Yes"/>
    <d v="2025-07-01T00:00:00"/>
    <n v="2025"/>
    <n v="3"/>
    <s v="Yes"/>
  </r>
  <r>
    <s v="SR-2025-00049"/>
    <x v="2"/>
    <s v="Green Bin Issue"/>
    <s v="Medium"/>
    <x v="1"/>
    <s v="Ward 1"/>
    <x v="22"/>
    <m/>
    <s v="Web"/>
    <m/>
    <m/>
    <n v="10"/>
    <s v="Pending"/>
    <d v="2025-06-01T00:00:00"/>
    <n v="2025"/>
    <n v="2"/>
    <s v="No"/>
  </r>
  <r>
    <s v="SR-2025-00050"/>
    <x v="2"/>
    <s v="Recycling Issue"/>
    <s v="Medium"/>
    <x v="2"/>
    <s v="Ward 1"/>
    <x v="44"/>
    <m/>
    <s v="In Person"/>
    <m/>
    <m/>
    <n v="10"/>
    <s v="Pending"/>
    <d v="2025-01-01T00:00:00"/>
    <n v="2025"/>
    <n v="1"/>
    <s v="No"/>
  </r>
  <r>
    <s v="SR-2025-00051"/>
    <x v="4"/>
    <s v="Sewer Backup"/>
    <s v="High"/>
    <x v="0"/>
    <s v="Ward 5"/>
    <x v="45"/>
    <d v="2025-11-12T00:00:00"/>
    <s v="Phone"/>
    <n v="3"/>
    <n v="5"/>
    <n v="7"/>
    <s v="Yes"/>
    <d v="2025-11-01T00:00:00"/>
    <n v="2025"/>
    <n v="4"/>
    <s v="Yes"/>
  </r>
  <r>
    <s v="SR-2025-00052"/>
    <x v="2"/>
    <s v="Missed Garbage Pickup"/>
    <s v="High"/>
    <x v="0"/>
    <s v="Ward 2"/>
    <x v="46"/>
    <d v="2025-10-09T00:00:00"/>
    <s v="Mobile App"/>
    <n v="5"/>
    <n v="6"/>
    <n v="7"/>
    <s v="Yes"/>
    <d v="2025-10-01T00:00:00"/>
    <n v="2025"/>
    <n v="4"/>
    <s v="Yes"/>
  </r>
  <r>
    <s v="SR-2025-00053"/>
    <x v="4"/>
    <s v="Water Leak"/>
    <s v="Critical"/>
    <x v="2"/>
    <s v="Ward 3"/>
    <x v="47"/>
    <m/>
    <s v="Web"/>
    <m/>
    <m/>
    <n v="3"/>
    <s v="Pending"/>
    <d v="2025-11-01T00:00:00"/>
    <n v="2025"/>
    <n v="4"/>
    <s v="No"/>
  </r>
  <r>
    <s v="SR-2025-00054"/>
    <x v="0"/>
    <s v="Road Sign Damage"/>
    <s v="Medium"/>
    <x v="0"/>
    <s v="Ward 5"/>
    <x v="48"/>
    <d v="2025-06-25T00:00:00"/>
    <s v="Phone"/>
    <n v="5"/>
    <n v="8"/>
    <n v="10"/>
    <s v="Yes"/>
    <d v="2025-06-01T00:00:00"/>
    <n v="2025"/>
    <n v="2"/>
    <s v="Yes"/>
  </r>
  <r>
    <s v="SR-2025-00055"/>
    <x v="5"/>
    <s v="Trail Maintenance"/>
    <s v="Medium"/>
    <x v="0"/>
    <s v="Ward 1"/>
    <x v="49"/>
    <d v="2025-04-06T00:00:00"/>
    <s v="Mobile App"/>
    <n v="4"/>
    <n v="6"/>
    <n v="10"/>
    <s v="Yes"/>
    <d v="2025-03-01T00:00:00"/>
    <n v="2025"/>
    <n v="1"/>
    <s v="Yes"/>
  </r>
  <r>
    <s v="SR-2025-00056"/>
    <x v="2"/>
    <s v="Recycling Issue"/>
    <s v="Medium"/>
    <x v="0"/>
    <s v="Ward 4"/>
    <x v="50"/>
    <d v="2025-12-09T00:00:00"/>
    <s v="Phone"/>
    <n v="4"/>
    <n v="7"/>
    <n v="10"/>
    <s v="Yes"/>
    <d v="2025-12-01T00:00:00"/>
    <n v="2025"/>
    <n v="4"/>
    <s v="Yes"/>
  </r>
  <r>
    <s v="SR-2025-00057"/>
    <x v="1"/>
    <s v="Animal Complaint"/>
    <s v="High"/>
    <x v="2"/>
    <s v="Ward 1"/>
    <x v="51"/>
    <m/>
    <s v="Mobile App"/>
    <m/>
    <m/>
    <n v="7"/>
    <s v="Pending"/>
    <d v="2025-03-01T00:00:00"/>
    <n v="2025"/>
    <n v="1"/>
    <s v="No"/>
  </r>
  <r>
    <s v="SR-2025-00058"/>
    <x v="1"/>
    <s v="Parking Complaint"/>
    <s v="Low"/>
    <x v="2"/>
    <s v="Ward 3"/>
    <x v="52"/>
    <m/>
    <s v="Phone"/>
    <m/>
    <m/>
    <n v="14"/>
    <s v="Pending"/>
    <d v="2025-05-01T00:00:00"/>
    <n v="2025"/>
    <n v="2"/>
    <s v="No"/>
  </r>
  <r>
    <s v="SR-2025-00059"/>
    <x v="5"/>
    <s v="Park Equipment Damage"/>
    <s v="Low"/>
    <x v="0"/>
    <s v="Ward 1"/>
    <x v="53"/>
    <d v="2025-09-13T00:00:00"/>
    <s v="Email"/>
    <n v="5"/>
    <n v="12"/>
    <n v="14"/>
    <s v="Yes"/>
    <d v="2025-09-01T00:00:00"/>
    <n v="2025"/>
    <n v="3"/>
    <s v="Yes"/>
  </r>
  <r>
    <s v="SR-2025-00060"/>
    <x v="4"/>
    <s v="Low Water Pressure"/>
    <s v="High"/>
    <x v="0"/>
    <s v="Ward 1"/>
    <x v="43"/>
    <d v="2025-07-26T00:00:00"/>
    <s v="Web"/>
    <n v="3"/>
    <n v="2"/>
    <n v="7"/>
    <s v="Yes"/>
    <d v="2025-07-01T00:00:00"/>
    <n v="2025"/>
    <n v="3"/>
    <s v="Yes"/>
  </r>
  <r>
    <s v="SR-2025-00061"/>
    <x v="4"/>
    <s v="Low Water Pressure"/>
    <s v="Low"/>
    <x v="2"/>
    <s v="Ward 4"/>
    <x v="54"/>
    <m/>
    <s v="Web"/>
    <m/>
    <m/>
    <n v="14"/>
    <s v="Pending"/>
    <d v="2025-09-01T00:00:00"/>
    <n v="2025"/>
    <n v="3"/>
    <s v="No"/>
  </r>
  <r>
    <s v="SR-2025-00062"/>
    <x v="1"/>
    <s v="Property Standards"/>
    <s v="High"/>
    <x v="0"/>
    <s v="Ward 5"/>
    <x v="55"/>
    <d v="2025-03-17T00:00:00"/>
    <s v="In Person"/>
    <n v="4"/>
    <n v="7"/>
    <n v="7"/>
    <s v="Yes"/>
    <d v="2025-03-01T00:00:00"/>
    <n v="2025"/>
    <n v="1"/>
    <s v="Yes"/>
  </r>
  <r>
    <s v="SR-2025-00063"/>
    <x v="1"/>
    <s v="Parking Complaint"/>
    <s v="Critical"/>
    <x v="2"/>
    <s v="Ward 5"/>
    <x v="34"/>
    <m/>
    <s v="Email"/>
    <m/>
    <m/>
    <n v="3"/>
    <s v="Pending"/>
    <d v="2025-11-01T00:00:00"/>
    <n v="2025"/>
    <n v="4"/>
    <s v="No"/>
  </r>
  <r>
    <s v="SR-2025-00064"/>
    <x v="1"/>
    <s v="Animal Complaint"/>
    <s v="High"/>
    <x v="1"/>
    <s v="Ward 4"/>
    <x v="53"/>
    <m/>
    <s v="Mobile App"/>
    <m/>
    <m/>
    <n v="7"/>
    <s v="Pending"/>
    <d v="2025-09-01T00:00:00"/>
    <n v="2025"/>
    <n v="3"/>
    <s v="No"/>
  </r>
  <r>
    <s v="SR-2025-00065"/>
    <x v="5"/>
    <s v="Grass Cutting"/>
    <s v="High"/>
    <x v="0"/>
    <s v="Ward 1"/>
    <x v="56"/>
    <d v="2025-11-19T00:00:00"/>
    <s v="Mobile App"/>
    <n v="3"/>
    <n v="2"/>
    <n v="7"/>
    <s v="Yes"/>
    <d v="2025-11-01T00:00:00"/>
    <n v="2025"/>
    <n v="4"/>
    <s v="Yes"/>
  </r>
  <r>
    <s v="SR-2025-00066"/>
    <x v="5"/>
    <s v="Grass Cutting"/>
    <s v="Medium"/>
    <x v="2"/>
    <s v="Ward 2"/>
    <x v="30"/>
    <m/>
    <s v="Phone"/>
    <m/>
    <m/>
    <n v="10"/>
    <s v="Pending"/>
    <d v="2025-02-01T00:00:00"/>
    <n v="2025"/>
    <n v="1"/>
    <s v="No"/>
  </r>
  <r>
    <s v="SR-2025-00067"/>
    <x v="5"/>
    <s v="Trail Maintenance"/>
    <s v="Medium"/>
    <x v="0"/>
    <s v="Ward 5"/>
    <x v="57"/>
    <d v="2025-02-10T00:00:00"/>
    <s v="Email"/>
    <n v="4"/>
    <n v="8"/>
    <n v="10"/>
    <s v="Yes"/>
    <d v="2025-02-01T00:00:00"/>
    <n v="2025"/>
    <n v="1"/>
    <s v="Yes"/>
  </r>
  <r>
    <s v="SR-2025-00068"/>
    <x v="4"/>
    <s v="Water Leak"/>
    <s v="Low"/>
    <x v="0"/>
    <s v="Ward 5"/>
    <x v="11"/>
    <d v="2025-11-10T00:00:00"/>
    <s v="Email"/>
    <n v="1"/>
    <n v="14"/>
    <n v="14"/>
    <s v="Yes"/>
    <d v="2025-10-01T00:00:00"/>
    <n v="2025"/>
    <n v="4"/>
    <s v="Yes"/>
  </r>
  <r>
    <s v="SR-2025-00069"/>
    <x v="4"/>
    <s v="Water Leak"/>
    <s v="Critical"/>
    <x v="0"/>
    <s v="Ward 5"/>
    <x v="58"/>
    <d v="2025-07-22T00:00:00"/>
    <s v="In Person"/>
    <n v="4"/>
    <n v="3"/>
    <n v="3"/>
    <s v="Yes"/>
    <d v="2025-07-01T00:00:00"/>
    <n v="2025"/>
    <n v="3"/>
    <s v="Yes"/>
  </r>
  <r>
    <s v="SR-2025-00070"/>
    <x v="5"/>
    <s v="Trail Maintenance"/>
    <s v="Low"/>
    <x v="0"/>
    <s v="Ward 4"/>
    <x v="59"/>
    <d v="2025-01-24T00:00:00"/>
    <s v="Phone"/>
    <n v="4"/>
    <n v="9"/>
    <n v="14"/>
    <s v="Yes"/>
    <d v="2025-01-01T00:00:00"/>
    <n v="2025"/>
    <n v="1"/>
    <s v="Yes"/>
  </r>
  <r>
    <s v="SR-2025-00071"/>
    <x v="4"/>
    <s v="Low Water Pressure"/>
    <s v="Critical"/>
    <x v="0"/>
    <s v="Ward 4"/>
    <x v="60"/>
    <d v="2025-07-21T00:00:00"/>
    <s v="Phone"/>
    <n v="2"/>
    <n v="0"/>
    <n v="3"/>
    <s v="Yes"/>
    <d v="2025-07-01T00:00:00"/>
    <n v="2025"/>
    <n v="3"/>
    <s v="Yes"/>
  </r>
  <r>
    <s v="SR-2025-00072"/>
    <x v="4"/>
    <s v="Low Water Pressure"/>
    <s v="Low"/>
    <x v="0"/>
    <s v="Ward 4"/>
    <x v="61"/>
    <d v="2025-04-29T00:00:00"/>
    <s v="Mobile App"/>
    <n v="4"/>
    <n v="10"/>
    <n v="14"/>
    <s v="Yes"/>
    <d v="2025-04-01T00:00:00"/>
    <n v="2025"/>
    <n v="2"/>
    <s v="Yes"/>
  </r>
  <r>
    <s v="SR-2025-00073"/>
    <x v="4"/>
    <s v="Sewer Backup"/>
    <s v="High"/>
    <x v="0"/>
    <s v="Ward 3"/>
    <x v="62"/>
    <d v="2025-10-05T00:00:00"/>
    <s v="Phone"/>
    <n v="5"/>
    <n v="1"/>
    <n v="7"/>
    <s v="Yes"/>
    <d v="2025-10-01T00:00:00"/>
    <n v="2025"/>
    <n v="4"/>
    <s v="Yes"/>
  </r>
  <r>
    <s v="SR-2025-00074"/>
    <x v="0"/>
    <s v="Streetlight Repair"/>
    <s v="High"/>
    <x v="0"/>
    <s v="Ward 1"/>
    <x v="63"/>
    <d v="2025-01-18T00:00:00"/>
    <s v="In Person"/>
    <n v="3"/>
    <n v="2"/>
    <n v="7"/>
    <s v="Yes"/>
    <d v="2025-01-01T00:00:00"/>
    <n v="2025"/>
    <n v="1"/>
    <s v="Yes"/>
  </r>
  <r>
    <s v="SR-2025-00075"/>
    <x v="5"/>
    <s v="Park Equipment Damage"/>
    <s v="Low"/>
    <x v="0"/>
    <s v="Ward 3"/>
    <x v="32"/>
    <d v="2025-10-22T00:00:00"/>
    <s v="Mobile App"/>
    <n v="4"/>
    <n v="6"/>
    <n v="14"/>
    <s v="Yes"/>
    <d v="2025-10-01T00:00:00"/>
    <n v="2025"/>
    <n v="4"/>
    <s v="Yes"/>
  </r>
  <r>
    <s v="SR-2025-00076"/>
    <x v="5"/>
    <s v="Tree Maintenance"/>
    <s v="High"/>
    <x v="0"/>
    <s v="Ward 3"/>
    <x v="64"/>
    <d v="2025-06-10T00:00:00"/>
    <s v="In Person"/>
    <n v="4"/>
    <n v="1"/>
    <n v="7"/>
    <s v="Yes"/>
    <d v="2025-06-01T00:00:00"/>
    <n v="2025"/>
    <n v="2"/>
    <s v="Yes"/>
  </r>
  <r>
    <s v="SR-2025-00077"/>
    <x v="0"/>
    <s v="Traffic Concern"/>
    <s v="Medium"/>
    <x v="0"/>
    <s v="Ward 3"/>
    <x v="65"/>
    <d v="2025-02-13T00:00:00"/>
    <s v="In Person"/>
    <n v="2"/>
    <n v="5"/>
    <n v="10"/>
    <s v="Yes"/>
    <d v="2025-02-01T00:00:00"/>
    <n v="2025"/>
    <n v="1"/>
    <s v="Yes"/>
  </r>
  <r>
    <s v="SR-2025-00078"/>
    <x v="3"/>
    <s v="Pothole Repair"/>
    <s v="Medium"/>
    <x v="0"/>
    <s v="Ward 3"/>
    <x v="6"/>
    <d v="2025-07-12T00:00:00"/>
    <s v="Web"/>
    <n v="4"/>
    <n v="3"/>
    <n v="10"/>
    <s v="Yes"/>
    <d v="2025-07-01T00:00:00"/>
    <n v="2025"/>
    <n v="3"/>
    <s v="Yes"/>
  </r>
  <r>
    <s v="SR-2025-00079"/>
    <x v="4"/>
    <s v="Water Quality Concern"/>
    <s v="Low"/>
    <x v="2"/>
    <s v="Ward 4"/>
    <x v="66"/>
    <m/>
    <s v="Phone"/>
    <m/>
    <m/>
    <n v="14"/>
    <s v="Pending"/>
    <d v="2025-11-01T00:00:00"/>
    <n v="2025"/>
    <n v="4"/>
    <s v="No"/>
  </r>
  <r>
    <s v="SR-2025-00080"/>
    <x v="4"/>
    <s v="Low Water Pressure"/>
    <s v="High"/>
    <x v="2"/>
    <s v="Ward 5"/>
    <x v="67"/>
    <m/>
    <s v="In Person"/>
    <m/>
    <m/>
    <n v="7"/>
    <s v="Pending"/>
    <d v="2025-05-01T00:00:00"/>
    <n v="2025"/>
    <n v="2"/>
    <s v="No"/>
  </r>
  <r>
    <s v="SR-2025-00081"/>
    <x v="4"/>
    <s v="Water Quality Concern"/>
    <s v="Medium"/>
    <x v="0"/>
    <s v="Ward 1"/>
    <x v="68"/>
    <d v="2025-05-25T00:00:00"/>
    <s v="Mobile App"/>
    <n v="5"/>
    <n v="7"/>
    <n v="10"/>
    <s v="Yes"/>
    <d v="2025-05-01T00:00:00"/>
    <n v="2025"/>
    <n v="2"/>
    <s v="Yes"/>
  </r>
  <r>
    <s v="SR-2025-00082"/>
    <x v="4"/>
    <s v="Low Water Pressure"/>
    <s v="High"/>
    <x v="0"/>
    <s v="Ward 4"/>
    <x v="69"/>
    <d v="2025-12-13T00:00:00"/>
    <s v="Mobile App"/>
    <n v="4"/>
    <n v="4"/>
    <n v="7"/>
    <s v="Yes"/>
    <d v="2025-12-01T00:00:00"/>
    <n v="2025"/>
    <n v="4"/>
    <s v="Yes"/>
  </r>
  <r>
    <s v="SR-2025-00083"/>
    <x v="5"/>
    <s v="Trail Maintenance"/>
    <s v="Low"/>
    <x v="1"/>
    <s v="Ward 3"/>
    <x v="70"/>
    <m/>
    <s v="In Person"/>
    <m/>
    <m/>
    <n v="14"/>
    <s v="Pending"/>
    <d v="2025-06-01T00:00:00"/>
    <n v="2025"/>
    <n v="2"/>
    <s v="No"/>
  </r>
  <r>
    <s v="SR-2025-00084"/>
    <x v="0"/>
    <s v="Road Sign Damage"/>
    <s v="Medium"/>
    <x v="0"/>
    <s v="Ward 4"/>
    <x v="71"/>
    <d v="2025-04-11T00:00:00"/>
    <s v="Email"/>
    <n v="3"/>
    <n v="3"/>
    <n v="10"/>
    <s v="Yes"/>
    <d v="2025-04-01T00:00:00"/>
    <n v="2025"/>
    <n v="2"/>
    <s v="Yes"/>
  </r>
  <r>
    <s v="SR-2025-00085"/>
    <x v="1"/>
    <s v="Property Standards"/>
    <s v="Medium"/>
    <x v="0"/>
    <s v="Ward 1"/>
    <x v="72"/>
    <d v="2025-09-18T00:00:00"/>
    <s v="Mobile App"/>
    <n v="5"/>
    <n v="9"/>
    <n v="10"/>
    <s v="Yes"/>
    <d v="2025-09-01T00:00:00"/>
    <n v="2025"/>
    <n v="3"/>
    <s v="Yes"/>
  </r>
  <r>
    <s v="SR-2025-00086"/>
    <x v="5"/>
    <s v="Trail Maintenance"/>
    <s v="Medium"/>
    <x v="0"/>
    <s v="Ward 5"/>
    <x v="73"/>
    <d v="2025-11-01T00:00:00"/>
    <s v="Mobile App"/>
    <n v="4"/>
    <n v="7"/>
    <n v="10"/>
    <s v="Yes"/>
    <d v="2025-10-01T00:00:00"/>
    <n v="2025"/>
    <n v="4"/>
    <s v="Yes"/>
  </r>
  <r>
    <s v="SR-2025-00087"/>
    <x v="4"/>
    <s v="Sewer Backup"/>
    <s v="Medium"/>
    <x v="0"/>
    <s v="Ward 2"/>
    <x v="74"/>
    <d v="2025-06-12T00:00:00"/>
    <s v="Mobile App"/>
    <n v="3"/>
    <n v="6"/>
    <n v="10"/>
    <s v="Yes"/>
    <d v="2025-06-01T00:00:00"/>
    <n v="2025"/>
    <n v="2"/>
    <s v="Yes"/>
  </r>
  <r>
    <s v="SR-2025-00088"/>
    <x v="3"/>
    <s v="Road Damage"/>
    <s v="Low"/>
    <x v="0"/>
    <s v="Ward 5"/>
    <x v="75"/>
    <d v="2025-06-05T00:00:00"/>
    <s v="In Person"/>
    <n v="4"/>
    <n v="14"/>
    <n v="14"/>
    <s v="Yes"/>
    <d v="2025-05-01T00:00:00"/>
    <n v="2025"/>
    <n v="2"/>
    <s v="Yes"/>
  </r>
  <r>
    <s v="SR-2025-00089"/>
    <x v="2"/>
    <s v="Missed Garbage Pickup"/>
    <s v="High"/>
    <x v="0"/>
    <s v="Ward 5"/>
    <x v="76"/>
    <d v="2025-07-06T00:00:00"/>
    <s v="Phone"/>
    <n v="4"/>
    <n v="2"/>
    <n v="7"/>
    <s v="Yes"/>
    <d v="2025-07-01T00:00:00"/>
    <n v="2025"/>
    <n v="3"/>
    <s v="Yes"/>
  </r>
  <r>
    <s v="SR-2025-00090"/>
    <x v="2"/>
    <s v="Missed Garbage Pickup"/>
    <s v="Critical"/>
    <x v="0"/>
    <s v="Ward 4"/>
    <x v="77"/>
    <d v="2025-12-25T00:00:00"/>
    <s v="Web"/>
    <n v="4"/>
    <n v="1"/>
    <n v="3"/>
    <s v="Yes"/>
    <d v="2025-12-01T00:00:00"/>
    <n v="2025"/>
    <n v="4"/>
    <s v="Yes"/>
  </r>
  <r>
    <s v="SR-2025-00091"/>
    <x v="3"/>
    <s v="Sidewalk Damage"/>
    <s v="Medium"/>
    <x v="0"/>
    <s v="Ward 4"/>
    <x v="78"/>
    <d v="2025-04-07T00:00:00"/>
    <s v="Web"/>
    <n v="3"/>
    <n v="2"/>
    <n v="10"/>
    <s v="Yes"/>
    <d v="2025-04-01T00:00:00"/>
    <n v="2025"/>
    <n v="2"/>
    <s v="Yes"/>
  </r>
  <r>
    <s v="SR-2025-00092"/>
    <x v="3"/>
    <s v="Snow Removal"/>
    <s v="Medium"/>
    <x v="0"/>
    <s v="Ward 5"/>
    <x v="79"/>
    <d v="2025-12-20T00:00:00"/>
    <s v="Mobile App"/>
    <n v="3"/>
    <n v="2"/>
    <n v="10"/>
    <s v="Yes"/>
    <d v="2025-12-01T00:00:00"/>
    <n v="2025"/>
    <n v="4"/>
    <s v="Yes"/>
  </r>
  <r>
    <s v="SR-2025-00093"/>
    <x v="3"/>
    <s v="Road Damage"/>
    <s v="Low"/>
    <x v="1"/>
    <s v="Ward 5"/>
    <x v="45"/>
    <m/>
    <s v="In Person"/>
    <m/>
    <m/>
    <n v="14"/>
    <s v="Pending"/>
    <d v="2025-11-01T00:00:00"/>
    <n v="2025"/>
    <n v="4"/>
    <s v="No"/>
  </r>
  <r>
    <s v="SR-2025-00094"/>
    <x v="5"/>
    <s v="Trail Maintenance"/>
    <s v="Medium"/>
    <x v="0"/>
    <s v="Ward 5"/>
    <x v="21"/>
    <d v="2025-11-06T00:00:00"/>
    <s v="Web"/>
    <n v="4"/>
    <n v="8"/>
    <n v="10"/>
    <s v="Yes"/>
    <d v="2025-10-01T00:00:00"/>
    <n v="2025"/>
    <n v="4"/>
    <s v="Yes"/>
  </r>
  <r>
    <s v="SR-2025-00095"/>
    <x v="1"/>
    <s v="Noise Complaint"/>
    <s v="Critical"/>
    <x v="0"/>
    <s v="Ward 2"/>
    <x v="61"/>
    <d v="2025-04-21T00:00:00"/>
    <s v="Phone"/>
    <n v="5"/>
    <n v="2"/>
    <n v="3"/>
    <s v="Yes"/>
    <d v="2025-04-01T00:00:00"/>
    <n v="2025"/>
    <n v="2"/>
    <s v="Yes"/>
  </r>
  <r>
    <s v="SR-2025-00096"/>
    <x v="5"/>
    <s v="Tree Maintenance"/>
    <s v="Low"/>
    <x v="0"/>
    <s v="Ward 1"/>
    <x v="80"/>
    <d v="2025-12-31T00:00:00"/>
    <s v="Phone"/>
    <n v="4"/>
    <n v="12"/>
    <n v="14"/>
    <s v="Yes"/>
    <d v="2025-12-01T00:00:00"/>
    <n v="2025"/>
    <n v="4"/>
    <s v="Yes"/>
  </r>
  <r>
    <s v="SR-2025-00097"/>
    <x v="2"/>
    <s v="Illegal Dumping"/>
    <s v="High"/>
    <x v="0"/>
    <s v="Ward 5"/>
    <x v="79"/>
    <d v="2025-12-20T00:00:00"/>
    <s v="Phone"/>
    <n v="5"/>
    <n v="2"/>
    <n v="7"/>
    <s v="Yes"/>
    <d v="2025-12-01T00:00:00"/>
    <n v="2025"/>
    <n v="4"/>
    <s v="Yes"/>
  </r>
  <r>
    <s v="SR-2025-00098"/>
    <x v="4"/>
    <s v="Water Leak"/>
    <s v="Medium"/>
    <x v="0"/>
    <s v="Ward 2"/>
    <x v="14"/>
    <d v="2025-05-21T00:00:00"/>
    <s v="Mobile App"/>
    <n v="2"/>
    <n v="4"/>
    <n v="10"/>
    <s v="Yes"/>
    <d v="2025-05-01T00:00:00"/>
    <n v="2025"/>
    <n v="2"/>
    <s v="Yes"/>
  </r>
  <r>
    <s v="SR-2025-00099"/>
    <x v="1"/>
    <s v="Parking Complaint"/>
    <s v="Medium"/>
    <x v="0"/>
    <s v="Ward 5"/>
    <x v="81"/>
    <d v="2025-06-13T00:00:00"/>
    <s v="In Person"/>
    <n v="5"/>
    <n v="8"/>
    <n v="10"/>
    <s v="Yes"/>
    <d v="2025-06-01T00:00:00"/>
    <n v="2025"/>
    <n v="2"/>
    <s v="Yes"/>
  </r>
  <r>
    <s v="SR-2025-00100"/>
    <x v="4"/>
    <s v="Water Quality Concern"/>
    <s v="Low"/>
    <x v="0"/>
    <s v="Ward 3"/>
    <x v="82"/>
    <d v="2025-08-24T00:00:00"/>
    <s v="Web"/>
    <n v="4"/>
    <n v="14"/>
    <n v="14"/>
    <s v="Yes"/>
    <d v="2025-08-01T00:00:00"/>
    <n v="2025"/>
    <n v="3"/>
    <s v="Yes"/>
  </r>
  <r>
    <s v="SR-2025-00101"/>
    <x v="3"/>
    <s v="Road Damage"/>
    <s v="Critical"/>
    <x v="1"/>
    <s v="Ward 5"/>
    <x v="83"/>
    <m/>
    <s v="Web"/>
    <m/>
    <m/>
    <n v="3"/>
    <s v="Pending"/>
    <d v="2025-10-01T00:00:00"/>
    <n v="2025"/>
    <n v="4"/>
    <s v="No"/>
  </r>
  <r>
    <s v="SR-2025-00102"/>
    <x v="0"/>
    <s v="Road Sign Damage"/>
    <s v="Medium"/>
    <x v="1"/>
    <s v="Ward 4"/>
    <x v="49"/>
    <m/>
    <s v="In Person"/>
    <m/>
    <m/>
    <n v="10"/>
    <s v="Pending"/>
    <d v="2025-03-01T00:00:00"/>
    <n v="2025"/>
    <n v="1"/>
    <s v="No"/>
  </r>
  <r>
    <s v="SR-2025-00103"/>
    <x v="0"/>
    <s v="Traffic Concern"/>
    <s v="High"/>
    <x v="0"/>
    <s v="Ward 4"/>
    <x v="11"/>
    <d v="2025-10-31T00:00:00"/>
    <s v="Web"/>
    <n v="4"/>
    <n v="4"/>
    <n v="7"/>
    <s v="Yes"/>
    <d v="2025-10-01T00:00:00"/>
    <n v="2025"/>
    <n v="4"/>
    <s v="Yes"/>
  </r>
  <r>
    <s v="SR-2025-00104"/>
    <x v="4"/>
    <s v="Sewer Backup"/>
    <s v="Medium"/>
    <x v="0"/>
    <s v="Ward 4"/>
    <x v="84"/>
    <d v="2025-02-27T00:00:00"/>
    <s v="Mobile App"/>
    <n v="4"/>
    <n v="4"/>
    <n v="10"/>
    <s v="Yes"/>
    <d v="2025-02-01T00:00:00"/>
    <n v="2025"/>
    <n v="1"/>
    <s v="Yes"/>
  </r>
  <r>
    <s v="SR-2025-00105"/>
    <x v="0"/>
    <s v="Traffic Concern"/>
    <s v="High"/>
    <x v="0"/>
    <s v="Ward 3"/>
    <x v="85"/>
    <d v="2025-08-22T00:00:00"/>
    <s v="Web"/>
    <n v="4"/>
    <n v="1"/>
    <n v="7"/>
    <s v="Yes"/>
    <d v="2025-08-01T00:00:00"/>
    <n v="2025"/>
    <n v="3"/>
    <s v="Yes"/>
  </r>
  <r>
    <s v="SR-2025-00106"/>
    <x v="4"/>
    <s v="Water Leak"/>
    <s v="Medium"/>
    <x v="0"/>
    <s v="Ward 3"/>
    <x v="86"/>
    <d v="2025-08-02T00:00:00"/>
    <s v="In Person"/>
    <n v="3"/>
    <n v="2"/>
    <n v="10"/>
    <s v="Yes"/>
    <d v="2025-07-01T00:00:00"/>
    <n v="2025"/>
    <n v="3"/>
    <s v="Yes"/>
  </r>
  <r>
    <s v="SR-2025-00107"/>
    <x v="4"/>
    <s v="Water Quality Concern"/>
    <s v="High"/>
    <x v="0"/>
    <s v="Ward 4"/>
    <x v="19"/>
    <d v="2025-10-11T00:00:00"/>
    <s v="Email"/>
    <n v="5"/>
    <n v="2"/>
    <n v="7"/>
    <s v="Yes"/>
    <d v="2025-10-01T00:00:00"/>
    <n v="2025"/>
    <n v="4"/>
    <s v="Yes"/>
  </r>
  <r>
    <s v="SR-2025-00108"/>
    <x v="3"/>
    <s v="Pothole Repair"/>
    <s v="Critical"/>
    <x v="0"/>
    <s v="Ward 1"/>
    <x v="31"/>
    <d v="2025-05-04T00:00:00"/>
    <s v="In Person"/>
    <n v="4"/>
    <n v="1"/>
    <n v="3"/>
    <s v="Yes"/>
    <d v="2025-05-01T00:00:00"/>
    <n v="2025"/>
    <n v="2"/>
    <s v="Yes"/>
  </r>
  <r>
    <s v="SR-2025-00109"/>
    <x v="4"/>
    <s v="Water Leak"/>
    <s v="Low"/>
    <x v="1"/>
    <s v="Ward 4"/>
    <x v="87"/>
    <m/>
    <s v="Web"/>
    <m/>
    <m/>
    <n v="14"/>
    <s v="Pending"/>
    <d v="2025-02-01T00:00:00"/>
    <n v="2025"/>
    <n v="1"/>
    <s v="No"/>
  </r>
  <r>
    <s v="SR-2025-00110"/>
    <x v="0"/>
    <s v="Traffic Signal Issue"/>
    <s v="Medium"/>
    <x v="0"/>
    <s v="Ward 4"/>
    <x v="88"/>
    <d v="2025-09-24T00:00:00"/>
    <s v="Email"/>
    <n v="4"/>
    <n v="6"/>
    <n v="10"/>
    <s v="Yes"/>
    <d v="2025-09-01T00:00:00"/>
    <n v="2025"/>
    <n v="3"/>
    <s v="Yes"/>
  </r>
  <r>
    <s v="SR-2025-00111"/>
    <x v="5"/>
    <s v="Trail Maintenance"/>
    <s v="Medium"/>
    <x v="0"/>
    <s v="Ward 2"/>
    <x v="89"/>
    <d v="2025-11-13T00:00:00"/>
    <s v="Web"/>
    <n v="5"/>
    <n v="10"/>
    <n v="10"/>
    <s v="Yes"/>
    <d v="2025-11-01T00:00:00"/>
    <n v="2025"/>
    <n v="4"/>
    <s v="Yes"/>
  </r>
  <r>
    <s v="SR-2025-00112"/>
    <x v="2"/>
    <s v="Green Bin Issue"/>
    <s v="Medium"/>
    <x v="1"/>
    <s v="Ward 1"/>
    <x v="14"/>
    <m/>
    <s v="Mobile App"/>
    <m/>
    <m/>
    <n v="10"/>
    <s v="Pending"/>
    <d v="2025-05-01T00:00:00"/>
    <n v="2025"/>
    <n v="2"/>
    <s v="No"/>
  </r>
  <r>
    <s v="SR-2025-00113"/>
    <x v="0"/>
    <s v="Road Sign Damage"/>
    <s v="High"/>
    <x v="0"/>
    <s v="Ward 4"/>
    <x v="90"/>
    <d v="2025-12-08T00:00:00"/>
    <s v="In Person"/>
    <n v="5"/>
    <n v="4"/>
    <n v="7"/>
    <s v="Yes"/>
    <d v="2025-12-01T00:00:00"/>
    <n v="2025"/>
    <n v="4"/>
    <s v="Yes"/>
  </r>
  <r>
    <s v="SR-2025-00114"/>
    <x v="4"/>
    <s v="Sewer Backup"/>
    <s v="Medium"/>
    <x v="1"/>
    <s v="Ward 4"/>
    <x v="91"/>
    <m/>
    <s v="Mobile App"/>
    <m/>
    <m/>
    <n v="10"/>
    <s v="Pending"/>
    <d v="2025-07-01T00:00:00"/>
    <n v="2025"/>
    <n v="3"/>
    <s v="No"/>
  </r>
  <r>
    <s v="SR-2025-00115"/>
    <x v="5"/>
    <s v="Park Equipment Damage"/>
    <s v="Medium"/>
    <x v="0"/>
    <s v="Ward 4"/>
    <x v="41"/>
    <d v="2025-08-01T00:00:00"/>
    <s v="Email"/>
    <n v="4"/>
    <n v="2"/>
    <n v="10"/>
    <s v="Yes"/>
    <d v="2025-07-01T00:00:00"/>
    <n v="2025"/>
    <n v="3"/>
    <s v="Yes"/>
  </r>
  <r>
    <s v="SR-2025-00116"/>
    <x v="4"/>
    <s v="Low Water Pressure"/>
    <s v="Medium"/>
    <x v="0"/>
    <s v="Ward 4"/>
    <x v="92"/>
    <d v="2025-09-22T00:00:00"/>
    <s v="Web"/>
    <n v="5"/>
    <n v="7"/>
    <n v="10"/>
    <s v="Yes"/>
    <d v="2025-09-01T00:00:00"/>
    <n v="2025"/>
    <n v="3"/>
    <s v="Yes"/>
  </r>
  <r>
    <s v="SR-2025-00117"/>
    <x v="1"/>
    <s v="Animal Complaint"/>
    <s v="Low"/>
    <x v="0"/>
    <s v="Ward 3"/>
    <x v="50"/>
    <d v="2025-12-07T00:00:00"/>
    <s v="Mobile App"/>
    <n v="2"/>
    <n v="5"/>
    <n v="14"/>
    <s v="Yes"/>
    <d v="2025-12-01T00:00:00"/>
    <n v="2025"/>
    <n v="4"/>
    <s v="Yes"/>
  </r>
  <r>
    <s v="SR-2025-00118"/>
    <x v="1"/>
    <s v="Animal Complaint"/>
    <s v="Medium"/>
    <x v="1"/>
    <s v="Ward 5"/>
    <x v="93"/>
    <m/>
    <s v="Email"/>
    <m/>
    <m/>
    <n v="10"/>
    <s v="Pending"/>
    <d v="2025-12-01T00:00:00"/>
    <n v="2025"/>
    <n v="4"/>
    <s v="No"/>
  </r>
  <r>
    <s v="SR-2025-00119"/>
    <x v="2"/>
    <s v="Green Bin Issue"/>
    <s v="High"/>
    <x v="0"/>
    <s v="Ward 3"/>
    <x v="94"/>
    <d v="2025-02-07T00:00:00"/>
    <s v="Phone"/>
    <n v="4"/>
    <n v="2"/>
    <n v="7"/>
    <s v="Yes"/>
    <d v="2025-02-01T00:00:00"/>
    <n v="2025"/>
    <n v="1"/>
    <s v="Yes"/>
  </r>
  <r>
    <s v="SR-2025-00120"/>
    <x v="0"/>
    <s v="Streetlight Repair"/>
    <s v="Medium"/>
    <x v="0"/>
    <s v="Ward 3"/>
    <x v="36"/>
    <d v="2025-11-24T00:00:00"/>
    <s v="Web"/>
    <n v="4"/>
    <n v="3"/>
    <n v="10"/>
    <s v="Yes"/>
    <d v="2025-11-01T00:00:00"/>
    <n v="2025"/>
    <n v="4"/>
    <s v="Yes"/>
  </r>
  <r>
    <s v="SR-2025-00121"/>
    <x v="3"/>
    <s v="Sidewalk Damage"/>
    <s v="High"/>
    <x v="0"/>
    <s v="Ward 5"/>
    <x v="95"/>
    <d v="2025-07-15T00:00:00"/>
    <s v="Email"/>
    <n v="3"/>
    <n v="4"/>
    <n v="7"/>
    <s v="Yes"/>
    <d v="2025-07-01T00:00:00"/>
    <n v="2025"/>
    <n v="3"/>
    <s v="Yes"/>
  </r>
  <r>
    <s v="SR-2025-00122"/>
    <x v="1"/>
    <s v="Property Standards"/>
    <s v="Low"/>
    <x v="0"/>
    <s v="Ward 4"/>
    <x v="96"/>
    <d v="2025-07-27T00:00:00"/>
    <s v="In Person"/>
    <n v="5"/>
    <n v="12"/>
    <n v="14"/>
    <s v="Yes"/>
    <d v="2025-07-01T00:00:00"/>
    <n v="2025"/>
    <n v="3"/>
    <s v="Yes"/>
  </r>
  <r>
    <s v="SR-2025-00123"/>
    <x v="5"/>
    <s v="Park Equipment Damage"/>
    <s v="Medium"/>
    <x v="0"/>
    <s v="Ward 4"/>
    <x v="97"/>
    <d v="2025-05-13T00:00:00"/>
    <s v="Mobile App"/>
    <n v="5"/>
    <n v="2"/>
    <n v="10"/>
    <s v="Yes"/>
    <d v="2025-05-01T00:00:00"/>
    <n v="2025"/>
    <n v="2"/>
    <s v="Yes"/>
  </r>
  <r>
    <s v="SR-2025-00124"/>
    <x v="0"/>
    <s v="Traffic Signal Issue"/>
    <s v="Low"/>
    <x v="2"/>
    <s v="Ward 3"/>
    <x v="98"/>
    <m/>
    <s v="Email"/>
    <m/>
    <m/>
    <n v="14"/>
    <s v="Pending"/>
    <d v="2025-10-01T00:00:00"/>
    <n v="2025"/>
    <n v="4"/>
    <s v="No"/>
  </r>
  <r>
    <s v="SR-2025-00125"/>
    <x v="0"/>
    <s v="Road Sign Damage"/>
    <s v="Medium"/>
    <x v="0"/>
    <s v="Ward 4"/>
    <x v="99"/>
    <d v="2025-07-25T00:00:00"/>
    <s v="In Person"/>
    <n v="2"/>
    <n v="9"/>
    <n v="10"/>
    <s v="Yes"/>
    <d v="2025-07-01T00:00:00"/>
    <n v="2025"/>
    <n v="3"/>
    <s v="Yes"/>
  </r>
  <r>
    <s v="SR-2025-00126"/>
    <x v="2"/>
    <s v="Illegal Dumping"/>
    <s v="Critical"/>
    <x v="0"/>
    <s v="Ward 5"/>
    <x v="90"/>
    <d v="2025-12-07T00:00:00"/>
    <s v="Web"/>
    <n v="3"/>
    <n v="3"/>
    <n v="3"/>
    <s v="Yes"/>
    <d v="2025-12-01T00:00:00"/>
    <n v="2025"/>
    <n v="4"/>
    <s v="Yes"/>
  </r>
  <r>
    <s v="SR-2025-00127"/>
    <x v="1"/>
    <s v="Animal Complaint"/>
    <s v="High"/>
    <x v="2"/>
    <s v="Ward 5"/>
    <x v="8"/>
    <m/>
    <s v="Mobile App"/>
    <m/>
    <m/>
    <n v="7"/>
    <s v="Pending"/>
    <d v="2025-04-01T00:00:00"/>
    <n v="2025"/>
    <n v="2"/>
    <s v="No"/>
  </r>
  <r>
    <s v="SR-2025-00128"/>
    <x v="5"/>
    <s v="Park Equipment Damage"/>
    <s v="Medium"/>
    <x v="0"/>
    <s v="Ward 1"/>
    <x v="90"/>
    <d v="2025-12-08T00:00:00"/>
    <s v="Mobile App"/>
    <n v="4"/>
    <n v="4"/>
    <n v="10"/>
    <s v="Yes"/>
    <d v="2025-12-01T00:00:00"/>
    <n v="2025"/>
    <n v="4"/>
    <s v="Yes"/>
  </r>
  <r>
    <s v="SR-2025-00129"/>
    <x v="4"/>
    <s v="Water Leak"/>
    <s v="Medium"/>
    <x v="0"/>
    <s v="Ward 4"/>
    <x v="100"/>
    <d v="2025-02-22T00:00:00"/>
    <s v="Phone"/>
    <n v="4"/>
    <n v="6"/>
    <n v="10"/>
    <s v="Yes"/>
    <d v="2025-02-01T00:00:00"/>
    <n v="2025"/>
    <n v="1"/>
    <s v="Yes"/>
  </r>
  <r>
    <s v="SR-2025-00130"/>
    <x v="5"/>
    <s v="Park Equipment Damage"/>
    <s v="High"/>
    <x v="2"/>
    <s v="Ward 5"/>
    <x v="101"/>
    <m/>
    <s v="In Person"/>
    <m/>
    <m/>
    <n v="7"/>
    <s v="Pending"/>
    <d v="2025-07-01T00:00:00"/>
    <n v="2025"/>
    <n v="3"/>
    <s v="No"/>
  </r>
  <r>
    <s v="SR-2025-00131"/>
    <x v="2"/>
    <s v="Recycling Issue"/>
    <s v="Medium"/>
    <x v="1"/>
    <s v="Ward 3"/>
    <x v="102"/>
    <m/>
    <s v="Mobile App"/>
    <m/>
    <m/>
    <n v="10"/>
    <s v="Pending"/>
    <d v="2025-09-01T00:00:00"/>
    <n v="2025"/>
    <n v="3"/>
    <s v="No"/>
  </r>
  <r>
    <s v="SR-2025-00132"/>
    <x v="3"/>
    <s v="Snow Removal"/>
    <s v="Critical"/>
    <x v="0"/>
    <s v="Ward 5"/>
    <x v="103"/>
    <d v="2025-04-29T00:00:00"/>
    <s v="Mobile App"/>
    <n v="5"/>
    <n v="3"/>
    <n v="3"/>
    <s v="Yes"/>
    <d v="2025-04-01T00:00:00"/>
    <n v="2025"/>
    <n v="2"/>
    <s v="Yes"/>
  </r>
  <r>
    <s v="SR-2025-00133"/>
    <x v="3"/>
    <s v="Snow Removal"/>
    <s v="Low"/>
    <x v="0"/>
    <s v="Ward 3"/>
    <x v="85"/>
    <d v="2025-08-29T00:00:00"/>
    <s v="In Person"/>
    <n v="5"/>
    <n v="8"/>
    <n v="14"/>
    <s v="Yes"/>
    <d v="2025-08-01T00:00:00"/>
    <n v="2025"/>
    <n v="3"/>
    <s v="Yes"/>
  </r>
  <r>
    <s v="SR-2025-00134"/>
    <x v="4"/>
    <s v="Sewer Backup"/>
    <s v="Low"/>
    <x v="0"/>
    <s v="Ward 5"/>
    <x v="104"/>
    <d v="2025-01-25T00:00:00"/>
    <s v="Mobile App"/>
    <n v="5"/>
    <n v="12"/>
    <n v="14"/>
    <s v="Yes"/>
    <d v="2025-01-01T00:00:00"/>
    <n v="2025"/>
    <n v="1"/>
    <s v="Yes"/>
  </r>
  <r>
    <s v="SR-2025-00135"/>
    <x v="1"/>
    <s v="Property Standards"/>
    <s v="Medium"/>
    <x v="0"/>
    <s v="Ward 1"/>
    <x v="105"/>
    <d v="2025-09-01T00:00:00"/>
    <s v="Phone"/>
    <n v="4"/>
    <n v="6"/>
    <n v="10"/>
    <s v="Yes"/>
    <d v="2025-08-01T00:00:00"/>
    <n v="2025"/>
    <n v="3"/>
    <s v="Yes"/>
  </r>
  <r>
    <s v="SR-2025-00136"/>
    <x v="3"/>
    <s v="Pothole Repair"/>
    <s v="Medium"/>
    <x v="0"/>
    <s v="Ward 2"/>
    <x v="106"/>
    <d v="2025-02-24T00:00:00"/>
    <s v="Email"/>
    <n v="5"/>
    <n v="5"/>
    <n v="10"/>
    <s v="Yes"/>
    <d v="2025-02-01T00:00:00"/>
    <n v="2025"/>
    <n v="1"/>
    <s v="Yes"/>
  </r>
  <r>
    <s v="SR-2025-00137"/>
    <x v="4"/>
    <s v="Sewer Backup"/>
    <s v="Medium"/>
    <x v="1"/>
    <s v="Ward 4"/>
    <x v="62"/>
    <m/>
    <s v="In Person"/>
    <m/>
    <m/>
    <n v="10"/>
    <s v="Pending"/>
    <d v="2025-10-01T00:00:00"/>
    <n v="2025"/>
    <n v="4"/>
    <s v="No"/>
  </r>
  <r>
    <s v="SR-2025-00138"/>
    <x v="0"/>
    <s v="Traffic Signal Issue"/>
    <s v="High"/>
    <x v="0"/>
    <s v="Ward 3"/>
    <x v="107"/>
    <d v="2025-09-13T00:00:00"/>
    <s v="Web"/>
    <n v="4"/>
    <n v="5"/>
    <n v="7"/>
    <s v="Yes"/>
    <d v="2025-09-01T00:00:00"/>
    <n v="2025"/>
    <n v="3"/>
    <s v="Yes"/>
  </r>
  <r>
    <s v="SR-2025-00139"/>
    <x v="0"/>
    <s v="Road Sign Damage"/>
    <s v="Low"/>
    <x v="0"/>
    <s v="Ward 3"/>
    <x v="52"/>
    <d v="2025-05-09T00:00:00"/>
    <s v="In Person"/>
    <n v="2"/>
    <n v="8"/>
    <n v="14"/>
    <s v="Yes"/>
    <d v="2025-05-01T00:00:00"/>
    <n v="2025"/>
    <n v="2"/>
    <s v="Yes"/>
  </r>
  <r>
    <s v="SR-2025-00140"/>
    <x v="0"/>
    <s v="Road Sign Damage"/>
    <s v="Low"/>
    <x v="0"/>
    <s v="Ward 2"/>
    <x v="108"/>
    <d v="2025-03-14T00:00:00"/>
    <s v="In Person"/>
    <n v="2"/>
    <n v="10"/>
    <n v="14"/>
    <s v="Yes"/>
    <d v="2025-03-01T00:00:00"/>
    <n v="2025"/>
    <n v="1"/>
    <s v="Yes"/>
  </r>
  <r>
    <s v="SR-2025-00141"/>
    <x v="3"/>
    <s v="Pothole Repair"/>
    <s v="High"/>
    <x v="0"/>
    <s v="Ward 1"/>
    <x v="109"/>
    <d v="2025-03-13T00:00:00"/>
    <s v="In Person"/>
    <n v="4"/>
    <n v="7"/>
    <n v="7"/>
    <s v="Yes"/>
    <d v="2025-03-01T00:00:00"/>
    <n v="2025"/>
    <n v="1"/>
    <s v="Yes"/>
  </r>
  <r>
    <s v="SR-2025-00142"/>
    <x v="5"/>
    <s v="Park Equipment Damage"/>
    <s v="High"/>
    <x v="0"/>
    <s v="Ward 1"/>
    <x v="110"/>
    <d v="2025-03-24T00:00:00"/>
    <s v="Mobile App"/>
    <n v="5"/>
    <n v="7"/>
    <n v="7"/>
    <s v="Yes"/>
    <d v="2025-03-01T00:00:00"/>
    <n v="2025"/>
    <n v="1"/>
    <s v="Yes"/>
  </r>
  <r>
    <s v="SR-2025-00143"/>
    <x v="5"/>
    <s v="Park Equipment Damage"/>
    <s v="Medium"/>
    <x v="1"/>
    <s v="Ward 1"/>
    <x v="111"/>
    <m/>
    <s v="Phone"/>
    <m/>
    <m/>
    <n v="10"/>
    <s v="Pending"/>
    <d v="2025-02-01T00:00:00"/>
    <n v="2025"/>
    <n v="1"/>
    <s v="No"/>
  </r>
  <r>
    <s v="SR-2025-00144"/>
    <x v="3"/>
    <s v="Sidewalk Damage"/>
    <s v="High"/>
    <x v="0"/>
    <s v="Ward 1"/>
    <x v="112"/>
    <d v="2025-06-16T00:00:00"/>
    <s v="Phone"/>
    <n v="3"/>
    <n v="1"/>
    <n v="7"/>
    <s v="Yes"/>
    <d v="2025-06-01T00:00:00"/>
    <n v="2025"/>
    <n v="2"/>
    <s v="Yes"/>
  </r>
  <r>
    <s v="SR-2025-00145"/>
    <x v="0"/>
    <s v="Traffic Concern"/>
    <s v="Medium"/>
    <x v="1"/>
    <s v="Ward 4"/>
    <x v="53"/>
    <m/>
    <s v="Mobile App"/>
    <m/>
    <m/>
    <n v="10"/>
    <s v="Pending"/>
    <d v="2025-09-01T00:00:00"/>
    <n v="2025"/>
    <n v="3"/>
    <s v="No"/>
  </r>
  <r>
    <s v="SR-2025-00146"/>
    <x v="1"/>
    <s v="Noise Complaint"/>
    <s v="Medium"/>
    <x v="0"/>
    <s v="Ward 5"/>
    <x v="113"/>
    <d v="2025-11-13T00:00:00"/>
    <s v="Mobile App"/>
    <n v="5"/>
    <n v="2"/>
    <n v="10"/>
    <s v="Yes"/>
    <d v="2025-11-01T00:00:00"/>
    <n v="2025"/>
    <n v="4"/>
    <s v="Yes"/>
  </r>
  <r>
    <s v="SR-2025-00147"/>
    <x v="4"/>
    <s v="Water Leak"/>
    <s v="Low"/>
    <x v="0"/>
    <s v="Ward 4"/>
    <x v="27"/>
    <d v="2025-08-03T00:00:00"/>
    <s v="Email"/>
    <n v="5"/>
    <n v="9"/>
    <n v="14"/>
    <s v="Yes"/>
    <d v="2025-07-01T00:00:00"/>
    <n v="2025"/>
    <n v="3"/>
    <s v="Yes"/>
  </r>
  <r>
    <s v="SR-2025-00148"/>
    <x v="3"/>
    <s v="Pothole Repair"/>
    <s v="Medium"/>
    <x v="0"/>
    <s v="Ward 5"/>
    <x v="109"/>
    <d v="2025-03-12T00:00:00"/>
    <s v="In Person"/>
    <n v="4"/>
    <n v="6"/>
    <n v="10"/>
    <s v="Yes"/>
    <d v="2025-03-01T00:00:00"/>
    <n v="2025"/>
    <n v="1"/>
    <s v="Yes"/>
  </r>
  <r>
    <s v="SR-2025-00149"/>
    <x v="0"/>
    <s v="Road Sign Damage"/>
    <s v="Medium"/>
    <x v="0"/>
    <s v="Ward 4"/>
    <x v="114"/>
    <d v="2025-06-09T00:00:00"/>
    <s v="Web"/>
    <n v="4"/>
    <n v="9"/>
    <n v="10"/>
    <s v="Yes"/>
    <d v="2025-05-01T00:00:00"/>
    <n v="2025"/>
    <n v="2"/>
    <s v="Yes"/>
  </r>
  <r>
    <s v="SR-2025-00150"/>
    <x v="0"/>
    <s v="Streetlight Repair"/>
    <s v="High"/>
    <x v="0"/>
    <s v="Ward 4"/>
    <x v="115"/>
    <d v="2025-10-16T00:00:00"/>
    <s v="Email"/>
    <n v="5"/>
    <n v="6"/>
    <n v="7"/>
    <s v="Yes"/>
    <d v="2025-10-01T00:00:00"/>
    <n v="2025"/>
    <n v="4"/>
    <s v="Yes"/>
  </r>
  <r>
    <s v="SR-2025-00151"/>
    <x v="5"/>
    <s v="Trail Maintenance"/>
    <s v="Medium"/>
    <x v="0"/>
    <s v="Ward 3"/>
    <x v="116"/>
    <d v="2025-08-04T00:00:00"/>
    <s v="Mobile App"/>
    <n v="4"/>
    <n v="3"/>
    <n v="10"/>
    <s v="Yes"/>
    <d v="2025-08-01T00:00:00"/>
    <n v="2025"/>
    <n v="3"/>
    <s v="Yes"/>
  </r>
  <r>
    <s v="SR-2025-00152"/>
    <x v="2"/>
    <s v="Recycling Issue"/>
    <s v="Medium"/>
    <x v="0"/>
    <s v="Ward 1"/>
    <x v="100"/>
    <d v="2025-02-19T00:00:00"/>
    <s v="Mobile App"/>
    <n v="2"/>
    <n v="3"/>
    <n v="10"/>
    <s v="Yes"/>
    <d v="2025-02-01T00:00:00"/>
    <n v="2025"/>
    <n v="1"/>
    <s v="Yes"/>
  </r>
  <r>
    <s v="SR-2025-00153"/>
    <x v="5"/>
    <s v="Tree Maintenance"/>
    <s v="Medium"/>
    <x v="0"/>
    <s v="Ward 4"/>
    <x v="117"/>
    <d v="2025-06-21T00:00:00"/>
    <s v="Web"/>
    <n v="4"/>
    <n v="3"/>
    <n v="10"/>
    <s v="Yes"/>
    <d v="2025-06-01T00:00:00"/>
    <n v="2025"/>
    <n v="2"/>
    <s v="Yes"/>
  </r>
  <r>
    <s v="SR-2025-00154"/>
    <x v="2"/>
    <s v="Illegal Dumping"/>
    <s v="Medium"/>
    <x v="0"/>
    <s v="Ward 2"/>
    <x v="61"/>
    <d v="2025-04-23T00:00:00"/>
    <s v="Web"/>
    <n v="4"/>
    <n v="4"/>
    <n v="10"/>
    <s v="Yes"/>
    <d v="2025-04-01T00:00:00"/>
    <n v="2025"/>
    <n v="2"/>
    <s v="Yes"/>
  </r>
  <r>
    <s v="SR-2025-00155"/>
    <x v="2"/>
    <s v="Illegal Dumping"/>
    <s v="Low"/>
    <x v="0"/>
    <s v="Ward 5"/>
    <x v="103"/>
    <d v="2025-05-11T00:00:00"/>
    <s v="In Person"/>
    <n v="4"/>
    <n v="15"/>
    <n v="14"/>
    <s v="No"/>
    <d v="2025-04-01T00:00:00"/>
    <n v="2025"/>
    <n v="2"/>
    <s v="Yes"/>
  </r>
  <r>
    <s v="SR-2025-00156"/>
    <x v="1"/>
    <s v="Noise Complaint"/>
    <s v="Medium"/>
    <x v="0"/>
    <s v="Ward 3"/>
    <x v="118"/>
    <d v="2025-12-28T00:00:00"/>
    <s v="Mobile App"/>
    <n v="1"/>
    <n v="6"/>
    <n v="10"/>
    <s v="Yes"/>
    <d v="2025-12-01T00:00:00"/>
    <n v="2025"/>
    <n v="4"/>
    <s v="Yes"/>
  </r>
  <r>
    <s v="SR-2025-00157"/>
    <x v="2"/>
    <s v="Illegal Dumping"/>
    <s v="Low"/>
    <x v="2"/>
    <s v="Ward 4"/>
    <x v="119"/>
    <m/>
    <s v="Web"/>
    <m/>
    <m/>
    <n v="14"/>
    <s v="Pending"/>
    <d v="2025-10-01T00:00:00"/>
    <n v="2025"/>
    <n v="4"/>
    <s v="No"/>
  </r>
  <r>
    <s v="SR-2025-00158"/>
    <x v="5"/>
    <s v="Tree Maintenance"/>
    <s v="Low"/>
    <x v="0"/>
    <s v="Ward 2"/>
    <x v="120"/>
    <d v="2025-07-21T00:00:00"/>
    <s v="Mobile App"/>
    <n v="4"/>
    <n v="9"/>
    <n v="14"/>
    <s v="Yes"/>
    <d v="2025-07-01T00:00:00"/>
    <n v="2025"/>
    <n v="3"/>
    <s v="Yes"/>
  </r>
  <r>
    <s v="SR-2025-00159"/>
    <x v="2"/>
    <s v="Illegal Dumping"/>
    <s v="High"/>
    <x v="0"/>
    <s v="Ward 5"/>
    <x v="18"/>
    <d v="2025-02-14T00:00:00"/>
    <s v="Web"/>
    <n v="3"/>
    <n v="1"/>
    <n v="7"/>
    <s v="Yes"/>
    <d v="2025-02-01T00:00:00"/>
    <n v="2025"/>
    <n v="1"/>
    <s v="Yes"/>
  </r>
  <r>
    <s v="SR-2025-00160"/>
    <x v="0"/>
    <s v="Streetlight Repair"/>
    <s v="Medium"/>
    <x v="0"/>
    <s v="Ward 2"/>
    <x v="121"/>
    <d v="2025-09-15T00:00:00"/>
    <s v="In Person"/>
    <n v="4"/>
    <n v="9"/>
    <n v="10"/>
    <s v="Yes"/>
    <d v="2025-09-01T00:00:00"/>
    <n v="2025"/>
    <n v="3"/>
    <s v="Yes"/>
  </r>
  <r>
    <s v="SR-2025-00161"/>
    <x v="3"/>
    <s v="Sidewalk Damage"/>
    <s v="Medium"/>
    <x v="0"/>
    <s v="Ward 3"/>
    <x v="122"/>
    <d v="2025-12-23T00:00:00"/>
    <s v="Web"/>
    <n v="4"/>
    <n v="9"/>
    <n v="10"/>
    <s v="Yes"/>
    <d v="2025-12-01T00:00:00"/>
    <n v="2025"/>
    <n v="4"/>
    <s v="Yes"/>
  </r>
  <r>
    <s v="SR-2025-00162"/>
    <x v="5"/>
    <s v="Trail Maintenance"/>
    <s v="Critical"/>
    <x v="0"/>
    <s v="Ward 2"/>
    <x v="123"/>
    <d v="2025-04-17T00:00:00"/>
    <s v="Mobile App"/>
    <n v="5"/>
    <n v="2"/>
    <n v="3"/>
    <s v="Yes"/>
    <d v="2025-04-01T00:00:00"/>
    <n v="2025"/>
    <n v="2"/>
    <s v="Yes"/>
  </r>
  <r>
    <s v="SR-2025-00163"/>
    <x v="2"/>
    <s v="Illegal Dumping"/>
    <s v="Low"/>
    <x v="0"/>
    <s v="Ward 5"/>
    <x v="124"/>
    <d v="2025-08-14T00:00:00"/>
    <s v="Phone"/>
    <n v="3"/>
    <n v="5"/>
    <n v="14"/>
    <s v="Yes"/>
    <d v="2025-08-01T00:00:00"/>
    <n v="2025"/>
    <n v="3"/>
    <s v="Yes"/>
  </r>
  <r>
    <s v="SR-2025-00164"/>
    <x v="1"/>
    <s v="Parking Complaint"/>
    <s v="Low"/>
    <x v="2"/>
    <s v="Ward 4"/>
    <x v="125"/>
    <m/>
    <s v="Web"/>
    <m/>
    <m/>
    <n v="14"/>
    <s v="Pending"/>
    <d v="2025-01-01T00:00:00"/>
    <n v="2025"/>
    <n v="1"/>
    <s v="No"/>
  </r>
  <r>
    <s v="SR-2025-00165"/>
    <x v="4"/>
    <s v="Water Leak"/>
    <s v="High"/>
    <x v="0"/>
    <s v="Ward 4"/>
    <x v="126"/>
    <d v="2025-10-25T00:00:00"/>
    <s v="Mobile App"/>
    <n v="5"/>
    <n v="4"/>
    <n v="7"/>
    <s v="Yes"/>
    <d v="2025-10-01T00:00:00"/>
    <n v="2025"/>
    <n v="4"/>
    <s v="Yes"/>
  </r>
  <r>
    <s v="SR-2025-00166"/>
    <x v="3"/>
    <s v="Snow Removal"/>
    <s v="Low"/>
    <x v="0"/>
    <s v="Ward 3"/>
    <x v="127"/>
    <d v="2025-11-23T00:00:00"/>
    <s v="Web"/>
    <n v="5"/>
    <n v="10"/>
    <n v="14"/>
    <s v="Yes"/>
    <d v="2025-11-01T00:00:00"/>
    <n v="2025"/>
    <n v="4"/>
    <s v="Yes"/>
  </r>
  <r>
    <s v="SR-2025-00167"/>
    <x v="4"/>
    <s v="Water Leak"/>
    <s v="Low"/>
    <x v="0"/>
    <s v="Ward 3"/>
    <x v="128"/>
    <d v="2025-09-30T00:00:00"/>
    <s v="Mobile App"/>
    <n v="4"/>
    <n v="4"/>
    <n v="14"/>
    <s v="Yes"/>
    <d v="2025-09-01T00:00:00"/>
    <n v="2025"/>
    <n v="3"/>
    <s v="Yes"/>
  </r>
  <r>
    <s v="SR-2025-00168"/>
    <x v="5"/>
    <s v="Grass Cutting"/>
    <s v="High"/>
    <x v="0"/>
    <s v="Ward 2"/>
    <x v="36"/>
    <d v="2025-11-22T00:00:00"/>
    <s v="Mobile App"/>
    <n v="4"/>
    <n v="1"/>
    <n v="7"/>
    <s v="Yes"/>
    <d v="2025-11-01T00:00:00"/>
    <n v="2025"/>
    <n v="4"/>
    <s v="Yes"/>
  </r>
  <r>
    <s v="SR-2025-00169"/>
    <x v="2"/>
    <s v="Recycling Issue"/>
    <s v="Low"/>
    <x v="0"/>
    <s v="Ward 1"/>
    <x v="129"/>
    <d v="2025-04-17T00:00:00"/>
    <s v="Phone"/>
    <n v="4"/>
    <n v="5"/>
    <n v="14"/>
    <s v="Yes"/>
    <d v="2025-04-01T00:00:00"/>
    <n v="2025"/>
    <n v="2"/>
    <s v="Yes"/>
  </r>
  <r>
    <s v="SR-2025-00170"/>
    <x v="0"/>
    <s v="Traffic Concern"/>
    <s v="Medium"/>
    <x v="0"/>
    <s v="Ward 5"/>
    <x v="130"/>
    <d v="2025-11-02T00:00:00"/>
    <s v="In Person"/>
    <n v="5"/>
    <n v="9"/>
    <n v="10"/>
    <s v="Yes"/>
    <d v="2025-10-01T00:00:00"/>
    <n v="2025"/>
    <n v="4"/>
    <s v="Yes"/>
  </r>
  <r>
    <s v="SR-2025-00171"/>
    <x v="2"/>
    <s v="Illegal Dumping"/>
    <s v="Low"/>
    <x v="0"/>
    <s v="Ward 3"/>
    <x v="131"/>
    <d v="2025-08-28T00:00:00"/>
    <s v="In Person"/>
    <n v="4"/>
    <n v="13"/>
    <n v="14"/>
    <s v="Yes"/>
    <d v="2025-08-01T00:00:00"/>
    <n v="2025"/>
    <n v="3"/>
    <s v="Yes"/>
  </r>
  <r>
    <s v="SR-2025-00172"/>
    <x v="3"/>
    <s v="Sidewalk Damage"/>
    <s v="Medium"/>
    <x v="0"/>
    <s v="Ward 3"/>
    <x v="132"/>
    <d v="2025-08-22T00:00:00"/>
    <s v="Web"/>
    <n v="2"/>
    <n v="2"/>
    <n v="10"/>
    <s v="Yes"/>
    <d v="2025-08-01T00:00:00"/>
    <n v="2025"/>
    <n v="3"/>
    <s v="Yes"/>
  </r>
  <r>
    <s v="SR-2025-00173"/>
    <x v="0"/>
    <s v="Streetlight Repair"/>
    <s v="Medium"/>
    <x v="0"/>
    <s v="Ward 1"/>
    <x v="7"/>
    <d v="2025-09-04T00:00:00"/>
    <s v="Email"/>
    <n v="5"/>
    <n v="10"/>
    <n v="10"/>
    <s v="Yes"/>
    <d v="2025-08-01T00:00:00"/>
    <n v="2025"/>
    <n v="3"/>
    <s v="Yes"/>
  </r>
  <r>
    <s v="SR-2025-00174"/>
    <x v="1"/>
    <s v="Property Standards"/>
    <s v="Medium"/>
    <x v="0"/>
    <s v="Ward 3"/>
    <x v="133"/>
    <d v="2025-03-21T00:00:00"/>
    <s v="Web"/>
    <n v="4"/>
    <n v="2"/>
    <n v="10"/>
    <s v="Yes"/>
    <d v="2025-03-01T00:00:00"/>
    <n v="2025"/>
    <n v="1"/>
    <s v="Yes"/>
  </r>
  <r>
    <s v="SR-2025-00175"/>
    <x v="1"/>
    <s v="Property Standards"/>
    <s v="Low"/>
    <x v="0"/>
    <s v="Ward 2"/>
    <x v="134"/>
    <d v="2025-08-24T00:00:00"/>
    <s v="Mobile App"/>
    <n v="4"/>
    <n v="11"/>
    <n v="14"/>
    <s v="Yes"/>
    <d v="2025-08-01T00:00:00"/>
    <n v="2025"/>
    <n v="3"/>
    <s v="Yes"/>
  </r>
  <r>
    <s v="SR-2025-00176"/>
    <x v="2"/>
    <s v="Illegal Dumping"/>
    <s v="Medium"/>
    <x v="1"/>
    <s v="Ward 5"/>
    <x v="122"/>
    <m/>
    <s v="Web"/>
    <m/>
    <m/>
    <n v="10"/>
    <s v="Pending"/>
    <d v="2025-12-01T00:00:00"/>
    <n v="2025"/>
    <n v="4"/>
    <s v="No"/>
  </r>
  <r>
    <s v="SR-2025-00177"/>
    <x v="0"/>
    <s v="Road Sign Damage"/>
    <s v="Low"/>
    <x v="0"/>
    <s v="Ward 5"/>
    <x v="122"/>
    <d v="2025-12-23T00:00:00"/>
    <s v="Phone"/>
    <n v="3"/>
    <n v="9"/>
    <n v="14"/>
    <s v="Yes"/>
    <d v="2025-12-01T00:00:00"/>
    <n v="2025"/>
    <n v="4"/>
    <s v="Yes"/>
  </r>
  <r>
    <s v="SR-2025-00178"/>
    <x v="2"/>
    <s v="Missed Garbage Pickup"/>
    <s v="Medium"/>
    <x v="0"/>
    <s v="Ward 4"/>
    <x v="135"/>
    <d v="2025-07-05T00:00:00"/>
    <s v="Phone"/>
    <n v="5"/>
    <n v="6"/>
    <n v="10"/>
    <s v="Yes"/>
    <d v="2025-06-01T00:00:00"/>
    <n v="2025"/>
    <n v="2"/>
    <s v="Yes"/>
  </r>
  <r>
    <s v="SR-2025-00179"/>
    <x v="1"/>
    <s v="Noise Complaint"/>
    <s v="Medium"/>
    <x v="0"/>
    <s v="Ward 5"/>
    <x v="117"/>
    <d v="2025-06-22T00:00:00"/>
    <s v="Web"/>
    <n v="5"/>
    <n v="4"/>
    <n v="10"/>
    <s v="Yes"/>
    <d v="2025-06-01T00:00:00"/>
    <n v="2025"/>
    <n v="2"/>
    <s v="Yes"/>
  </r>
  <r>
    <s v="SR-2025-00180"/>
    <x v="0"/>
    <s v="Traffic Concern"/>
    <s v="Medium"/>
    <x v="0"/>
    <s v="Ward 3"/>
    <x v="136"/>
    <d v="2025-06-12T00:00:00"/>
    <s v="Email"/>
    <n v="5"/>
    <n v="4"/>
    <n v="10"/>
    <s v="Yes"/>
    <d v="2025-06-01T00:00:00"/>
    <n v="2025"/>
    <n v="2"/>
    <s v="Yes"/>
  </r>
  <r>
    <s v="SR-2025-00181"/>
    <x v="5"/>
    <s v="Park Equipment Damage"/>
    <s v="Critical"/>
    <x v="0"/>
    <s v="Ward 5"/>
    <x v="137"/>
    <d v="2025-06-01T00:00:00"/>
    <s v="In Person"/>
    <n v="4"/>
    <n v="0"/>
    <n v="3"/>
    <s v="Yes"/>
    <d v="2025-06-01T00:00:00"/>
    <n v="2025"/>
    <n v="2"/>
    <s v="Yes"/>
  </r>
  <r>
    <s v="SR-2025-00182"/>
    <x v="3"/>
    <s v="Sidewalk Damage"/>
    <s v="High"/>
    <x v="0"/>
    <s v="Ward 2"/>
    <x v="138"/>
    <d v="2025-11-06T00:00:00"/>
    <s v="In Person"/>
    <n v="3"/>
    <n v="4"/>
    <n v="7"/>
    <s v="Yes"/>
    <d v="2025-11-01T00:00:00"/>
    <n v="2025"/>
    <n v="4"/>
    <s v="Yes"/>
  </r>
  <r>
    <s v="SR-2025-00183"/>
    <x v="5"/>
    <s v="Trail Maintenance"/>
    <s v="Low"/>
    <x v="0"/>
    <s v="Ward 4"/>
    <x v="40"/>
    <d v="2025-05-12T00:00:00"/>
    <s v="Phone"/>
    <n v="4"/>
    <n v="10"/>
    <n v="14"/>
    <s v="Yes"/>
    <d v="2025-05-01T00:00:00"/>
    <n v="2025"/>
    <n v="2"/>
    <s v="Yes"/>
  </r>
  <r>
    <s v="SR-2025-00184"/>
    <x v="1"/>
    <s v="Property Standards"/>
    <s v="Medium"/>
    <x v="1"/>
    <s v="Ward 2"/>
    <x v="42"/>
    <m/>
    <s v="Mobile App"/>
    <m/>
    <m/>
    <n v="10"/>
    <s v="Pending"/>
    <d v="2025-08-01T00:00:00"/>
    <n v="2025"/>
    <n v="3"/>
    <s v="No"/>
  </r>
  <r>
    <s v="SR-2025-00185"/>
    <x v="0"/>
    <s v="Traffic Concern"/>
    <s v="Medium"/>
    <x v="0"/>
    <s v="Ward 2"/>
    <x v="96"/>
    <d v="2025-07-25T00:00:00"/>
    <s v="Phone"/>
    <n v="4"/>
    <n v="10"/>
    <n v="10"/>
    <s v="Yes"/>
    <d v="2025-07-01T00:00:00"/>
    <n v="2025"/>
    <n v="3"/>
    <s v="Yes"/>
  </r>
  <r>
    <s v="SR-2025-00186"/>
    <x v="1"/>
    <s v="Property Standards"/>
    <s v="High"/>
    <x v="0"/>
    <s v="Ward 1"/>
    <x v="102"/>
    <d v="2025-09-11T00:00:00"/>
    <s v="In Person"/>
    <n v="4"/>
    <n v="7"/>
    <n v="7"/>
    <s v="Yes"/>
    <d v="2025-09-01T00:00:00"/>
    <n v="2025"/>
    <n v="3"/>
    <s v="Yes"/>
  </r>
  <r>
    <s v="SR-2025-00187"/>
    <x v="3"/>
    <s v="Sidewalk Damage"/>
    <s v="Low"/>
    <x v="0"/>
    <s v="Ward 4"/>
    <x v="139"/>
    <d v="2025-08-30T00:00:00"/>
    <s v="Web"/>
    <n v="3"/>
    <n v="11"/>
    <n v="14"/>
    <s v="Yes"/>
    <d v="2025-08-01T00:00:00"/>
    <n v="2025"/>
    <n v="3"/>
    <s v="Yes"/>
  </r>
  <r>
    <s v="SR-2025-00188"/>
    <x v="5"/>
    <s v="Trail Maintenance"/>
    <s v="High"/>
    <x v="2"/>
    <s v="Ward 1"/>
    <x v="116"/>
    <m/>
    <s v="Email"/>
    <m/>
    <m/>
    <n v="7"/>
    <s v="Pending"/>
    <d v="2025-08-01T00:00:00"/>
    <n v="2025"/>
    <n v="3"/>
    <s v="No"/>
  </r>
  <r>
    <s v="SR-2025-00189"/>
    <x v="1"/>
    <s v="Parking Complaint"/>
    <s v="Low"/>
    <x v="2"/>
    <s v="Ward 2"/>
    <x v="95"/>
    <m/>
    <s v="Web"/>
    <m/>
    <m/>
    <n v="14"/>
    <s v="Pending"/>
    <d v="2025-07-01T00:00:00"/>
    <n v="2025"/>
    <n v="3"/>
    <s v="No"/>
  </r>
  <r>
    <s v="SR-2025-00190"/>
    <x v="2"/>
    <s v="Missed Garbage Pickup"/>
    <s v="High"/>
    <x v="0"/>
    <s v="Ward 4"/>
    <x v="140"/>
    <d v="2025-03-18T00:00:00"/>
    <s v="Phone"/>
    <n v="1"/>
    <n v="2"/>
    <n v="7"/>
    <s v="Yes"/>
    <d v="2025-03-01T00:00:00"/>
    <n v="2025"/>
    <n v="1"/>
    <s v="Yes"/>
  </r>
  <r>
    <s v="SR-2025-00191"/>
    <x v="0"/>
    <s v="Traffic Concern"/>
    <s v="Medium"/>
    <x v="0"/>
    <s v="Ward 2"/>
    <x v="141"/>
    <d v="2025-02-12T00:00:00"/>
    <s v="In Person"/>
    <n v="3"/>
    <n v="2"/>
    <n v="10"/>
    <s v="Yes"/>
    <d v="2025-02-01T00:00:00"/>
    <n v="2025"/>
    <n v="1"/>
    <s v="Yes"/>
  </r>
  <r>
    <s v="SR-2025-00192"/>
    <x v="0"/>
    <s v="Traffic Concern"/>
    <s v="Low"/>
    <x v="0"/>
    <s v="Ward 4"/>
    <x v="142"/>
    <d v="2025-06-08T00:00:00"/>
    <s v="In Person"/>
    <n v="2"/>
    <n v="4"/>
    <n v="14"/>
    <s v="Yes"/>
    <d v="2025-06-01T00:00:00"/>
    <n v="2025"/>
    <n v="2"/>
    <s v="Yes"/>
  </r>
  <r>
    <s v="SR-2025-00193"/>
    <x v="4"/>
    <s v="Water Leak"/>
    <s v="Low"/>
    <x v="2"/>
    <s v="Ward 5"/>
    <x v="138"/>
    <m/>
    <s v="Web"/>
    <m/>
    <m/>
    <n v="14"/>
    <s v="Pending"/>
    <d v="2025-11-01T00:00:00"/>
    <n v="2025"/>
    <n v="4"/>
    <s v="No"/>
  </r>
  <r>
    <s v="SR-2025-00194"/>
    <x v="0"/>
    <s v="Traffic Signal Issue"/>
    <s v="High"/>
    <x v="0"/>
    <s v="Ward 5"/>
    <x v="143"/>
    <d v="2025-01-06T00:00:00"/>
    <s v="Email"/>
    <n v="4"/>
    <n v="5"/>
    <n v="7"/>
    <s v="Yes"/>
    <d v="2025-01-01T00:00:00"/>
    <n v="2025"/>
    <n v="1"/>
    <s v="Yes"/>
  </r>
  <r>
    <s v="SR-2025-00195"/>
    <x v="5"/>
    <s v="Tree Maintenance"/>
    <s v="Medium"/>
    <x v="0"/>
    <s v="Ward 5"/>
    <x v="144"/>
    <d v="2025-10-07T00:00:00"/>
    <s v="In Person"/>
    <n v="4"/>
    <n v="10"/>
    <n v="10"/>
    <s v="Yes"/>
    <d v="2025-09-01T00:00:00"/>
    <n v="2025"/>
    <n v="3"/>
    <s v="Yes"/>
  </r>
  <r>
    <s v="SR-2025-00196"/>
    <x v="3"/>
    <s v="Snow Removal"/>
    <s v="High"/>
    <x v="0"/>
    <s v="Ward 1"/>
    <x v="145"/>
    <d v="2025-07-21T00:00:00"/>
    <s v="Mobile App"/>
    <n v="3"/>
    <n v="3"/>
    <n v="7"/>
    <s v="Yes"/>
    <d v="2025-07-01T00:00:00"/>
    <n v="2025"/>
    <n v="3"/>
    <s v="Yes"/>
  </r>
  <r>
    <s v="SR-2025-00197"/>
    <x v="3"/>
    <s v="Sidewalk Damage"/>
    <s v="Low"/>
    <x v="0"/>
    <s v="Ward 3"/>
    <x v="84"/>
    <d v="2025-03-10T00:00:00"/>
    <s v="Phone"/>
    <n v="4"/>
    <n v="15"/>
    <n v="14"/>
    <s v="No"/>
    <d v="2025-02-01T00:00:00"/>
    <n v="2025"/>
    <n v="1"/>
    <s v="Yes"/>
  </r>
  <r>
    <s v="SR-2025-00198"/>
    <x v="3"/>
    <s v="Sidewalk Damage"/>
    <s v="Medium"/>
    <x v="1"/>
    <s v="Ward 4"/>
    <x v="49"/>
    <m/>
    <s v="Email"/>
    <m/>
    <m/>
    <n v="10"/>
    <s v="Pending"/>
    <d v="2025-03-01T00:00:00"/>
    <n v="2025"/>
    <n v="1"/>
    <s v="No"/>
  </r>
  <r>
    <s v="SR-2025-00199"/>
    <x v="0"/>
    <s v="Traffic Signal Issue"/>
    <s v="High"/>
    <x v="0"/>
    <s v="Ward 1"/>
    <x v="10"/>
    <d v="2025-08-24T00:00:00"/>
    <s v="Phone"/>
    <n v="4"/>
    <n v="1"/>
    <n v="7"/>
    <s v="Yes"/>
    <d v="2025-08-01T00:00:00"/>
    <n v="2025"/>
    <n v="3"/>
    <s v="Yes"/>
  </r>
  <r>
    <s v="SR-2025-00200"/>
    <x v="3"/>
    <s v="Sidewalk Damage"/>
    <s v="High"/>
    <x v="0"/>
    <s v="Ward 2"/>
    <x v="146"/>
    <d v="2025-10-10T00:00:00"/>
    <s v="Mobile App"/>
    <n v="3"/>
    <n v="4"/>
    <n v="7"/>
    <s v="Yes"/>
    <d v="2025-10-01T00:00:00"/>
    <n v="2025"/>
    <n v="4"/>
    <s v="Yes"/>
  </r>
  <r>
    <s v="SR-2025-00201"/>
    <x v="2"/>
    <s v="Missed Garbage Pickup"/>
    <s v="High"/>
    <x v="0"/>
    <s v="Ward 4"/>
    <x v="147"/>
    <d v="2025-03-12T00:00:00"/>
    <s v="Email"/>
    <n v="4"/>
    <n v="7"/>
    <n v="7"/>
    <s v="Yes"/>
    <d v="2025-03-01T00:00:00"/>
    <n v="2025"/>
    <n v="1"/>
    <s v="Yes"/>
  </r>
  <r>
    <s v="SR-2025-00202"/>
    <x v="4"/>
    <s v="Sewer Backup"/>
    <s v="Critical"/>
    <x v="0"/>
    <s v="Ward 5"/>
    <x v="148"/>
    <d v="2025-09-14T00:00:00"/>
    <s v="Mobile App"/>
    <n v="5"/>
    <n v="2"/>
    <n v="3"/>
    <s v="Yes"/>
    <d v="2025-09-01T00:00:00"/>
    <n v="2025"/>
    <n v="3"/>
    <s v="Yes"/>
  </r>
  <r>
    <s v="SR-2025-00203"/>
    <x v="3"/>
    <s v="Snow Removal"/>
    <s v="Low"/>
    <x v="0"/>
    <s v="Ward 1"/>
    <x v="149"/>
    <d v="2025-04-14T00:00:00"/>
    <s v="Web"/>
    <n v="4"/>
    <n v="11"/>
    <n v="14"/>
    <s v="Yes"/>
    <d v="2025-04-01T00:00:00"/>
    <n v="2025"/>
    <n v="2"/>
    <s v="Yes"/>
  </r>
  <r>
    <s v="SR-2025-00204"/>
    <x v="2"/>
    <s v="Illegal Dumping"/>
    <s v="Medium"/>
    <x v="0"/>
    <s v="Ward 3"/>
    <x v="150"/>
    <d v="2025-08-11T00:00:00"/>
    <s v="Email"/>
    <n v="5"/>
    <n v="4"/>
    <n v="10"/>
    <s v="Yes"/>
    <d v="2025-08-01T00:00:00"/>
    <n v="2025"/>
    <n v="3"/>
    <s v="Yes"/>
  </r>
  <r>
    <s v="SR-2025-00205"/>
    <x v="3"/>
    <s v="Sidewalk Damage"/>
    <s v="Medium"/>
    <x v="0"/>
    <s v="Ward 4"/>
    <x v="16"/>
    <d v="2025-11-26T00:00:00"/>
    <s v="Mobile App"/>
    <n v="2"/>
    <n v="2"/>
    <n v="10"/>
    <s v="Yes"/>
    <d v="2025-11-01T00:00:00"/>
    <n v="2025"/>
    <n v="4"/>
    <s v="Yes"/>
  </r>
  <r>
    <s v="SR-2025-00206"/>
    <x v="1"/>
    <s v="Property Standards"/>
    <s v="Critical"/>
    <x v="0"/>
    <s v="Ward 1"/>
    <x v="151"/>
    <d v="2025-11-11T00:00:00"/>
    <s v="Phone"/>
    <n v="1"/>
    <n v="3"/>
    <n v="3"/>
    <s v="Yes"/>
    <d v="2025-11-01T00:00:00"/>
    <n v="2025"/>
    <n v="4"/>
    <s v="Yes"/>
  </r>
  <r>
    <s v="SR-2025-00207"/>
    <x v="0"/>
    <s v="Road Sign Damage"/>
    <s v="Medium"/>
    <x v="2"/>
    <s v="Ward 5"/>
    <x v="152"/>
    <m/>
    <s v="Phone"/>
    <m/>
    <m/>
    <n v="10"/>
    <s v="Pending"/>
    <d v="2025-01-01T00:00:00"/>
    <n v="2025"/>
    <n v="1"/>
    <s v="No"/>
  </r>
  <r>
    <s v="SR-2025-00208"/>
    <x v="0"/>
    <s v="Traffic Concern"/>
    <s v="Critical"/>
    <x v="0"/>
    <s v="Ward 4"/>
    <x v="153"/>
    <d v="2025-02-10T00:00:00"/>
    <s v="Mobile App"/>
    <n v="4"/>
    <n v="1"/>
    <n v="3"/>
    <s v="Yes"/>
    <d v="2025-02-01T00:00:00"/>
    <n v="2025"/>
    <n v="1"/>
    <s v="Yes"/>
  </r>
  <r>
    <s v="SR-2025-00209"/>
    <x v="0"/>
    <s v="Road Sign Damage"/>
    <s v="Low"/>
    <x v="0"/>
    <s v="Ward 5"/>
    <x v="154"/>
    <d v="2025-04-16T00:00:00"/>
    <s v="Web"/>
    <n v="4"/>
    <n v="10"/>
    <n v="14"/>
    <s v="Yes"/>
    <d v="2025-04-01T00:00:00"/>
    <n v="2025"/>
    <n v="2"/>
    <s v="Yes"/>
  </r>
  <r>
    <s v="SR-2025-00210"/>
    <x v="2"/>
    <s v="Illegal Dumping"/>
    <s v="High"/>
    <x v="0"/>
    <s v="Ward 4"/>
    <x v="34"/>
    <d v="2025-11-13T00:00:00"/>
    <s v="Phone"/>
    <n v="5"/>
    <n v="3"/>
    <n v="7"/>
    <s v="Yes"/>
    <d v="2025-11-01T00:00:00"/>
    <n v="2025"/>
    <n v="4"/>
    <s v="Yes"/>
  </r>
  <r>
    <s v="SR-2025-00211"/>
    <x v="3"/>
    <s v="Road Damage"/>
    <s v="High"/>
    <x v="0"/>
    <s v="Ward 3"/>
    <x v="155"/>
    <d v="2025-08-17T00:00:00"/>
    <s v="Mobile App"/>
    <n v="5"/>
    <n v="1"/>
    <n v="7"/>
    <s v="Yes"/>
    <d v="2025-08-01T00:00:00"/>
    <n v="2025"/>
    <n v="3"/>
    <s v="Yes"/>
  </r>
  <r>
    <s v="SR-2025-00212"/>
    <x v="0"/>
    <s v="Streetlight Repair"/>
    <s v="Medium"/>
    <x v="0"/>
    <s v="Ward 2"/>
    <x v="156"/>
    <d v="2025-06-07T00:00:00"/>
    <s v="Mobile App"/>
    <n v="5"/>
    <n v="4"/>
    <n v="10"/>
    <s v="Yes"/>
    <d v="2025-06-01T00:00:00"/>
    <n v="2025"/>
    <n v="2"/>
    <s v="Yes"/>
  </r>
  <r>
    <s v="SR-2025-00213"/>
    <x v="1"/>
    <s v="Property Standards"/>
    <s v="Low"/>
    <x v="0"/>
    <s v="Ward 1"/>
    <x v="157"/>
    <d v="2025-03-19T00:00:00"/>
    <s v="Mobile App"/>
    <n v="5"/>
    <n v="6"/>
    <n v="14"/>
    <s v="Yes"/>
    <d v="2025-03-01T00:00:00"/>
    <n v="2025"/>
    <n v="1"/>
    <s v="Yes"/>
  </r>
  <r>
    <s v="SR-2025-00214"/>
    <x v="1"/>
    <s v="Parking Complaint"/>
    <s v="Medium"/>
    <x v="2"/>
    <s v="Ward 5"/>
    <x v="158"/>
    <m/>
    <s v="Web"/>
    <m/>
    <m/>
    <n v="10"/>
    <s v="Pending"/>
    <d v="2025-03-01T00:00:00"/>
    <n v="2025"/>
    <n v="1"/>
    <s v="No"/>
  </r>
  <r>
    <s v="SR-2025-00215"/>
    <x v="3"/>
    <s v="Sidewalk Damage"/>
    <s v="Medium"/>
    <x v="0"/>
    <s v="Ward 4"/>
    <x v="159"/>
    <d v="2025-09-13T00:00:00"/>
    <s v="In Person"/>
    <n v="4"/>
    <n v="10"/>
    <n v="10"/>
    <s v="Yes"/>
    <d v="2025-09-01T00:00:00"/>
    <n v="2025"/>
    <n v="3"/>
    <s v="Yes"/>
  </r>
  <r>
    <s v="SR-2025-00216"/>
    <x v="3"/>
    <s v="Road Damage"/>
    <s v="Critical"/>
    <x v="0"/>
    <s v="Ward 3"/>
    <x v="139"/>
    <d v="2025-08-22T00:00:00"/>
    <s v="Phone"/>
    <n v="5"/>
    <n v="3"/>
    <n v="3"/>
    <s v="Yes"/>
    <d v="2025-08-01T00:00:00"/>
    <n v="2025"/>
    <n v="3"/>
    <s v="Yes"/>
  </r>
  <r>
    <s v="SR-2025-00217"/>
    <x v="1"/>
    <s v="Property Standards"/>
    <s v="High"/>
    <x v="0"/>
    <s v="Ward 1"/>
    <x v="92"/>
    <d v="2025-09-22T00:00:00"/>
    <s v="In Person"/>
    <n v="2"/>
    <n v="7"/>
    <n v="7"/>
    <s v="Yes"/>
    <d v="2025-09-01T00:00:00"/>
    <n v="2025"/>
    <n v="3"/>
    <s v="Yes"/>
  </r>
  <r>
    <s v="SR-2025-00218"/>
    <x v="5"/>
    <s v="Grass Cutting"/>
    <s v="Low"/>
    <x v="0"/>
    <s v="Ward 5"/>
    <x v="160"/>
    <d v="2026-01-05T00:00:00"/>
    <s v="Mobile App"/>
    <n v="4"/>
    <n v="6"/>
    <n v="14"/>
    <s v="Yes"/>
    <d v="2025-12-01T00:00:00"/>
    <n v="2025"/>
    <n v="4"/>
    <s v="Yes"/>
  </r>
  <r>
    <s v="SR-2025-00219"/>
    <x v="3"/>
    <s v="Sidewalk Damage"/>
    <s v="Low"/>
    <x v="2"/>
    <s v="Ward 2"/>
    <x v="161"/>
    <m/>
    <s v="Mobile App"/>
    <m/>
    <m/>
    <n v="14"/>
    <s v="Pending"/>
    <d v="2025-05-01T00:00:00"/>
    <n v="2025"/>
    <n v="2"/>
    <s v="No"/>
  </r>
  <r>
    <s v="SR-2025-00220"/>
    <x v="1"/>
    <s v="Noise Complaint"/>
    <s v="Medium"/>
    <x v="0"/>
    <s v="Ward 5"/>
    <x v="73"/>
    <d v="2025-10-29T00:00:00"/>
    <s v="In Person"/>
    <n v="3"/>
    <n v="4"/>
    <n v="10"/>
    <s v="Yes"/>
    <d v="2025-10-01T00:00:00"/>
    <n v="2025"/>
    <n v="4"/>
    <s v="Yes"/>
  </r>
  <r>
    <s v="SR-2025-00221"/>
    <x v="2"/>
    <s v="Missed Garbage Pickup"/>
    <s v="High"/>
    <x v="0"/>
    <s v="Ward 3"/>
    <x v="162"/>
    <d v="2025-01-30T00:00:00"/>
    <s v="Phone"/>
    <n v="5"/>
    <n v="6"/>
    <n v="7"/>
    <s v="Yes"/>
    <d v="2025-01-01T00:00:00"/>
    <n v="2025"/>
    <n v="1"/>
    <s v="Yes"/>
  </r>
  <r>
    <s v="SR-2025-00222"/>
    <x v="1"/>
    <s v="Animal Complaint"/>
    <s v="Medium"/>
    <x v="0"/>
    <s v="Ward 3"/>
    <x v="163"/>
    <d v="2025-11-28T00:00:00"/>
    <s v="Email"/>
    <n v="3"/>
    <n v="10"/>
    <n v="10"/>
    <s v="Yes"/>
    <d v="2025-11-01T00:00:00"/>
    <n v="2025"/>
    <n v="4"/>
    <s v="Yes"/>
  </r>
  <r>
    <s v="SR-2025-00223"/>
    <x v="5"/>
    <s v="Trail Maintenance"/>
    <s v="Medium"/>
    <x v="0"/>
    <s v="Ward 4"/>
    <x v="164"/>
    <d v="2025-02-04T00:00:00"/>
    <s v="Email"/>
    <n v="4"/>
    <n v="4"/>
    <n v="10"/>
    <s v="Yes"/>
    <d v="2025-01-01T00:00:00"/>
    <n v="2025"/>
    <n v="1"/>
    <s v="Yes"/>
  </r>
  <r>
    <s v="SR-2025-00224"/>
    <x v="5"/>
    <s v="Grass Cutting"/>
    <s v="Medium"/>
    <x v="0"/>
    <s v="Ward 2"/>
    <x v="165"/>
    <d v="2025-06-20T00:00:00"/>
    <s v="Mobile App"/>
    <n v="5"/>
    <n v="7"/>
    <n v="10"/>
    <s v="Yes"/>
    <d v="2025-06-01T00:00:00"/>
    <n v="2025"/>
    <n v="2"/>
    <s v="Yes"/>
  </r>
  <r>
    <s v="SR-2025-00225"/>
    <x v="1"/>
    <s v="Noise Complaint"/>
    <s v="Medium"/>
    <x v="0"/>
    <s v="Ward 1"/>
    <x v="14"/>
    <d v="2025-05-26T00:00:00"/>
    <s v="Web"/>
    <n v="3"/>
    <n v="9"/>
    <n v="10"/>
    <s v="Yes"/>
    <d v="2025-05-01T00:00:00"/>
    <n v="2025"/>
    <n v="2"/>
    <s v="Yes"/>
  </r>
  <r>
    <s v="SR-2025-00226"/>
    <x v="2"/>
    <s v="Green Bin Issue"/>
    <s v="High"/>
    <x v="0"/>
    <s v="Ward 5"/>
    <x v="166"/>
    <d v="2025-03-30T00:00:00"/>
    <s v="Mobile App"/>
    <n v="4"/>
    <n v="7"/>
    <n v="7"/>
    <s v="Yes"/>
    <d v="2025-03-01T00:00:00"/>
    <n v="2025"/>
    <n v="1"/>
    <s v="Yes"/>
  </r>
  <r>
    <s v="SR-2025-00227"/>
    <x v="5"/>
    <s v="Park Equipment Damage"/>
    <s v="Medium"/>
    <x v="0"/>
    <s v="Ward 1"/>
    <x v="167"/>
    <d v="2025-09-19T00:00:00"/>
    <s v="Email"/>
    <n v="4"/>
    <n v="6"/>
    <n v="10"/>
    <s v="Yes"/>
    <d v="2025-09-01T00:00:00"/>
    <n v="2025"/>
    <n v="3"/>
    <s v="Yes"/>
  </r>
  <r>
    <s v="SR-2025-00228"/>
    <x v="1"/>
    <s v="Animal Complaint"/>
    <s v="Critical"/>
    <x v="0"/>
    <s v="Ward 4"/>
    <x v="168"/>
    <d v="2025-06-30T00:00:00"/>
    <s v="In Person"/>
    <n v="2"/>
    <n v="0"/>
    <n v="3"/>
    <s v="Yes"/>
    <d v="2025-06-01T00:00:00"/>
    <n v="2025"/>
    <n v="2"/>
    <s v="Yes"/>
  </r>
  <r>
    <s v="SR-2025-00229"/>
    <x v="0"/>
    <s v="Traffic Concern"/>
    <s v="Medium"/>
    <x v="0"/>
    <s v="Ward 3"/>
    <x v="25"/>
    <d v="2025-03-05T00:00:00"/>
    <s v="Mobile App"/>
    <n v="3"/>
    <n v="8"/>
    <n v="10"/>
    <s v="Yes"/>
    <d v="2025-02-01T00:00:00"/>
    <n v="2025"/>
    <n v="1"/>
    <s v="Yes"/>
  </r>
  <r>
    <s v="SR-2025-00230"/>
    <x v="4"/>
    <s v="Sewer Backup"/>
    <s v="Low"/>
    <x v="0"/>
    <s v="Ward 3"/>
    <x v="169"/>
    <d v="2025-10-21T00:00:00"/>
    <s v="Web"/>
    <n v="4"/>
    <n v="6"/>
    <n v="14"/>
    <s v="Yes"/>
    <d v="2025-10-01T00:00:00"/>
    <n v="2025"/>
    <n v="4"/>
    <s v="Yes"/>
  </r>
  <r>
    <s v="SR-2025-00231"/>
    <x v="4"/>
    <s v="Water Quality Concern"/>
    <s v="High"/>
    <x v="0"/>
    <s v="Ward 2"/>
    <x v="47"/>
    <d v="2025-11-22T00:00:00"/>
    <s v="Web"/>
    <n v="4"/>
    <n v="6"/>
    <n v="7"/>
    <s v="Yes"/>
    <d v="2025-11-01T00:00:00"/>
    <n v="2025"/>
    <n v="4"/>
    <s v="Yes"/>
  </r>
  <r>
    <s v="SR-2025-00232"/>
    <x v="4"/>
    <s v="Sewer Backup"/>
    <s v="High"/>
    <x v="0"/>
    <s v="Ward 5"/>
    <x v="101"/>
    <d v="2025-07-14T00:00:00"/>
    <s v="In Person"/>
    <n v="3"/>
    <n v="7"/>
    <n v="7"/>
    <s v="Yes"/>
    <d v="2025-07-01T00:00:00"/>
    <n v="2025"/>
    <n v="3"/>
    <s v="Yes"/>
  </r>
  <r>
    <s v="SR-2025-00233"/>
    <x v="4"/>
    <s v="Water Leak"/>
    <s v="Low"/>
    <x v="0"/>
    <s v="Ward 4"/>
    <x v="170"/>
    <d v="2025-07-05T00:00:00"/>
    <s v="Phone"/>
    <n v="4"/>
    <n v="15"/>
    <n v="14"/>
    <s v="No"/>
    <d v="2025-06-01T00:00:00"/>
    <n v="2025"/>
    <n v="2"/>
    <s v="Yes"/>
  </r>
  <r>
    <s v="SR-2025-00234"/>
    <x v="1"/>
    <s v="Property Standards"/>
    <s v="Medium"/>
    <x v="0"/>
    <s v="Ward 3"/>
    <x v="171"/>
    <d v="2025-04-02T00:00:00"/>
    <s v="In Person"/>
    <n v="5"/>
    <n v="8"/>
    <n v="10"/>
    <s v="Yes"/>
    <d v="2025-03-01T00:00:00"/>
    <n v="2025"/>
    <n v="1"/>
    <s v="Yes"/>
  </r>
  <r>
    <s v="SR-2025-00235"/>
    <x v="2"/>
    <s v="Green Bin Issue"/>
    <s v="High"/>
    <x v="0"/>
    <s v="Ward 1"/>
    <x v="172"/>
    <d v="2025-01-12T00:00:00"/>
    <s v="Email"/>
    <n v="4"/>
    <n v="3"/>
    <n v="7"/>
    <s v="Yes"/>
    <d v="2025-01-01T00:00:00"/>
    <n v="2025"/>
    <n v="1"/>
    <s v="Yes"/>
  </r>
  <r>
    <s v="SR-2025-00236"/>
    <x v="1"/>
    <s v="Parking Complaint"/>
    <s v="High"/>
    <x v="0"/>
    <s v="Ward 4"/>
    <x v="80"/>
    <d v="2025-12-25T00:00:00"/>
    <s v="Mobile App"/>
    <n v="1"/>
    <n v="6"/>
    <n v="7"/>
    <s v="Yes"/>
    <d v="2025-12-01T00:00:00"/>
    <n v="2025"/>
    <n v="4"/>
    <s v="Yes"/>
  </r>
  <r>
    <s v="SR-2025-00237"/>
    <x v="0"/>
    <s v="Traffic Signal Issue"/>
    <s v="High"/>
    <x v="0"/>
    <s v="Ward 5"/>
    <x v="173"/>
    <d v="2025-04-03T00:00:00"/>
    <s v="Email"/>
    <n v="4"/>
    <n v="5"/>
    <n v="7"/>
    <s v="Yes"/>
    <d v="2025-03-01T00:00:00"/>
    <n v="2025"/>
    <n v="1"/>
    <s v="Yes"/>
  </r>
  <r>
    <s v="SR-2025-00238"/>
    <x v="5"/>
    <s v="Park Equipment Damage"/>
    <s v="Low"/>
    <x v="2"/>
    <s v="Ward 2"/>
    <x v="111"/>
    <m/>
    <s v="Web"/>
    <m/>
    <m/>
    <n v="14"/>
    <s v="Pending"/>
    <d v="2025-02-01T00:00:00"/>
    <n v="2025"/>
    <n v="1"/>
    <s v="No"/>
  </r>
  <r>
    <s v="SR-2025-00239"/>
    <x v="4"/>
    <s v="Sewer Backup"/>
    <s v="Medium"/>
    <x v="0"/>
    <s v="Ward 5"/>
    <x v="123"/>
    <d v="2025-04-23T00:00:00"/>
    <s v="Email"/>
    <n v="4"/>
    <n v="8"/>
    <n v="10"/>
    <s v="Yes"/>
    <d v="2025-04-01T00:00:00"/>
    <n v="2025"/>
    <n v="2"/>
    <s v="Yes"/>
  </r>
  <r>
    <s v="SR-2025-00240"/>
    <x v="0"/>
    <s v="Streetlight Repair"/>
    <s v="High"/>
    <x v="0"/>
    <s v="Ward 4"/>
    <x v="169"/>
    <d v="2025-10-18T00:00:00"/>
    <s v="In Person"/>
    <n v="5"/>
    <n v="3"/>
    <n v="7"/>
    <s v="Yes"/>
    <d v="2025-10-01T00:00:00"/>
    <n v="2025"/>
    <n v="4"/>
    <s v="Yes"/>
  </r>
  <r>
    <s v="SR-2025-00241"/>
    <x v="4"/>
    <s v="Sewer Backup"/>
    <s v="Critical"/>
    <x v="0"/>
    <s v="Ward 3"/>
    <x v="174"/>
    <d v="2025-10-02T00:00:00"/>
    <s v="In Person"/>
    <n v="4"/>
    <n v="2"/>
    <n v="3"/>
    <s v="Yes"/>
    <d v="2025-09-01T00:00:00"/>
    <n v="2025"/>
    <n v="3"/>
    <s v="Yes"/>
  </r>
  <r>
    <s v="SR-2025-00242"/>
    <x v="4"/>
    <s v="Low Water Pressure"/>
    <s v="Critical"/>
    <x v="0"/>
    <s v="Ward 3"/>
    <x v="175"/>
    <d v="2025-06-03T00:00:00"/>
    <s v="Mobile App"/>
    <n v="5"/>
    <n v="1"/>
    <n v="3"/>
    <s v="Yes"/>
    <d v="2025-06-01T00:00:00"/>
    <n v="2025"/>
    <n v="2"/>
    <s v="Yes"/>
  </r>
  <r>
    <s v="SR-2025-00243"/>
    <x v="0"/>
    <s v="Traffic Signal Issue"/>
    <s v="Medium"/>
    <x v="0"/>
    <s v="Ward 3"/>
    <x v="159"/>
    <d v="2025-09-10T00:00:00"/>
    <s v="Mobile App"/>
    <n v="4"/>
    <n v="7"/>
    <n v="10"/>
    <s v="Yes"/>
    <d v="2025-09-01T00:00:00"/>
    <n v="2025"/>
    <n v="3"/>
    <s v="Yes"/>
  </r>
  <r>
    <s v="SR-2025-00244"/>
    <x v="3"/>
    <s v="Snow Removal"/>
    <s v="High"/>
    <x v="0"/>
    <s v="Ward 3"/>
    <x v="176"/>
    <d v="2025-07-03T00:00:00"/>
    <s v="Web"/>
    <n v="5"/>
    <n v="7"/>
    <n v="7"/>
    <s v="Yes"/>
    <d v="2025-06-01T00:00:00"/>
    <n v="2025"/>
    <n v="2"/>
    <s v="Yes"/>
  </r>
  <r>
    <s v="SR-2025-00245"/>
    <x v="2"/>
    <s v="Missed Garbage Pickup"/>
    <s v="Medium"/>
    <x v="0"/>
    <s v="Ward 5"/>
    <x v="177"/>
    <d v="2025-05-21T00:00:00"/>
    <s v="Mobile App"/>
    <n v="3"/>
    <n v="9"/>
    <n v="10"/>
    <s v="Yes"/>
    <d v="2025-05-01T00:00:00"/>
    <n v="2025"/>
    <n v="2"/>
    <s v="Yes"/>
  </r>
  <r>
    <s v="SR-2025-00246"/>
    <x v="1"/>
    <s v="Parking Complaint"/>
    <s v="Low"/>
    <x v="0"/>
    <s v="Ward 5"/>
    <x v="98"/>
    <d v="2025-11-03T00:00:00"/>
    <s v="Phone"/>
    <n v="3"/>
    <n v="6"/>
    <n v="14"/>
    <s v="Yes"/>
    <d v="2025-10-01T00:00:00"/>
    <n v="2025"/>
    <n v="4"/>
    <s v="Yes"/>
  </r>
  <r>
    <s v="SR-2025-00247"/>
    <x v="0"/>
    <s v="Traffic Signal Issue"/>
    <s v="Low"/>
    <x v="0"/>
    <s v="Ward 2"/>
    <x v="178"/>
    <d v="2025-09-03T00:00:00"/>
    <s v="Web"/>
    <n v="5"/>
    <n v="4"/>
    <n v="14"/>
    <s v="Yes"/>
    <d v="2025-08-01T00:00:00"/>
    <n v="2025"/>
    <n v="3"/>
    <s v="Yes"/>
  </r>
  <r>
    <s v="SR-2025-00248"/>
    <x v="1"/>
    <s v="Property Standards"/>
    <s v="Medium"/>
    <x v="2"/>
    <s v="Ward 4"/>
    <x v="53"/>
    <m/>
    <s v="Phone"/>
    <m/>
    <m/>
    <n v="10"/>
    <s v="Pending"/>
    <d v="2025-09-01T00:00:00"/>
    <n v="2025"/>
    <n v="3"/>
    <s v="No"/>
  </r>
  <r>
    <s v="SR-2025-00249"/>
    <x v="2"/>
    <s v="Illegal Dumping"/>
    <s v="Medium"/>
    <x v="0"/>
    <s v="Ward 1"/>
    <x v="179"/>
    <d v="2025-02-20T00:00:00"/>
    <s v="Phone"/>
    <n v="4"/>
    <n v="5"/>
    <n v="10"/>
    <s v="Yes"/>
    <d v="2025-02-01T00:00:00"/>
    <n v="2025"/>
    <n v="1"/>
    <s v="Yes"/>
  </r>
  <r>
    <s v="SR-2025-00250"/>
    <x v="4"/>
    <s v="Low Water Pressure"/>
    <s v="High"/>
    <x v="0"/>
    <s v="Ward 3"/>
    <x v="180"/>
    <d v="2025-07-30T00:00:00"/>
    <s v="Web"/>
    <n v="4"/>
    <n v="7"/>
    <n v="7"/>
    <s v="Yes"/>
    <d v="2025-07-01T00:00:00"/>
    <n v="2025"/>
    <n v="3"/>
    <s v="Yes"/>
  </r>
  <r>
    <s v="SR-2025-00251"/>
    <x v="3"/>
    <s v="Sidewalk Damage"/>
    <s v="Medium"/>
    <x v="0"/>
    <s v="Ward 5"/>
    <x v="181"/>
    <d v="2025-06-27T00:00:00"/>
    <s v="In Person"/>
    <n v="4"/>
    <n v="6"/>
    <n v="10"/>
    <s v="Yes"/>
    <d v="2025-06-01T00:00:00"/>
    <n v="2025"/>
    <n v="2"/>
    <s v="Yes"/>
  </r>
  <r>
    <s v="SR-2025-00252"/>
    <x v="4"/>
    <s v="Low Water Pressure"/>
    <s v="High"/>
    <x v="0"/>
    <s v="Ward 2"/>
    <x v="182"/>
    <d v="2025-04-16T00:00:00"/>
    <s v="Email"/>
    <n v="3"/>
    <n v="7"/>
    <n v="7"/>
    <s v="Yes"/>
    <d v="2025-04-01T00:00:00"/>
    <n v="2025"/>
    <n v="2"/>
    <s v="Yes"/>
  </r>
  <r>
    <s v="SR-2025-00253"/>
    <x v="0"/>
    <s v="Road Sign Damage"/>
    <s v="High"/>
    <x v="0"/>
    <s v="Ward 2"/>
    <x v="183"/>
    <d v="2025-06-29T00:00:00"/>
    <s v="Phone"/>
    <n v="4"/>
    <n v="7"/>
    <n v="7"/>
    <s v="Yes"/>
    <d v="2025-06-01T00:00:00"/>
    <n v="2025"/>
    <n v="2"/>
    <s v="Yes"/>
  </r>
  <r>
    <s v="SR-2025-00254"/>
    <x v="1"/>
    <s v="Animal Complaint"/>
    <s v="High"/>
    <x v="0"/>
    <s v="Ward 2"/>
    <x v="184"/>
    <d v="2025-02-18T00:00:00"/>
    <s v="Phone"/>
    <n v="5"/>
    <n v="4"/>
    <n v="7"/>
    <s v="Yes"/>
    <d v="2025-02-01T00:00:00"/>
    <n v="2025"/>
    <n v="1"/>
    <s v="Yes"/>
  </r>
  <r>
    <s v="SR-2025-00255"/>
    <x v="4"/>
    <s v="Sewer Backup"/>
    <s v="High"/>
    <x v="0"/>
    <s v="Ward 3"/>
    <x v="99"/>
    <d v="2025-07-18T00:00:00"/>
    <s v="Mobile App"/>
    <n v="4"/>
    <n v="2"/>
    <n v="7"/>
    <s v="Yes"/>
    <d v="2025-07-01T00:00:00"/>
    <n v="2025"/>
    <n v="3"/>
    <s v="Yes"/>
  </r>
  <r>
    <s v="SR-2025-00256"/>
    <x v="2"/>
    <s v="Missed Garbage Pickup"/>
    <s v="Medium"/>
    <x v="0"/>
    <s v="Ward 4"/>
    <x v="52"/>
    <d v="2025-05-03T00:00:00"/>
    <s v="Mobile App"/>
    <n v="5"/>
    <n v="2"/>
    <n v="10"/>
    <s v="Yes"/>
    <d v="2025-05-01T00:00:00"/>
    <n v="2025"/>
    <n v="2"/>
    <s v="Yes"/>
  </r>
  <r>
    <s v="SR-2025-00257"/>
    <x v="5"/>
    <s v="Trail Maintenance"/>
    <s v="Medium"/>
    <x v="2"/>
    <s v="Ward 3"/>
    <x v="185"/>
    <m/>
    <s v="Web"/>
    <m/>
    <m/>
    <n v="10"/>
    <s v="Pending"/>
    <d v="2025-12-01T00:00:00"/>
    <n v="2025"/>
    <n v="4"/>
    <s v="No"/>
  </r>
  <r>
    <s v="SR-2025-00258"/>
    <x v="0"/>
    <s v="Road Sign Damage"/>
    <s v="Medium"/>
    <x v="0"/>
    <s v="Ward 5"/>
    <x v="55"/>
    <d v="2025-03-19T00:00:00"/>
    <s v="Mobile App"/>
    <n v="3"/>
    <n v="9"/>
    <n v="10"/>
    <s v="Yes"/>
    <d v="2025-03-01T00:00:00"/>
    <n v="2025"/>
    <n v="1"/>
    <s v="Yes"/>
  </r>
  <r>
    <s v="SR-2025-00259"/>
    <x v="4"/>
    <s v="Water Quality Concern"/>
    <s v="High"/>
    <x v="1"/>
    <s v="Ward 2"/>
    <x v="186"/>
    <m/>
    <s v="In Person"/>
    <m/>
    <m/>
    <n v="7"/>
    <s v="Pending"/>
    <d v="2025-04-01T00:00:00"/>
    <n v="2025"/>
    <n v="2"/>
    <s v="No"/>
  </r>
  <r>
    <s v="SR-2025-00260"/>
    <x v="3"/>
    <s v="Snow Removal"/>
    <s v="Medium"/>
    <x v="0"/>
    <s v="Ward 5"/>
    <x v="32"/>
    <d v="2025-10-19T00:00:00"/>
    <s v="In Person"/>
    <n v="2"/>
    <n v="3"/>
    <n v="10"/>
    <s v="Yes"/>
    <d v="2025-10-01T00:00:00"/>
    <n v="2025"/>
    <n v="4"/>
    <s v="Yes"/>
  </r>
  <r>
    <s v="SR-2025-00261"/>
    <x v="5"/>
    <s v="Park Equipment Damage"/>
    <s v="Low"/>
    <x v="1"/>
    <s v="Ward 1"/>
    <x v="131"/>
    <m/>
    <s v="Phone"/>
    <m/>
    <m/>
    <n v="14"/>
    <s v="Pending"/>
    <d v="2025-08-01T00:00:00"/>
    <n v="2025"/>
    <n v="3"/>
    <s v="No"/>
  </r>
  <r>
    <s v="SR-2025-00262"/>
    <x v="0"/>
    <s v="Traffic Concern"/>
    <s v="Low"/>
    <x v="0"/>
    <s v="Ward 4"/>
    <x v="187"/>
    <d v="2025-02-08T00:00:00"/>
    <s v="Email"/>
    <n v="3"/>
    <n v="10"/>
    <n v="14"/>
    <s v="Yes"/>
    <d v="2025-01-01T00:00:00"/>
    <n v="2025"/>
    <n v="1"/>
    <s v="Yes"/>
  </r>
  <r>
    <s v="SR-2025-00263"/>
    <x v="1"/>
    <s v="Noise Complaint"/>
    <s v="Medium"/>
    <x v="0"/>
    <s v="Ward 1"/>
    <x v="188"/>
    <d v="2025-06-09T00:00:00"/>
    <s v="Phone"/>
    <n v="4"/>
    <n v="2"/>
    <n v="10"/>
    <s v="Yes"/>
    <d v="2025-06-01T00:00:00"/>
    <n v="2025"/>
    <n v="2"/>
    <s v="Yes"/>
  </r>
  <r>
    <s v="SR-2025-00264"/>
    <x v="1"/>
    <s v="Noise Complaint"/>
    <s v="Low"/>
    <x v="0"/>
    <s v="Ward 1"/>
    <x v="57"/>
    <d v="2025-02-13T00:00:00"/>
    <s v="Email"/>
    <n v="5"/>
    <n v="11"/>
    <n v="14"/>
    <s v="Yes"/>
    <d v="2025-02-01T00:00:00"/>
    <n v="2025"/>
    <n v="1"/>
    <s v="Yes"/>
  </r>
  <r>
    <s v="SR-2025-00265"/>
    <x v="3"/>
    <s v="Sidewalk Damage"/>
    <s v="Medium"/>
    <x v="1"/>
    <s v="Ward 4"/>
    <x v="189"/>
    <m/>
    <s v="Mobile App"/>
    <m/>
    <m/>
    <n v="10"/>
    <s v="Pending"/>
    <d v="2025-11-01T00:00:00"/>
    <n v="2025"/>
    <n v="4"/>
    <s v="No"/>
  </r>
  <r>
    <s v="SR-2025-00266"/>
    <x v="4"/>
    <s v="Water Quality Concern"/>
    <s v="High"/>
    <x v="2"/>
    <s v="Ward 1"/>
    <x v="120"/>
    <m/>
    <s v="In Person"/>
    <m/>
    <m/>
    <n v="7"/>
    <s v="Pending"/>
    <d v="2025-07-01T00:00:00"/>
    <n v="2025"/>
    <n v="3"/>
    <s v="No"/>
  </r>
  <r>
    <s v="SR-2025-00267"/>
    <x v="5"/>
    <s v="Grass Cutting"/>
    <s v="Low"/>
    <x v="2"/>
    <s v="Ward 5"/>
    <x v="60"/>
    <m/>
    <s v="Phone"/>
    <m/>
    <m/>
    <n v="14"/>
    <s v="Pending"/>
    <d v="2025-07-01T00:00:00"/>
    <n v="2025"/>
    <n v="3"/>
    <s v="No"/>
  </r>
  <r>
    <s v="SR-2025-00268"/>
    <x v="0"/>
    <s v="Traffic Signal Issue"/>
    <s v="High"/>
    <x v="1"/>
    <s v="Ward 4"/>
    <x v="175"/>
    <m/>
    <s v="In Person"/>
    <m/>
    <m/>
    <n v="7"/>
    <s v="Pending"/>
    <d v="2025-06-01T00:00:00"/>
    <n v="2025"/>
    <n v="2"/>
    <s v="No"/>
  </r>
  <r>
    <s v="SR-2025-00269"/>
    <x v="4"/>
    <s v="Water Quality Concern"/>
    <s v="High"/>
    <x v="0"/>
    <s v="Ward 1"/>
    <x v="190"/>
    <d v="2025-06-29T00:00:00"/>
    <s v="Web"/>
    <n v="3"/>
    <n v="2"/>
    <n v="7"/>
    <s v="Yes"/>
    <d v="2025-06-01T00:00:00"/>
    <n v="2025"/>
    <n v="2"/>
    <s v="Yes"/>
  </r>
  <r>
    <s v="SR-2025-00270"/>
    <x v="0"/>
    <s v="Traffic Concern"/>
    <s v="Medium"/>
    <x v="2"/>
    <s v="Ward 2"/>
    <x v="172"/>
    <m/>
    <s v="Phone"/>
    <m/>
    <m/>
    <n v="10"/>
    <s v="Pending"/>
    <d v="2025-01-01T00:00:00"/>
    <n v="2025"/>
    <n v="1"/>
    <s v="No"/>
  </r>
  <r>
    <s v="SR-2025-00271"/>
    <x v="3"/>
    <s v="Pothole Repair"/>
    <s v="Medium"/>
    <x v="0"/>
    <s v="Ward 1"/>
    <x v="191"/>
    <d v="2025-12-13T00:00:00"/>
    <s v="Email"/>
    <n v="3"/>
    <n v="2"/>
    <n v="10"/>
    <s v="Yes"/>
    <d v="2025-12-01T00:00:00"/>
    <n v="2025"/>
    <n v="4"/>
    <s v="Yes"/>
  </r>
  <r>
    <s v="SR-2025-00272"/>
    <x v="4"/>
    <s v="Low Water Pressure"/>
    <s v="Medium"/>
    <x v="1"/>
    <s v="Ward 2"/>
    <x v="187"/>
    <m/>
    <s v="In Person"/>
    <m/>
    <m/>
    <n v="10"/>
    <s v="Pending"/>
    <d v="2025-01-01T00:00:00"/>
    <n v="2025"/>
    <n v="1"/>
    <s v="No"/>
  </r>
  <r>
    <s v="SR-2025-00273"/>
    <x v="2"/>
    <s v="Recycling Issue"/>
    <s v="High"/>
    <x v="0"/>
    <s v="Ward 3"/>
    <x v="165"/>
    <d v="2025-06-18T00:00:00"/>
    <s v="Phone"/>
    <n v="4"/>
    <n v="5"/>
    <n v="7"/>
    <s v="Yes"/>
    <d v="2025-06-01T00:00:00"/>
    <n v="2025"/>
    <n v="2"/>
    <s v="Yes"/>
  </r>
  <r>
    <s v="SR-2025-00274"/>
    <x v="2"/>
    <s v="Recycling Issue"/>
    <s v="Critical"/>
    <x v="0"/>
    <s v="Ward 5"/>
    <x v="86"/>
    <d v="2025-08-02T00:00:00"/>
    <s v="In Person"/>
    <n v="3"/>
    <n v="2"/>
    <n v="3"/>
    <s v="Yes"/>
    <d v="2025-07-01T00:00:00"/>
    <n v="2025"/>
    <n v="3"/>
    <s v="Yes"/>
  </r>
  <r>
    <s v="SR-2025-00275"/>
    <x v="0"/>
    <s v="Traffic Signal Issue"/>
    <s v="Medium"/>
    <x v="0"/>
    <s v="Ward 4"/>
    <x v="192"/>
    <d v="2025-09-13T00:00:00"/>
    <s v="In Person"/>
    <n v="5"/>
    <n v="2"/>
    <n v="10"/>
    <s v="Yes"/>
    <d v="2025-09-01T00:00:00"/>
    <n v="2025"/>
    <n v="3"/>
    <s v="Yes"/>
  </r>
  <r>
    <s v="SR-2025-00276"/>
    <x v="2"/>
    <s v="Green Bin Issue"/>
    <s v="Medium"/>
    <x v="0"/>
    <s v="Ward 2"/>
    <x v="78"/>
    <d v="2025-04-15T00:00:00"/>
    <s v="Mobile App"/>
    <n v="4"/>
    <n v="10"/>
    <n v="10"/>
    <s v="Yes"/>
    <d v="2025-04-01T00:00:00"/>
    <n v="2025"/>
    <n v="2"/>
    <s v="Yes"/>
  </r>
  <r>
    <s v="SR-2025-00277"/>
    <x v="0"/>
    <s v="Traffic Signal Issue"/>
    <s v="High"/>
    <x v="2"/>
    <s v="Ward 4"/>
    <x v="169"/>
    <m/>
    <s v="Email"/>
    <m/>
    <m/>
    <n v="7"/>
    <s v="Pending"/>
    <d v="2025-10-01T00:00:00"/>
    <n v="2025"/>
    <n v="4"/>
    <s v="No"/>
  </r>
  <r>
    <s v="SR-2025-00278"/>
    <x v="1"/>
    <s v="Property Standards"/>
    <s v="Medium"/>
    <x v="0"/>
    <s v="Ward 3"/>
    <x v="22"/>
    <d v="2025-06-22T00:00:00"/>
    <s v="Web"/>
    <n v="5"/>
    <n v="3"/>
    <n v="10"/>
    <s v="Yes"/>
    <d v="2025-06-01T00:00:00"/>
    <n v="2025"/>
    <n v="2"/>
    <s v="Yes"/>
  </r>
  <r>
    <s v="SR-2025-00279"/>
    <x v="1"/>
    <s v="Property Standards"/>
    <s v="Low"/>
    <x v="0"/>
    <s v="Ward 1"/>
    <x v="193"/>
    <d v="2025-11-18T00:00:00"/>
    <s v="Phone"/>
    <n v="1"/>
    <n v="12"/>
    <n v="14"/>
    <s v="Yes"/>
    <d v="2025-11-01T00:00:00"/>
    <n v="2025"/>
    <n v="4"/>
    <s v="Yes"/>
  </r>
  <r>
    <s v="SR-2025-00280"/>
    <x v="1"/>
    <s v="Property Standards"/>
    <s v="Medium"/>
    <x v="2"/>
    <s v="Ward 3"/>
    <x v="170"/>
    <m/>
    <s v="Web"/>
    <m/>
    <m/>
    <n v="10"/>
    <s v="Pending"/>
    <d v="2025-06-01T00:00:00"/>
    <n v="2025"/>
    <n v="2"/>
    <s v="No"/>
  </r>
  <r>
    <s v="SR-2025-00281"/>
    <x v="5"/>
    <s v="Park Equipment Damage"/>
    <s v="Critical"/>
    <x v="0"/>
    <s v="Ward 2"/>
    <x v="159"/>
    <d v="2025-09-04T00:00:00"/>
    <s v="Email"/>
    <n v="5"/>
    <n v="1"/>
    <n v="3"/>
    <s v="Yes"/>
    <d v="2025-09-01T00:00:00"/>
    <n v="2025"/>
    <n v="3"/>
    <s v="Yes"/>
  </r>
  <r>
    <s v="SR-2025-00282"/>
    <x v="5"/>
    <s v="Grass Cutting"/>
    <s v="High"/>
    <x v="0"/>
    <s v="Ward 3"/>
    <x v="194"/>
    <d v="2025-10-07T00:00:00"/>
    <s v="Mobile App"/>
    <n v="4"/>
    <n v="6"/>
    <n v="7"/>
    <s v="Yes"/>
    <d v="2025-10-01T00:00:00"/>
    <n v="2025"/>
    <n v="4"/>
    <s v="Yes"/>
  </r>
  <r>
    <s v="SR-2025-00283"/>
    <x v="1"/>
    <s v="Animal Complaint"/>
    <s v="Medium"/>
    <x v="1"/>
    <s v="Ward 3"/>
    <x v="42"/>
    <m/>
    <s v="Phone"/>
    <m/>
    <m/>
    <n v="10"/>
    <s v="Pending"/>
    <d v="2025-08-01T00:00:00"/>
    <n v="2025"/>
    <n v="3"/>
    <s v="No"/>
  </r>
  <r>
    <s v="SR-2025-00284"/>
    <x v="2"/>
    <s v="Illegal Dumping"/>
    <s v="Medium"/>
    <x v="0"/>
    <s v="Ward 5"/>
    <x v="195"/>
    <d v="2025-04-28T00:00:00"/>
    <s v="In Person"/>
    <n v="1"/>
    <n v="4"/>
    <n v="10"/>
    <s v="Yes"/>
    <d v="2025-04-01T00:00:00"/>
    <n v="2025"/>
    <n v="2"/>
    <s v="Yes"/>
  </r>
  <r>
    <s v="SR-2025-00285"/>
    <x v="1"/>
    <s v="Animal Complaint"/>
    <s v="Medium"/>
    <x v="0"/>
    <s v="Ward 2"/>
    <x v="8"/>
    <d v="2025-05-06T00:00:00"/>
    <s v="Email"/>
    <n v="4"/>
    <n v="8"/>
    <n v="10"/>
    <s v="Yes"/>
    <d v="2025-04-01T00:00:00"/>
    <n v="2025"/>
    <n v="2"/>
    <s v="Yes"/>
  </r>
  <r>
    <s v="SR-2025-00286"/>
    <x v="1"/>
    <s v="Parking Complaint"/>
    <s v="Medium"/>
    <x v="1"/>
    <s v="Ward 4"/>
    <x v="189"/>
    <m/>
    <s v="Email"/>
    <m/>
    <m/>
    <n v="10"/>
    <s v="Pending"/>
    <d v="2025-11-01T00:00:00"/>
    <n v="2025"/>
    <n v="4"/>
    <s v="No"/>
  </r>
  <r>
    <s v="SR-2025-00287"/>
    <x v="5"/>
    <s v="Grass Cutting"/>
    <s v="Low"/>
    <x v="0"/>
    <s v="Ward 5"/>
    <x v="107"/>
    <d v="2025-09-13T00:00:00"/>
    <s v="Web"/>
    <n v="5"/>
    <n v="5"/>
    <n v="14"/>
    <s v="Yes"/>
    <d v="2025-09-01T00:00:00"/>
    <n v="2025"/>
    <n v="3"/>
    <s v="Yes"/>
  </r>
  <r>
    <s v="SR-2025-00288"/>
    <x v="1"/>
    <s v="Noise Complaint"/>
    <s v="High"/>
    <x v="0"/>
    <s v="Ward 4"/>
    <x v="69"/>
    <d v="2025-12-10T00:00:00"/>
    <s v="Phone"/>
    <n v="5"/>
    <n v="1"/>
    <n v="7"/>
    <s v="Yes"/>
    <d v="2025-12-01T00:00:00"/>
    <n v="2025"/>
    <n v="4"/>
    <s v="Yes"/>
  </r>
  <r>
    <s v="SR-2025-00289"/>
    <x v="0"/>
    <s v="Traffic Signal Issue"/>
    <s v="Low"/>
    <x v="0"/>
    <s v="Ward 1"/>
    <x v="186"/>
    <d v="2025-05-03T00:00:00"/>
    <s v="In Person"/>
    <n v="4"/>
    <n v="11"/>
    <n v="14"/>
    <s v="Yes"/>
    <d v="2025-04-01T00:00:00"/>
    <n v="2025"/>
    <n v="2"/>
    <s v="Yes"/>
  </r>
  <r>
    <s v="SR-2025-00290"/>
    <x v="0"/>
    <s v="Traffic Concern"/>
    <s v="Medium"/>
    <x v="0"/>
    <s v="Ward 1"/>
    <x v="174"/>
    <d v="2025-10-10T00:00:00"/>
    <s v="In Person"/>
    <n v="4"/>
    <n v="10"/>
    <n v="10"/>
    <s v="Yes"/>
    <d v="2025-09-01T00:00:00"/>
    <n v="2025"/>
    <n v="3"/>
    <s v="Yes"/>
  </r>
  <r>
    <s v="SR-2025-00291"/>
    <x v="0"/>
    <s v="Road Sign Damage"/>
    <s v="Medium"/>
    <x v="0"/>
    <s v="Ward 2"/>
    <x v="92"/>
    <d v="2025-09-23T00:00:00"/>
    <s v="Web"/>
    <n v="5"/>
    <n v="8"/>
    <n v="10"/>
    <s v="Yes"/>
    <d v="2025-09-01T00:00:00"/>
    <n v="2025"/>
    <n v="3"/>
    <s v="Yes"/>
  </r>
  <r>
    <s v="SR-2025-00292"/>
    <x v="3"/>
    <s v="Road Damage"/>
    <s v="Low"/>
    <x v="0"/>
    <s v="Ward 4"/>
    <x v="196"/>
    <d v="2025-05-18T00:00:00"/>
    <s v="Web"/>
    <n v="3"/>
    <n v="8"/>
    <n v="14"/>
    <s v="Yes"/>
    <d v="2025-05-01T00:00:00"/>
    <n v="2025"/>
    <n v="2"/>
    <s v="Yes"/>
  </r>
  <r>
    <s v="SR-2025-00293"/>
    <x v="2"/>
    <s v="Green Bin Issue"/>
    <s v="Medium"/>
    <x v="0"/>
    <s v="Ward 1"/>
    <x v="197"/>
    <d v="2025-12-28T00:00:00"/>
    <s v="Web"/>
    <n v="4"/>
    <n v="5"/>
    <n v="10"/>
    <s v="Yes"/>
    <d v="2025-12-01T00:00:00"/>
    <n v="2025"/>
    <n v="4"/>
    <s v="Yes"/>
  </r>
  <r>
    <s v="SR-2025-00294"/>
    <x v="3"/>
    <s v="Snow Removal"/>
    <s v="Medium"/>
    <x v="0"/>
    <s v="Ward 1"/>
    <x v="187"/>
    <d v="2025-01-31T00:00:00"/>
    <s v="Email"/>
    <n v="5"/>
    <n v="2"/>
    <n v="10"/>
    <s v="Yes"/>
    <d v="2025-01-01T00:00:00"/>
    <n v="2025"/>
    <n v="1"/>
    <s v="Yes"/>
  </r>
  <r>
    <s v="SR-2025-00295"/>
    <x v="4"/>
    <s v="Sewer Backup"/>
    <s v="Medium"/>
    <x v="1"/>
    <s v="Ward 5"/>
    <x v="198"/>
    <m/>
    <s v="Web"/>
    <m/>
    <m/>
    <n v="10"/>
    <s v="Pending"/>
    <d v="2025-02-01T00:00:00"/>
    <n v="2025"/>
    <n v="1"/>
    <s v="No"/>
  </r>
  <r>
    <s v="SR-2025-00296"/>
    <x v="5"/>
    <s v="Park Equipment Damage"/>
    <s v="High"/>
    <x v="0"/>
    <s v="Ward 1"/>
    <x v="9"/>
    <d v="2025-10-22T00:00:00"/>
    <s v="Mobile App"/>
    <n v="3"/>
    <n v="4"/>
    <n v="7"/>
    <s v="Yes"/>
    <d v="2025-10-01T00:00:00"/>
    <n v="2025"/>
    <n v="4"/>
    <s v="Yes"/>
  </r>
  <r>
    <s v="SR-2025-00297"/>
    <x v="1"/>
    <s v="Noise Complaint"/>
    <s v="Low"/>
    <x v="1"/>
    <s v="Ward 2"/>
    <x v="172"/>
    <m/>
    <s v="In Person"/>
    <m/>
    <m/>
    <n v="14"/>
    <s v="Pending"/>
    <d v="2025-01-01T00:00:00"/>
    <n v="2025"/>
    <n v="1"/>
    <s v="No"/>
  </r>
  <r>
    <s v="SR-2025-00298"/>
    <x v="5"/>
    <s v="Trail Maintenance"/>
    <s v="High"/>
    <x v="0"/>
    <s v="Ward 4"/>
    <x v="32"/>
    <d v="2025-10-18T00:00:00"/>
    <s v="In Person"/>
    <n v="4"/>
    <n v="2"/>
    <n v="7"/>
    <s v="Yes"/>
    <d v="2025-10-01T00:00:00"/>
    <n v="2025"/>
    <n v="4"/>
    <s v="Yes"/>
  </r>
  <r>
    <s v="SR-2025-00299"/>
    <x v="2"/>
    <s v="Green Bin Issue"/>
    <s v="High"/>
    <x v="0"/>
    <s v="Ward 3"/>
    <x v="80"/>
    <d v="2025-12-25T00:00:00"/>
    <s v="Web"/>
    <n v="2"/>
    <n v="6"/>
    <n v="7"/>
    <s v="Yes"/>
    <d v="2025-12-01T00:00:00"/>
    <n v="2025"/>
    <n v="4"/>
    <s v="Yes"/>
  </r>
  <r>
    <s v="SR-2025-00300"/>
    <x v="3"/>
    <s v="Snow Removal"/>
    <s v="Low"/>
    <x v="0"/>
    <s v="Ward 5"/>
    <x v="193"/>
    <d v="2025-11-21T00:00:00"/>
    <s v="Email"/>
    <n v="4"/>
    <n v="15"/>
    <n v="14"/>
    <s v="No"/>
    <d v="2025-11-01T00:00:00"/>
    <n v="2025"/>
    <n v="4"/>
    <s v="Yes"/>
  </r>
  <r>
    <s v="SR-2025-00301"/>
    <x v="2"/>
    <s v="Missed Garbage Pickup"/>
    <s v="Medium"/>
    <x v="1"/>
    <s v="Ward 4"/>
    <x v="139"/>
    <m/>
    <s v="Phone"/>
    <m/>
    <m/>
    <n v="10"/>
    <s v="Pending"/>
    <d v="2025-08-01T00:00:00"/>
    <n v="2025"/>
    <n v="3"/>
    <s v="No"/>
  </r>
  <r>
    <s v="SR-2025-00302"/>
    <x v="2"/>
    <s v="Green Bin Issue"/>
    <s v="Medium"/>
    <x v="0"/>
    <s v="Ward 5"/>
    <x v="199"/>
    <d v="2025-12-13T00:00:00"/>
    <s v="Mobile App"/>
    <n v="2"/>
    <n v="8"/>
    <n v="10"/>
    <s v="Yes"/>
    <d v="2025-12-01T00:00:00"/>
    <n v="2025"/>
    <n v="4"/>
    <s v="Yes"/>
  </r>
  <r>
    <s v="SR-2025-00303"/>
    <x v="5"/>
    <s v="Tree Maintenance"/>
    <s v="Low"/>
    <x v="0"/>
    <s v="Ward 4"/>
    <x v="200"/>
    <d v="2026-01-15T00:00:00"/>
    <s v="Mobile App"/>
    <n v="4"/>
    <n v="15"/>
    <n v="14"/>
    <s v="No"/>
    <d v="2025-12-01T00:00:00"/>
    <n v="2025"/>
    <n v="4"/>
    <s v="Yes"/>
  </r>
  <r>
    <s v="SR-2025-00304"/>
    <x v="2"/>
    <s v="Missed Garbage Pickup"/>
    <s v="Low"/>
    <x v="2"/>
    <s v="Ward 3"/>
    <x v="155"/>
    <m/>
    <s v="Mobile App"/>
    <m/>
    <m/>
    <n v="14"/>
    <s v="Pending"/>
    <d v="2025-08-01T00:00:00"/>
    <n v="2025"/>
    <n v="3"/>
    <s v="No"/>
  </r>
  <r>
    <s v="SR-2025-00305"/>
    <x v="3"/>
    <s v="Road Damage"/>
    <s v="Low"/>
    <x v="0"/>
    <s v="Ward 1"/>
    <x v="201"/>
    <d v="2025-10-24T00:00:00"/>
    <s v="Web"/>
    <n v="4"/>
    <n v="11"/>
    <n v="14"/>
    <s v="Yes"/>
    <d v="2025-10-01T00:00:00"/>
    <n v="2025"/>
    <n v="4"/>
    <s v="Yes"/>
  </r>
  <r>
    <s v="SR-2025-00306"/>
    <x v="3"/>
    <s v="Sidewalk Damage"/>
    <s v="Medium"/>
    <x v="0"/>
    <s v="Ward 4"/>
    <x v="202"/>
    <d v="2025-06-24T00:00:00"/>
    <s v="Email"/>
    <n v="1"/>
    <n v="8"/>
    <n v="10"/>
    <s v="Yes"/>
    <d v="2025-06-01T00:00:00"/>
    <n v="2025"/>
    <n v="2"/>
    <s v="Yes"/>
  </r>
  <r>
    <s v="SR-2025-00307"/>
    <x v="3"/>
    <s v="Road Damage"/>
    <s v="Medium"/>
    <x v="0"/>
    <s v="Ward 3"/>
    <x v="203"/>
    <d v="2025-07-18T00:00:00"/>
    <s v="Mobile App"/>
    <n v="3"/>
    <n v="4"/>
    <n v="10"/>
    <s v="Yes"/>
    <d v="2025-07-01T00:00:00"/>
    <n v="2025"/>
    <n v="3"/>
    <s v="Yes"/>
  </r>
  <r>
    <s v="SR-2025-00308"/>
    <x v="4"/>
    <s v="Low Water Pressure"/>
    <s v="Low"/>
    <x v="0"/>
    <s v="Ward 1"/>
    <x v="204"/>
    <d v="2025-08-11T00:00:00"/>
    <s v="Mobile App"/>
    <n v="4"/>
    <n v="7"/>
    <n v="14"/>
    <s v="Yes"/>
    <d v="2025-08-01T00:00:00"/>
    <n v="2025"/>
    <n v="3"/>
    <s v="Yes"/>
  </r>
  <r>
    <s v="SR-2025-00309"/>
    <x v="2"/>
    <s v="Recycling Issue"/>
    <s v="High"/>
    <x v="0"/>
    <s v="Ward 2"/>
    <x v="205"/>
    <d v="2025-11-14T00:00:00"/>
    <s v="Mobile App"/>
    <n v="4"/>
    <n v="2"/>
    <n v="7"/>
    <s v="Yes"/>
    <d v="2025-11-01T00:00:00"/>
    <n v="2025"/>
    <n v="4"/>
    <s v="Yes"/>
  </r>
  <r>
    <s v="SR-2025-00310"/>
    <x v="3"/>
    <s v="Snow Removal"/>
    <s v="Medium"/>
    <x v="0"/>
    <s v="Ward 5"/>
    <x v="117"/>
    <d v="2025-06-27T00:00:00"/>
    <s v="Phone"/>
    <n v="4"/>
    <n v="9"/>
    <n v="10"/>
    <s v="Yes"/>
    <d v="2025-06-01T00:00:00"/>
    <n v="2025"/>
    <n v="2"/>
    <s v="Yes"/>
  </r>
  <r>
    <s v="SR-2025-00311"/>
    <x v="2"/>
    <s v="Illegal Dumping"/>
    <s v="Medium"/>
    <x v="0"/>
    <s v="Ward 4"/>
    <x v="159"/>
    <d v="2025-09-10T00:00:00"/>
    <s v="Mobile App"/>
    <n v="3"/>
    <n v="7"/>
    <n v="10"/>
    <s v="Yes"/>
    <d v="2025-09-01T00:00:00"/>
    <n v="2025"/>
    <n v="3"/>
    <s v="Yes"/>
  </r>
  <r>
    <s v="SR-2025-00312"/>
    <x v="2"/>
    <s v="Green Bin Issue"/>
    <s v="Critical"/>
    <x v="1"/>
    <s v="Ward 4"/>
    <x v="202"/>
    <m/>
    <s v="Mobile App"/>
    <m/>
    <m/>
    <n v="3"/>
    <s v="Pending"/>
    <d v="2025-06-01T00:00:00"/>
    <n v="2025"/>
    <n v="2"/>
    <s v="No"/>
  </r>
  <r>
    <s v="SR-2025-00313"/>
    <x v="4"/>
    <s v="Sewer Backup"/>
    <s v="Low"/>
    <x v="0"/>
    <s v="Ward 5"/>
    <x v="206"/>
    <d v="2025-11-11T00:00:00"/>
    <s v="Web"/>
    <n v="3"/>
    <n v="11"/>
    <n v="14"/>
    <s v="Yes"/>
    <d v="2025-10-01T00:00:00"/>
    <n v="2025"/>
    <n v="4"/>
    <s v="Yes"/>
  </r>
  <r>
    <s v="SR-2025-00314"/>
    <x v="0"/>
    <s v="Traffic Concern"/>
    <s v="Critical"/>
    <x v="0"/>
    <s v="Ward 4"/>
    <x v="207"/>
    <d v="2025-05-30T00:00:00"/>
    <s v="Email"/>
    <n v="5"/>
    <n v="0"/>
    <n v="3"/>
    <s v="Yes"/>
    <d v="2025-05-01T00:00:00"/>
    <n v="2025"/>
    <n v="2"/>
    <s v="Yes"/>
  </r>
  <r>
    <s v="SR-2025-00315"/>
    <x v="5"/>
    <s v="Grass Cutting"/>
    <s v="Low"/>
    <x v="0"/>
    <s v="Ward 4"/>
    <x v="24"/>
    <d v="2025-08-20T00:00:00"/>
    <s v="In Person"/>
    <n v="4"/>
    <n v="15"/>
    <n v="14"/>
    <s v="No"/>
    <d v="2025-08-01T00:00:00"/>
    <n v="2025"/>
    <n v="3"/>
    <s v="Yes"/>
  </r>
  <r>
    <s v="SR-2025-00316"/>
    <x v="4"/>
    <s v="Water Quality Concern"/>
    <s v="Medium"/>
    <x v="2"/>
    <s v="Ward 4"/>
    <x v="208"/>
    <m/>
    <s v="In Person"/>
    <m/>
    <m/>
    <n v="10"/>
    <s v="Pending"/>
    <d v="2025-12-01T00:00:00"/>
    <n v="2025"/>
    <n v="4"/>
    <s v="No"/>
  </r>
  <r>
    <s v="SR-2025-00317"/>
    <x v="3"/>
    <s v="Sidewalk Damage"/>
    <s v="High"/>
    <x v="1"/>
    <s v="Ward 1"/>
    <x v="209"/>
    <m/>
    <s v="Web"/>
    <m/>
    <m/>
    <n v="7"/>
    <s v="Pending"/>
    <d v="2025-11-01T00:00:00"/>
    <n v="2025"/>
    <n v="4"/>
    <s v="No"/>
  </r>
  <r>
    <s v="SR-2025-00318"/>
    <x v="5"/>
    <s v="Grass Cutting"/>
    <s v="Low"/>
    <x v="0"/>
    <s v="Ward 4"/>
    <x v="32"/>
    <d v="2025-10-29T00:00:00"/>
    <s v="Mobile App"/>
    <n v="5"/>
    <n v="13"/>
    <n v="14"/>
    <s v="Yes"/>
    <d v="2025-10-01T00:00:00"/>
    <n v="2025"/>
    <n v="4"/>
    <s v="Yes"/>
  </r>
  <r>
    <s v="SR-2025-00319"/>
    <x v="4"/>
    <s v="Water Leak"/>
    <s v="Low"/>
    <x v="0"/>
    <s v="Ward 5"/>
    <x v="210"/>
    <d v="2025-10-03T00:00:00"/>
    <s v="In Person"/>
    <n v="4"/>
    <n v="14"/>
    <n v="14"/>
    <s v="Yes"/>
    <d v="2025-09-01T00:00:00"/>
    <n v="2025"/>
    <n v="3"/>
    <s v="Yes"/>
  </r>
  <r>
    <s v="SR-2025-00320"/>
    <x v="5"/>
    <s v="Trail Maintenance"/>
    <s v="Medium"/>
    <x v="0"/>
    <s v="Ward 1"/>
    <x v="122"/>
    <d v="2025-12-24T00:00:00"/>
    <s v="Email"/>
    <n v="3"/>
    <n v="10"/>
    <n v="10"/>
    <s v="Yes"/>
    <d v="2025-12-01T00:00:00"/>
    <n v="2025"/>
    <n v="4"/>
    <s v="Yes"/>
  </r>
  <r>
    <s v="SR-2025-00321"/>
    <x v="3"/>
    <s v="Sidewalk Damage"/>
    <s v="Medium"/>
    <x v="2"/>
    <s v="Ward 2"/>
    <x v="35"/>
    <m/>
    <s v="Mobile App"/>
    <m/>
    <m/>
    <n v="10"/>
    <s v="Pending"/>
    <d v="2025-03-01T00:00:00"/>
    <n v="2025"/>
    <n v="1"/>
    <s v="No"/>
  </r>
  <r>
    <s v="SR-2025-00322"/>
    <x v="2"/>
    <s v="Illegal Dumping"/>
    <s v="Medium"/>
    <x v="0"/>
    <s v="Ward 4"/>
    <x v="211"/>
    <d v="2025-09-12T00:00:00"/>
    <s v="Email"/>
    <n v="4"/>
    <n v="7"/>
    <n v="10"/>
    <s v="Yes"/>
    <d v="2025-09-01T00:00:00"/>
    <n v="2025"/>
    <n v="3"/>
    <s v="Yes"/>
  </r>
  <r>
    <s v="SR-2025-00323"/>
    <x v="2"/>
    <s v="Missed Garbage Pickup"/>
    <s v="Medium"/>
    <x v="1"/>
    <s v="Ward 1"/>
    <x v="87"/>
    <m/>
    <s v="Mobile App"/>
    <m/>
    <m/>
    <n v="10"/>
    <s v="Pending"/>
    <d v="2025-02-01T00:00:00"/>
    <n v="2025"/>
    <n v="1"/>
    <s v="No"/>
  </r>
  <r>
    <s v="SR-2025-00324"/>
    <x v="0"/>
    <s v="Streetlight Repair"/>
    <s v="Medium"/>
    <x v="0"/>
    <s v="Ward 2"/>
    <x v="212"/>
    <d v="2025-05-15T00:00:00"/>
    <s v="Mobile App"/>
    <n v="3"/>
    <n v="10"/>
    <n v="10"/>
    <s v="Yes"/>
    <d v="2025-05-01T00:00:00"/>
    <n v="2025"/>
    <n v="2"/>
    <s v="Yes"/>
  </r>
  <r>
    <s v="SR-2025-00325"/>
    <x v="1"/>
    <s v="Animal Complaint"/>
    <s v="Critical"/>
    <x v="0"/>
    <s v="Ward 4"/>
    <x v="213"/>
    <d v="2025-07-28T00:00:00"/>
    <s v="Email"/>
    <n v="3"/>
    <n v="1"/>
    <n v="3"/>
    <s v="Yes"/>
    <d v="2025-07-01T00:00:00"/>
    <n v="2025"/>
    <n v="3"/>
    <s v="Yes"/>
  </r>
  <r>
    <s v="SR-2025-00326"/>
    <x v="3"/>
    <s v="Road Damage"/>
    <s v="Medium"/>
    <x v="0"/>
    <s v="Ward 1"/>
    <x v="214"/>
    <d v="2025-01-08T00:00:00"/>
    <s v="In Person"/>
    <n v="3"/>
    <n v="5"/>
    <n v="10"/>
    <s v="Yes"/>
    <d v="2025-01-01T00:00:00"/>
    <n v="2025"/>
    <n v="1"/>
    <s v="Yes"/>
  </r>
  <r>
    <s v="SR-2025-00327"/>
    <x v="3"/>
    <s v="Road Damage"/>
    <s v="Medium"/>
    <x v="0"/>
    <s v="Ward 4"/>
    <x v="87"/>
    <d v="2025-03-06T00:00:00"/>
    <s v="In Person"/>
    <n v="5"/>
    <n v="6"/>
    <n v="10"/>
    <s v="Yes"/>
    <d v="2025-02-01T00:00:00"/>
    <n v="2025"/>
    <n v="1"/>
    <s v="Yes"/>
  </r>
  <r>
    <s v="SR-2025-00328"/>
    <x v="0"/>
    <s v="Road Sign Damage"/>
    <s v="Medium"/>
    <x v="0"/>
    <s v="Ward 4"/>
    <x v="98"/>
    <d v="2025-10-31T00:00:00"/>
    <s v="In Person"/>
    <n v="4"/>
    <n v="3"/>
    <n v="10"/>
    <s v="Yes"/>
    <d v="2025-10-01T00:00:00"/>
    <n v="2025"/>
    <n v="4"/>
    <s v="Yes"/>
  </r>
  <r>
    <s v="SR-2025-00329"/>
    <x v="5"/>
    <s v="Grass Cutting"/>
    <s v="High"/>
    <x v="0"/>
    <s v="Ward 2"/>
    <x v="191"/>
    <d v="2025-12-13T00:00:00"/>
    <s v="Mobile App"/>
    <n v="4"/>
    <n v="2"/>
    <n v="7"/>
    <s v="Yes"/>
    <d v="2025-12-01T00:00:00"/>
    <n v="2025"/>
    <n v="4"/>
    <s v="Yes"/>
  </r>
  <r>
    <s v="SR-2025-00330"/>
    <x v="3"/>
    <s v="Road Damage"/>
    <s v="Medium"/>
    <x v="0"/>
    <s v="Ward 5"/>
    <x v="145"/>
    <d v="2025-07-26T00:00:00"/>
    <s v="Email"/>
    <n v="4"/>
    <n v="8"/>
    <n v="10"/>
    <s v="Yes"/>
    <d v="2025-07-01T00:00:00"/>
    <n v="2025"/>
    <n v="3"/>
    <s v="Yes"/>
  </r>
  <r>
    <s v="SR-2025-00331"/>
    <x v="4"/>
    <s v="Low Water Pressure"/>
    <s v="Medium"/>
    <x v="0"/>
    <s v="Ward 4"/>
    <x v="215"/>
    <d v="2025-12-01T00:00:00"/>
    <s v="Mobile App"/>
    <n v="4"/>
    <n v="4"/>
    <n v="10"/>
    <s v="Yes"/>
    <d v="2025-11-01T00:00:00"/>
    <n v="2025"/>
    <n v="4"/>
    <s v="Yes"/>
  </r>
  <r>
    <s v="SR-2025-00332"/>
    <x v="5"/>
    <s v="Park Equipment Damage"/>
    <s v="Medium"/>
    <x v="0"/>
    <s v="Ward 4"/>
    <x v="216"/>
    <d v="2025-02-04T00:00:00"/>
    <s v="Phone"/>
    <n v="5"/>
    <n v="7"/>
    <n v="10"/>
    <s v="Yes"/>
    <d v="2025-01-01T00:00:00"/>
    <n v="2025"/>
    <n v="1"/>
    <s v="Yes"/>
  </r>
  <r>
    <s v="SR-2025-00333"/>
    <x v="5"/>
    <s v="Trail Maintenance"/>
    <s v="Critical"/>
    <x v="0"/>
    <s v="Ward 4"/>
    <x v="192"/>
    <d v="2025-09-14T00:00:00"/>
    <s v="Email"/>
    <n v="5"/>
    <n v="3"/>
    <n v="3"/>
    <s v="Yes"/>
    <d v="2025-09-01T00:00:00"/>
    <n v="2025"/>
    <n v="3"/>
    <s v="Yes"/>
  </r>
  <r>
    <s v="SR-2025-00334"/>
    <x v="4"/>
    <s v="Low Water Pressure"/>
    <s v="Low"/>
    <x v="0"/>
    <s v="Ward 2"/>
    <x v="217"/>
    <d v="2025-04-30T00:00:00"/>
    <s v="In Person"/>
    <n v="1"/>
    <n v="7"/>
    <n v="14"/>
    <s v="Yes"/>
    <d v="2025-04-01T00:00:00"/>
    <n v="2025"/>
    <n v="2"/>
    <s v="Yes"/>
  </r>
  <r>
    <s v="SR-2025-00335"/>
    <x v="2"/>
    <s v="Recycling Issue"/>
    <s v="High"/>
    <x v="0"/>
    <s v="Ward 5"/>
    <x v="192"/>
    <d v="2025-09-16T00:00:00"/>
    <s v="Web"/>
    <n v="4"/>
    <n v="5"/>
    <n v="7"/>
    <s v="Yes"/>
    <d v="2025-09-01T00:00:00"/>
    <n v="2025"/>
    <n v="3"/>
    <s v="Yes"/>
  </r>
  <r>
    <s v="SR-2025-00336"/>
    <x v="2"/>
    <s v="Illegal Dumping"/>
    <s v="Medium"/>
    <x v="1"/>
    <s v="Ward 5"/>
    <x v="218"/>
    <m/>
    <s v="Phone"/>
    <m/>
    <m/>
    <n v="10"/>
    <s v="Pending"/>
    <d v="2025-08-01T00:00:00"/>
    <n v="2025"/>
    <n v="3"/>
    <s v="No"/>
  </r>
  <r>
    <s v="SR-2025-00337"/>
    <x v="4"/>
    <s v="Water Leak"/>
    <s v="High"/>
    <x v="0"/>
    <s v="Ward 1"/>
    <x v="219"/>
    <d v="2025-05-10T00:00:00"/>
    <s v="Email"/>
    <n v="5"/>
    <n v="3"/>
    <n v="7"/>
    <s v="Yes"/>
    <d v="2025-05-01T00:00:00"/>
    <n v="2025"/>
    <n v="2"/>
    <s v="Yes"/>
  </r>
  <r>
    <s v="SR-2025-00338"/>
    <x v="2"/>
    <s v="Illegal Dumping"/>
    <s v="High"/>
    <x v="0"/>
    <s v="Ward 2"/>
    <x v="220"/>
    <d v="2025-03-09T00:00:00"/>
    <s v="In Person"/>
    <n v="5"/>
    <n v="7"/>
    <n v="7"/>
    <s v="Yes"/>
    <d v="2025-03-01T00:00:00"/>
    <n v="2025"/>
    <n v="1"/>
    <s v="Yes"/>
  </r>
  <r>
    <s v="SR-2025-00339"/>
    <x v="0"/>
    <s v="Road Sign Damage"/>
    <s v="High"/>
    <x v="0"/>
    <s v="Ward 2"/>
    <x v="221"/>
    <d v="2025-08-10T00:00:00"/>
    <s v="Phone"/>
    <n v="4"/>
    <n v="2"/>
    <n v="7"/>
    <s v="Yes"/>
    <d v="2025-08-01T00:00:00"/>
    <n v="2025"/>
    <n v="3"/>
    <s v="Yes"/>
  </r>
  <r>
    <s v="SR-2025-00340"/>
    <x v="3"/>
    <s v="Sidewalk Damage"/>
    <s v="Medium"/>
    <x v="0"/>
    <s v="Ward 3"/>
    <x v="51"/>
    <d v="2025-04-04T00:00:00"/>
    <s v="Mobile App"/>
    <n v="5"/>
    <n v="7"/>
    <n v="10"/>
    <s v="Yes"/>
    <d v="2025-03-01T00:00:00"/>
    <n v="2025"/>
    <n v="1"/>
    <s v="Yes"/>
  </r>
  <r>
    <s v="SR-2025-00341"/>
    <x v="1"/>
    <s v="Parking Complaint"/>
    <s v="Critical"/>
    <x v="0"/>
    <s v="Ward 4"/>
    <x v="122"/>
    <d v="2025-12-14T00:00:00"/>
    <s v="Web"/>
    <n v="3"/>
    <n v="0"/>
    <n v="3"/>
    <s v="Yes"/>
    <d v="2025-12-01T00:00:00"/>
    <n v="2025"/>
    <n v="4"/>
    <s v="Yes"/>
  </r>
  <r>
    <s v="SR-2025-00342"/>
    <x v="2"/>
    <s v="Recycling Issue"/>
    <s v="High"/>
    <x v="0"/>
    <s v="Ward 2"/>
    <x v="140"/>
    <d v="2025-03-22T00:00:00"/>
    <s v="Email"/>
    <n v="4"/>
    <n v="6"/>
    <n v="7"/>
    <s v="Yes"/>
    <d v="2025-03-01T00:00:00"/>
    <n v="2025"/>
    <n v="1"/>
    <s v="Yes"/>
  </r>
  <r>
    <s v="SR-2025-00343"/>
    <x v="4"/>
    <s v="Low Water Pressure"/>
    <s v="Medium"/>
    <x v="0"/>
    <s v="Ward 1"/>
    <x v="116"/>
    <d v="2025-08-09T00:00:00"/>
    <s v="Email"/>
    <n v="4"/>
    <n v="8"/>
    <n v="10"/>
    <s v="Yes"/>
    <d v="2025-08-01T00:00:00"/>
    <n v="2025"/>
    <n v="3"/>
    <s v="Yes"/>
  </r>
  <r>
    <s v="SR-2025-00344"/>
    <x v="1"/>
    <s v="Parking Complaint"/>
    <s v="Medium"/>
    <x v="2"/>
    <s v="Ward 4"/>
    <x v="85"/>
    <m/>
    <s v="Mobile App"/>
    <m/>
    <m/>
    <n v="10"/>
    <s v="Pending"/>
    <d v="2025-08-01T00:00:00"/>
    <n v="2025"/>
    <n v="3"/>
    <s v="No"/>
  </r>
  <r>
    <s v="SR-2025-00345"/>
    <x v="1"/>
    <s v="Noise Complaint"/>
    <s v="High"/>
    <x v="1"/>
    <s v="Ward 4"/>
    <x v="222"/>
    <m/>
    <s v="Mobile App"/>
    <m/>
    <m/>
    <n v="7"/>
    <s v="Pending"/>
    <d v="2025-02-01T00:00:00"/>
    <n v="2025"/>
    <n v="1"/>
    <s v="No"/>
  </r>
  <r>
    <s v="SR-2025-00346"/>
    <x v="3"/>
    <s v="Snow Removal"/>
    <s v="Low"/>
    <x v="0"/>
    <s v="Ward 3"/>
    <x v="61"/>
    <d v="2025-04-29T00:00:00"/>
    <s v="Mobile App"/>
    <n v="3"/>
    <n v="10"/>
    <n v="14"/>
    <s v="Yes"/>
    <d v="2025-04-01T00:00:00"/>
    <n v="2025"/>
    <n v="2"/>
    <s v="Yes"/>
  </r>
  <r>
    <s v="SR-2025-00347"/>
    <x v="1"/>
    <s v="Property Standards"/>
    <s v="Medium"/>
    <x v="0"/>
    <s v="Ward 4"/>
    <x v="223"/>
    <d v="2025-06-27T00:00:00"/>
    <s v="Web"/>
    <n v="2"/>
    <n v="2"/>
    <n v="10"/>
    <s v="Yes"/>
    <d v="2025-06-01T00:00:00"/>
    <n v="2025"/>
    <n v="2"/>
    <s v="Yes"/>
  </r>
  <r>
    <s v="SR-2025-00348"/>
    <x v="3"/>
    <s v="Road Damage"/>
    <s v="Medium"/>
    <x v="0"/>
    <s v="Ward 2"/>
    <x v="221"/>
    <d v="2025-08-13T00:00:00"/>
    <s v="Mobile App"/>
    <n v="5"/>
    <n v="5"/>
    <n v="10"/>
    <s v="Yes"/>
    <d v="2025-08-01T00:00:00"/>
    <n v="2025"/>
    <n v="3"/>
    <s v="Yes"/>
  </r>
  <r>
    <s v="SR-2025-00349"/>
    <x v="5"/>
    <s v="Grass Cutting"/>
    <s v="Low"/>
    <x v="0"/>
    <s v="Ward 2"/>
    <x v="224"/>
    <d v="2025-02-20T00:00:00"/>
    <s v="Web"/>
    <n v="5"/>
    <n v="8"/>
    <n v="14"/>
    <s v="Yes"/>
    <d v="2025-02-01T00:00:00"/>
    <n v="2025"/>
    <n v="1"/>
    <s v="Yes"/>
  </r>
  <r>
    <s v="SR-2025-00350"/>
    <x v="4"/>
    <s v="Sewer Backup"/>
    <s v="High"/>
    <x v="1"/>
    <s v="Ward 1"/>
    <x v="221"/>
    <m/>
    <s v="Web"/>
    <m/>
    <m/>
    <n v="7"/>
    <s v="Pending"/>
    <d v="2025-08-01T00:00:00"/>
    <n v="2025"/>
    <n v="3"/>
    <s v="No"/>
  </r>
  <r>
    <s v="SR-2025-00351"/>
    <x v="3"/>
    <s v="Road Damage"/>
    <s v="Medium"/>
    <x v="0"/>
    <s v="Ward 1"/>
    <x v="103"/>
    <d v="2025-05-06T00:00:00"/>
    <s v="Web"/>
    <n v="5"/>
    <n v="10"/>
    <n v="10"/>
    <s v="Yes"/>
    <d v="2025-04-01T00:00:00"/>
    <n v="2025"/>
    <n v="2"/>
    <s v="Yes"/>
  </r>
  <r>
    <s v="SR-2025-00352"/>
    <x v="0"/>
    <s v="Road Sign Damage"/>
    <s v="High"/>
    <x v="2"/>
    <s v="Ward 2"/>
    <x v="24"/>
    <m/>
    <s v="Email"/>
    <m/>
    <m/>
    <n v="7"/>
    <s v="Pending"/>
    <d v="2025-08-01T00:00:00"/>
    <n v="2025"/>
    <n v="3"/>
    <s v="No"/>
  </r>
  <r>
    <s v="SR-2025-00353"/>
    <x v="3"/>
    <s v="Road Damage"/>
    <s v="Medium"/>
    <x v="0"/>
    <s v="Ward 3"/>
    <x v="3"/>
    <d v="2025-02-25T00:00:00"/>
    <s v="Phone"/>
    <n v="4"/>
    <n v="3"/>
    <n v="10"/>
    <s v="Yes"/>
    <d v="2025-02-01T00:00:00"/>
    <n v="2025"/>
    <n v="1"/>
    <s v="Yes"/>
  </r>
  <r>
    <s v="SR-2025-00354"/>
    <x v="4"/>
    <s v="Low Water Pressure"/>
    <s v="Medium"/>
    <x v="0"/>
    <s v="Ward 5"/>
    <x v="94"/>
    <d v="2025-02-15T00:00:00"/>
    <s v="Phone"/>
    <n v="4"/>
    <n v="10"/>
    <n v="10"/>
    <s v="Yes"/>
    <d v="2025-02-01T00:00:00"/>
    <n v="2025"/>
    <n v="1"/>
    <s v="Yes"/>
  </r>
  <r>
    <s v="SR-2025-00355"/>
    <x v="4"/>
    <s v="Sewer Backup"/>
    <s v="High"/>
    <x v="0"/>
    <s v="Ward 4"/>
    <x v="133"/>
    <d v="2025-03-23T00:00:00"/>
    <s v="Phone"/>
    <n v="4"/>
    <n v="4"/>
    <n v="7"/>
    <s v="Yes"/>
    <d v="2025-03-01T00:00:00"/>
    <n v="2025"/>
    <n v="1"/>
    <s v="Yes"/>
  </r>
  <r>
    <s v="SR-2025-00356"/>
    <x v="3"/>
    <s v="Pothole Repair"/>
    <s v="Low"/>
    <x v="0"/>
    <s v="Ward 3"/>
    <x v="99"/>
    <d v="2025-07-24T00:00:00"/>
    <s v="Phone"/>
    <n v="5"/>
    <n v="8"/>
    <n v="14"/>
    <s v="Yes"/>
    <d v="2025-07-01T00:00:00"/>
    <n v="2025"/>
    <n v="3"/>
    <s v="Yes"/>
  </r>
  <r>
    <s v="SR-2025-00357"/>
    <x v="5"/>
    <s v="Grass Cutting"/>
    <s v="Medium"/>
    <x v="0"/>
    <s v="Ward 1"/>
    <x v="225"/>
    <d v="2025-11-10T00:00:00"/>
    <s v="Mobile App"/>
    <n v="5"/>
    <n v="6"/>
    <n v="10"/>
    <s v="Yes"/>
    <d v="2025-11-01T00:00:00"/>
    <n v="2025"/>
    <n v="4"/>
    <s v="Yes"/>
  </r>
  <r>
    <s v="SR-2025-00358"/>
    <x v="5"/>
    <s v="Park Equipment Damage"/>
    <s v="High"/>
    <x v="0"/>
    <s v="Ward 2"/>
    <x v="216"/>
    <d v="2025-02-04T00:00:00"/>
    <s v="Email"/>
    <n v="5"/>
    <n v="7"/>
    <n v="7"/>
    <s v="Yes"/>
    <d v="2025-01-01T00:00:00"/>
    <n v="2025"/>
    <n v="1"/>
    <s v="Yes"/>
  </r>
  <r>
    <s v="SR-2025-00359"/>
    <x v="4"/>
    <s v="Water Leak"/>
    <s v="Low"/>
    <x v="0"/>
    <s v="Ward 1"/>
    <x v="226"/>
    <d v="2025-02-17T00:00:00"/>
    <s v="Mobile App"/>
    <n v="5"/>
    <n v="11"/>
    <n v="14"/>
    <s v="Yes"/>
    <d v="2025-02-01T00:00:00"/>
    <n v="2025"/>
    <n v="1"/>
    <s v="Yes"/>
  </r>
  <r>
    <s v="SR-2025-00360"/>
    <x v="2"/>
    <s v="Recycling Issue"/>
    <s v="Medium"/>
    <x v="1"/>
    <s v="Ward 3"/>
    <x v="204"/>
    <m/>
    <s v="In Person"/>
    <m/>
    <m/>
    <n v="10"/>
    <s v="Pending"/>
    <d v="2025-08-01T00:00:00"/>
    <n v="2025"/>
    <n v="3"/>
    <s v="No"/>
  </r>
  <r>
    <s v="SR-2025-00361"/>
    <x v="0"/>
    <s v="Traffic Signal Issue"/>
    <s v="High"/>
    <x v="2"/>
    <s v="Ward 1"/>
    <x v="227"/>
    <m/>
    <s v="In Person"/>
    <m/>
    <m/>
    <n v="7"/>
    <s v="Pending"/>
    <d v="2025-02-01T00:00:00"/>
    <n v="2025"/>
    <n v="1"/>
    <s v="No"/>
  </r>
  <r>
    <s v="SR-2025-00362"/>
    <x v="3"/>
    <s v="Pothole Repair"/>
    <s v="Medium"/>
    <x v="0"/>
    <s v="Ward 5"/>
    <x v="164"/>
    <d v="2025-02-08T00:00:00"/>
    <s v="Email"/>
    <n v="4"/>
    <n v="8"/>
    <n v="10"/>
    <s v="Yes"/>
    <d v="2025-01-01T00:00:00"/>
    <n v="2025"/>
    <n v="1"/>
    <s v="Yes"/>
  </r>
  <r>
    <s v="SR-2025-00363"/>
    <x v="4"/>
    <s v="Water Quality Concern"/>
    <s v="Low"/>
    <x v="0"/>
    <s v="Ward 3"/>
    <x v="205"/>
    <d v="2025-11-17T00:00:00"/>
    <s v="Web"/>
    <n v="3"/>
    <n v="5"/>
    <n v="14"/>
    <s v="Yes"/>
    <d v="2025-11-01T00:00:00"/>
    <n v="2025"/>
    <n v="4"/>
    <s v="Yes"/>
  </r>
  <r>
    <s v="SR-2025-00364"/>
    <x v="1"/>
    <s v="Property Standards"/>
    <s v="Critical"/>
    <x v="0"/>
    <s v="Ward 1"/>
    <x v="48"/>
    <d v="2025-06-20T00:00:00"/>
    <s v="Mobile App"/>
    <n v="4"/>
    <n v="3"/>
    <n v="3"/>
    <s v="Yes"/>
    <d v="2025-06-01T00:00:00"/>
    <n v="2025"/>
    <n v="2"/>
    <s v="Yes"/>
  </r>
  <r>
    <s v="SR-2025-00365"/>
    <x v="0"/>
    <s v="Traffic Concern"/>
    <s v="High"/>
    <x v="1"/>
    <s v="Ward 2"/>
    <x v="228"/>
    <m/>
    <s v="Web"/>
    <m/>
    <m/>
    <n v="7"/>
    <s v="Pending"/>
    <d v="2025-01-01T00:00:00"/>
    <n v="2025"/>
    <n v="1"/>
    <s v="No"/>
  </r>
  <r>
    <s v="SR-2025-00366"/>
    <x v="4"/>
    <s v="Water Leak"/>
    <s v="Medium"/>
    <x v="0"/>
    <s v="Ward 2"/>
    <x v="136"/>
    <d v="2025-06-12T00:00:00"/>
    <s v="Web"/>
    <n v="3"/>
    <n v="4"/>
    <n v="10"/>
    <s v="Yes"/>
    <d v="2025-06-01T00:00:00"/>
    <n v="2025"/>
    <n v="2"/>
    <s v="Yes"/>
  </r>
  <r>
    <s v="SR-2025-00367"/>
    <x v="5"/>
    <s v="Trail Maintenance"/>
    <s v="Critical"/>
    <x v="0"/>
    <s v="Ward 3"/>
    <x v="229"/>
    <d v="2025-05-14T00:00:00"/>
    <s v="Web"/>
    <n v="4"/>
    <n v="1"/>
    <n v="3"/>
    <s v="Yes"/>
    <d v="2025-05-01T00:00:00"/>
    <n v="2025"/>
    <n v="2"/>
    <s v="Yes"/>
  </r>
  <r>
    <s v="SR-2025-00368"/>
    <x v="3"/>
    <s v="Sidewalk Damage"/>
    <s v="High"/>
    <x v="0"/>
    <s v="Ward 5"/>
    <x v="57"/>
    <d v="2025-02-05T00:00:00"/>
    <s v="Web"/>
    <n v="5"/>
    <n v="3"/>
    <n v="7"/>
    <s v="Yes"/>
    <d v="2025-02-01T00:00:00"/>
    <n v="2025"/>
    <n v="1"/>
    <s v="Yes"/>
  </r>
  <r>
    <s v="SR-2025-00369"/>
    <x v="4"/>
    <s v="Water Quality Concern"/>
    <s v="Medium"/>
    <x v="0"/>
    <s v="Ward 3"/>
    <x v="9"/>
    <d v="2025-10-22T00:00:00"/>
    <s v="Web"/>
    <n v="4"/>
    <n v="4"/>
    <n v="10"/>
    <s v="Yes"/>
    <d v="2025-10-01T00:00:00"/>
    <n v="2025"/>
    <n v="4"/>
    <s v="Yes"/>
  </r>
  <r>
    <s v="SR-2025-00370"/>
    <x v="1"/>
    <s v="Noise Complaint"/>
    <s v="Low"/>
    <x v="0"/>
    <s v="Ward 4"/>
    <x v="4"/>
    <d v="2025-01-26T00:00:00"/>
    <s v="Mobile App"/>
    <n v="3"/>
    <n v="3"/>
    <n v="14"/>
    <s v="Yes"/>
    <d v="2025-01-01T00:00:00"/>
    <n v="2025"/>
    <n v="1"/>
    <s v="Yes"/>
  </r>
  <r>
    <s v="SR-2025-00371"/>
    <x v="4"/>
    <s v="Low Water Pressure"/>
    <s v="Low"/>
    <x v="2"/>
    <s v="Ward 5"/>
    <x v="230"/>
    <m/>
    <s v="Email"/>
    <m/>
    <m/>
    <n v="14"/>
    <s v="Pending"/>
    <d v="2025-01-01T00:00:00"/>
    <n v="2025"/>
    <n v="1"/>
    <s v="No"/>
  </r>
  <r>
    <s v="SR-2025-00372"/>
    <x v="5"/>
    <s v="Grass Cutting"/>
    <s v="Low"/>
    <x v="2"/>
    <s v="Ward 3"/>
    <x v="165"/>
    <m/>
    <s v="Web"/>
    <m/>
    <m/>
    <n v="14"/>
    <s v="Pending"/>
    <d v="2025-06-01T00:00:00"/>
    <n v="2025"/>
    <n v="2"/>
    <s v="No"/>
  </r>
  <r>
    <s v="SR-2025-00373"/>
    <x v="1"/>
    <s v="Parking Complaint"/>
    <s v="Low"/>
    <x v="0"/>
    <s v="Ward 5"/>
    <x v="231"/>
    <d v="2025-02-01T00:00:00"/>
    <s v="Web"/>
    <n v="3"/>
    <n v="5"/>
    <n v="14"/>
    <s v="Yes"/>
    <d v="2025-01-01T00:00:00"/>
    <n v="2025"/>
    <n v="1"/>
    <s v="Yes"/>
  </r>
  <r>
    <s v="SR-2025-00374"/>
    <x v="4"/>
    <s v="Water Leak"/>
    <s v="High"/>
    <x v="2"/>
    <s v="Ward 3"/>
    <x v="64"/>
    <m/>
    <s v="Web"/>
    <m/>
    <m/>
    <n v="7"/>
    <s v="Pending"/>
    <d v="2025-06-01T00:00:00"/>
    <n v="2025"/>
    <n v="2"/>
    <s v="No"/>
  </r>
  <r>
    <s v="SR-2025-00375"/>
    <x v="1"/>
    <s v="Animal Complaint"/>
    <s v="Low"/>
    <x v="0"/>
    <s v="Ward 5"/>
    <x v="32"/>
    <d v="2025-10-31T00:00:00"/>
    <s v="Phone"/>
    <n v="4"/>
    <n v="15"/>
    <n v="14"/>
    <s v="No"/>
    <d v="2025-10-01T00:00:00"/>
    <n v="2025"/>
    <n v="4"/>
    <s v="Yes"/>
  </r>
  <r>
    <s v="SR-2025-00376"/>
    <x v="4"/>
    <s v="Sewer Backup"/>
    <s v="Medium"/>
    <x v="0"/>
    <s v="Ward 2"/>
    <x v="232"/>
    <d v="2025-04-21T00:00:00"/>
    <s v="Phone"/>
    <n v="5"/>
    <n v="10"/>
    <n v="10"/>
    <s v="Yes"/>
    <d v="2025-04-01T00:00:00"/>
    <n v="2025"/>
    <n v="2"/>
    <s v="Yes"/>
  </r>
  <r>
    <s v="SR-2025-00377"/>
    <x v="3"/>
    <s v="Snow Removal"/>
    <s v="Low"/>
    <x v="0"/>
    <s v="Ward 3"/>
    <x v="66"/>
    <d v="2025-12-06T00:00:00"/>
    <s v="Web"/>
    <n v="5"/>
    <n v="14"/>
    <n v="14"/>
    <s v="Yes"/>
    <d v="2025-11-01T00:00:00"/>
    <n v="2025"/>
    <n v="4"/>
    <s v="Yes"/>
  </r>
  <r>
    <s v="SR-2025-00378"/>
    <x v="0"/>
    <s v="Traffic Concern"/>
    <s v="High"/>
    <x v="0"/>
    <s v="Ward 2"/>
    <x v="84"/>
    <d v="2025-02-25T00:00:00"/>
    <s v="Email"/>
    <n v="4"/>
    <n v="2"/>
    <n v="7"/>
    <s v="Yes"/>
    <d v="2025-02-01T00:00:00"/>
    <n v="2025"/>
    <n v="1"/>
    <s v="Yes"/>
  </r>
  <r>
    <s v="SR-2025-00379"/>
    <x v="4"/>
    <s v="Water Leak"/>
    <s v="Critical"/>
    <x v="0"/>
    <s v="Ward 2"/>
    <x v="233"/>
    <d v="2025-05-24T00:00:00"/>
    <s v="In Person"/>
    <n v="2"/>
    <n v="0"/>
    <n v="3"/>
    <s v="Yes"/>
    <d v="2025-05-01T00:00:00"/>
    <n v="2025"/>
    <n v="2"/>
    <s v="Yes"/>
  </r>
  <r>
    <s v="SR-2025-00380"/>
    <x v="4"/>
    <s v="Sewer Backup"/>
    <s v="Medium"/>
    <x v="1"/>
    <s v="Ward 1"/>
    <x v="73"/>
    <m/>
    <s v="In Person"/>
    <m/>
    <m/>
    <n v="10"/>
    <s v="Pending"/>
    <d v="2025-10-01T00:00:00"/>
    <n v="2025"/>
    <n v="4"/>
    <s v="No"/>
  </r>
  <r>
    <s v="SR-2025-00381"/>
    <x v="5"/>
    <s v="Trail Maintenance"/>
    <s v="Low"/>
    <x v="0"/>
    <s v="Ward 2"/>
    <x v="234"/>
    <d v="2025-08-24T00:00:00"/>
    <s v="Mobile App"/>
    <n v="5"/>
    <n v="13"/>
    <n v="14"/>
    <s v="Yes"/>
    <d v="2025-08-01T00:00:00"/>
    <n v="2025"/>
    <n v="3"/>
    <s v="Yes"/>
  </r>
  <r>
    <s v="SR-2025-00382"/>
    <x v="2"/>
    <s v="Illegal Dumping"/>
    <s v="High"/>
    <x v="0"/>
    <s v="Ward 2"/>
    <x v="48"/>
    <d v="2025-06-20T00:00:00"/>
    <s v="Web"/>
    <n v="4"/>
    <n v="3"/>
    <n v="7"/>
    <s v="Yes"/>
    <d v="2025-06-01T00:00:00"/>
    <n v="2025"/>
    <n v="2"/>
    <s v="Yes"/>
  </r>
  <r>
    <s v="SR-2025-00383"/>
    <x v="5"/>
    <s v="Park Equipment Damage"/>
    <s v="High"/>
    <x v="0"/>
    <s v="Ward 4"/>
    <x v="235"/>
    <d v="2025-03-22T00:00:00"/>
    <s v="Mobile App"/>
    <n v="3"/>
    <n v="1"/>
    <n v="7"/>
    <s v="Yes"/>
    <d v="2025-03-01T00:00:00"/>
    <n v="2025"/>
    <n v="1"/>
    <s v="Yes"/>
  </r>
  <r>
    <s v="SR-2025-00384"/>
    <x v="4"/>
    <s v="Water Leak"/>
    <s v="Medium"/>
    <x v="2"/>
    <s v="Ward 4"/>
    <x v="236"/>
    <m/>
    <s v="Mobile App"/>
    <m/>
    <m/>
    <n v="10"/>
    <s v="Pending"/>
    <d v="2025-04-01T00:00:00"/>
    <n v="2025"/>
    <n v="2"/>
    <s v="No"/>
  </r>
  <r>
    <s v="SR-2025-00385"/>
    <x v="4"/>
    <s v="Sewer Backup"/>
    <s v="High"/>
    <x v="0"/>
    <s v="Ward 5"/>
    <x v="79"/>
    <d v="2025-12-21T00:00:00"/>
    <s v="Web"/>
    <n v="5"/>
    <n v="3"/>
    <n v="7"/>
    <s v="Yes"/>
    <d v="2025-12-01T00:00:00"/>
    <n v="2025"/>
    <n v="4"/>
    <s v="Yes"/>
  </r>
  <r>
    <s v="SR-2025-00386"/>
    <x v="5"/>
    <s v="Grass Cutting"/>
    <s v="Low"/>
    <x v="0"/>
    <s v="Ward 3"/>
    <x v="237"/>
    <d v="2025-07-11T00:00:00"/>
    <s v="Mobile App"/>
    <n v="4"/>
    <n v="9"/>
    <n v="14"/>
    <s v="Yes"/>
    <d v="2025-07-01T00:00:00"/>
    <n v="2025"/>
    <n v="3"/>
    <s v="Yes"/>
  </r>
  <r>
    <s v="SR-2025-00387"/>
    <x v="5"/>
    <s v="Tree Maintenance"/>
    <s v="Critical"/>
    <x v="1"/>
    <s v="Ward 5"/>
    <x v="28"/>
    <m/>
    <s v="Phone"/>
    <m/>
    <m/>
    <n v="3"/>
    <s v="Pending"/>
    <d v="2025-10-01T00:00:00"/>
    <n v="2025"/>
    <n v="4"/>
    <s v="No"/>
  </r>
  <r>
    <s v="SR-2025-00388"/>
    <x v="3"/>
    <s v="Snow Removal"/>
    <s v="Low"/>
    <x v="1"/>
    <s v="Ward 1"/>
    <x v="108"/>
    <m/>
    <s v="Web"/>
    <m/>
    <m/>
    <n v="14"/>
    <s v="Pending"/>
    <d v="2025-03-01T00:00:00"/>
    <n v="2025"/>
    <n v="1"/>
    <s v="No"/>
  </r>
  <r>
    <s v="SR-2025-00389"/>
    <x v="5"/>
    <s v="Park Equipment Damage"/>
    <s v="Low"/>
    <x v="0"/>
    <s v="Ward 1"/>
    <x v="79"/>
    <d v="2025-12-31T00:00:00"/>
    <s v="In Person"/>
    <n v="5"/>
    <n v="13"/>
    <n v="14"/>
    <s v="Yes"/>
    <d v="2025-12-01T00:00:00"/>
    <n v="2025"/>
    <n v="4"/>
    <s v="Yes"/>
  </r>
  <r>
    <s v="SR-2025-00390"/>
    <x v="1"/>
    <s v="Parking Complaint"/>
    <s v="High"/>
    <x v="0"/>
    <s v="Ward 4"/>
    <x v="238"/>
    <d v="2025-02-05T00:00:00"/>
    <s v="Phone"/>
    <n v="5"/>
    <n v="2"/>
    <n v="7"/>
    <s v="Yes"/>
    <d v="2025-02-01T00:00:00"/>
    <n v="2025"/>
    <n v="1"/>
    <s v="Yes"/>
  </r>
  <r>
    <s v="SR-2025-00391"/>
    <x v="3"/>
    <s v="Sidewalk Damage"/>
    <s v="Low"/>
    <x v="2"/>
    <s v="Ward 2"/>
    <x v="239"/>
    <m/>
    <s v="In Person"/>
    <m/>
    <m/>
    <n v="14"/>
    <s v="Pending"/>
    <d v="2025-01-01T00:00:00"/>
    <n v="2025"/>
    <n v="1"/>
    <s v="No"/>
  </r>
  <r>
    <s v="SR-2025-00392"/>
    <x v="4"/>
    <s v="Water Quality Concern"/>
    <s v="Medium"/>
    <x v="0"/>
    <s v="Ward 2"/>
    <x v="150"/>
    <d v="2025-08-11T00:00:00"/>
    <s v="Mobile App"/>
    <n v="4"/>
    <n v="4"/>
    <n v="10"/>
    <s v="Yes"/>
    <d v="2025-08-01T00:00:00"/>
    <n v="2025"/>
    <n v="3"/>
    <s v="Yes"/>
  </r>
  <r>
    <s v="SR-2025-00393"/>
    <x v="2"/>
    <s v="Green Bin Issue"/>
    <s v="High"/>
    <x v="0"/>
    <s v="Ward 3"/>
    <x v="240"/>
    <d v="2025-11-19T00:00:00"/>
    <s v="Email"/>
    <n v="3"/>
    <n v="5"/>
    <n v="7"/>
    <s v="Yes"/>
    <d v="2025-11-01T00:00:00"/>
    <n v="2025"/>
    <n v="4"/>
    <s v="Yes"/>
  </r>
  <r>
    <s v="SR-2025-00394"/>
    <x v="4"/>
    <s v="Water Quality Concern"/>
    <s v="Low"/>
    <x v="0"/>
    <s v="Ward 5"/>
    <x v="241"/>
    <d v="2025-03-21T00:00:00"/>
    <s v="Phone"/>
    <n v="3"/>
    <n v="9"/>
    <n v="14"/>
    <s v="Yes"/>
    <d v="2025-03-01T00:00:00"/>
    <n v="2025"/>
    <n v="1"/>
    <s v="Yes"/>
  </r>
  <r>
    <s v="SR-2025-00395"/>
    <x v="0"/>
    <s v="Streetlight Repair"/>
    <s v="Critical"/>
    <x v="1"/>
    <s v="Ward 4"/>
    <x v="242"/>
    <m/>
    <s v="In Person"/>
    <m/>
    <m/>
    <n v="3"/>
    <s v="Pending"/>
    <d v="2025-07-01T00:00:00"/>
    <n v="2025"/>
    <n v="3"/>
    <s v="No"/>
  </r>
  <r>
    <s v="SR-2025-00396"/>
    <x v="4"/>
    <s v="Sewer Backup"/>
    <s v="High"/>
    <x v="0"/>
    <s v="Ward 3"/>
    <x v="145"/>
    <d v="2025-07-21T00:00:00"/>
    <s v="In Person"/>
    <n v="3"/>
    <n v="3"/>
    <n v="7"/>
    <s v="Yes"/>
    <d v="2025-07-01T00:00:00"/>
    <n v="2025"/>
    <n v="3"/>
    <s v="Yes"/>
  </r>
  <r>
    <s v="SR-2025-00397"/>
    <x v="5"/>
    <s v="Tree Maintenance"/>
    <s v="High"/>
    <x v="1"/>
    <s v="Ward 4"/>
    <x v="228"/>
    <m/>
    <s v="In Person"/>
    <m/>
    <m/>
    <n v="7"/>
    <s v="Pending"/>
    <d v="2025-01-01T00:00:00"/>
    <n v="2025"/>
    <n v="1"/>
    <s v="No"/>
  </r>
  <r>
    <s v="SR-2025-00398"/>
    <x v="2"/>
    <s v="Recycling Issue"/>
    <s v="Critical"/>
    <x v="0"/>
    <s v="Ward 1"/>
    <x v="243"/>
    <d v="2025-12-04T00:00:00"/>
    <s v="Phone"/>
    <n v="3"/>
    <n v="1"/>
    <n v="3"/>
    <s v="Yes"/>
    <d v="2025-12-01T00:00:00"/>
    <n v="2025"/>
    <n v="4"/>
    <s v="Yes"/>
  </r>
  <r>
    <s v="SR-2025-00399"/>
    <x v="1"/>
    <s v="Animal Complaint"/>
    <s v="Medium"/>
    <x v="1"/>
    <s v="Ward 2"/>
    <x v="244"/>
    <m/>
    <s v="Phone"/>
    <m/>
    <m/>
    <n v="10"/>
    <s v="Pending"/>
    <d v="2025-03-01T00:00:00"/>
    <n v="2025"/>
    <n v="1"/>
    <s v="No"/>
  </r>
  <r>
    <s v="SR-2025-00400"/>
    <x v="1"/>
    <s v="Parking Complaint"/>
    <s v="High"/>
    <x v="0"/>
    <s v="Ward 3"/>
    <x v="245"/>
    <d v="2025-10-31T00:00:00"/>
    <s v="In Person"/>
    <n v="5"/>
    <n v="1"/>
    <n v="7"/>
    <s v="Yes"/>
    <d v="2025-10-01T00:00:00"/>
    <n v="2025"/>
    <n v="4"/>
    <s v="Yes"/>
  </r>
  <r>
    <s v="SR-2025-00401"/>
    <x v="1"/>
    <s v="Property Standards"/>
    <s v="Medium"/>
    <x v="0"/>
    <s v="Ward 4"/>
    <x v="246"/>
    <d v="2025-09-20T00:00:00"/>
    <s v="Web"/>
    <n v="4"/>
    <n v="10"/>
    <n v="10"/>
    <s v="Yes"/>
    <d v="2025-09-01T00:00:00"/>
    <n v="2025"/>
    <n v="3"/>
    <s v="Yes"/>
  </r>
  <r>
    <s v="SR-2025-00402"/>
    <x v="3"/>
    <s v="Pothole Repair"/>
    <s v="Low"/>
    <x v="0"/>
    <s v="Ward 5"/>
    <x v="144"/>
    <d v="2025-10-07T00:00:00"/>
    <s v="Phone"/>
    <n v="1"/>
    <n v="10"/>
    <n v="14"/>
    <s v="Yes"/>
    <d v="2025-09-01T00:00:00"/>
    <n v="2025"/>
    <n v="3"/>
    <s v="Yes"/>
  </r>
  <r>
    <s v="SR-2025-00403"/>
    <x v="5"/>
    <s v="Grass Cutting"/>
    <s v="High"/>
    <x v="2"/>
    <s v="Ward 1"/>
    <x v="112"/>
    <m/>
    <s v="Web"/>
    <m/>
    <m/>
    <n v="7"/>
    <s v="Pending"/>
    <d v="2025-06-01T00:00:00"/>
    <n v="2025"/>
    <n v="2"/>
    <s v="No"/>
  </r>
  <r>
    <s v="SR-2025-00404"/>
    <x v="5"/>
    <s v="Park Equipment Damage"/>
    <s v="High"/>
    <x v="1"/>
    <s v="Ward 1"/>
    <x v="247"/>
    <m/>
    <s v="Mobile App"/>
    <m/>
    <m/>
    <n v="7"/>
    <s v="Pending"/>
    <d v="2025-07-01T00:00:00"/>
    <n v="2025"/>
    <n v="3"/>
    <s v="No"/>
  </r>
  <r>
    <s v="SR-2025-00405"/>
    <x v="0"/>
    <s v="Traffic Concern"/>
    <s v="Medium"/>
    <x v="0"/>
    <s v="Ward 4"/>
    <x v="112"/>
    <d v="2025-06-19T00:00:00"/>
    <s v="Email"/>
    <n v="5"/>
    <n v="4"/>
    <n v="10"/>
    <s v="Yes"/>
    <d v="2025-06-01T00:00:00"/>
    <n v="2025"/>
    <n v="2"/>
    <s v="Yes"/>
  </r>
  <r>
    <s v="SR-2025-00406"/>
    <x v="0"/>
    <s v="Road Sign Damage"/>
    <s v="Low"/>
    <x v="2"/>
    <s v="Ward 5"/>
    <x v="118"/>
    <m/>
    <s v="Mobile App"/>
    <m/>
    <m/>
    <n v="14"/>
    <s v="Pending"/>
    <d v="2025-12-01T00:00:00"/>
    <n v="2025"/>
    <n v="4"/>
    <s v="No"/>
  </r>
  <r>
    <s v="SR-2025-00407"/>
    <x v="5"/>
    <s v="Park Equipment Damage"/>
    <s v="Medium"/>
    <x v="0"/>
    <s v="Ward 1"/>
    <x v="114"/>
    <d v="2025-06-04T00:00:00"/>
    <s v="In Person"/>
    <n v="3"/>
    <n v="4"/>
    <n v="10"/>
    <s v="Yes"/>
    <d v="2025-05-01T00:00:00"/>
    <n v="2025"/>
    <n v="2"/>
    <s v="Yes"/>
  </r>
  <r>
    <s v="SR-2025-00408"/>
    <x v="4"/>
    <s v="Water Leak"/>
    <s v="Low"/>
    <x v="0"/>
    <s v="Ward 1"/>
    <x v="34"/>
    <d v="2025-11-16T00:00:00"/>
    <s v="Email"/>
    <n v="4"/>
    <n v="6"/>
    <n v="14"/>
    <s v="Yes"/>
    <d v="2025-11-01T00:00:00"/>
    <n v="2025"/>
    <n v="4"/>
    <s v="Yes"/>
  </r>
  <r>
    <s v="SR-2025-00409"/>
    <x v="5"/>
    <s v="Grass Cutting"/>
    <s v="High"/>
    <x v="0"/>
    <s v="Ward 1"/>
    <x v="165"/>
    <d v="2025-06-15T00:00:00"/>
    <s v="Mobile App"/>
    <n v="4"/>
    <n v="2"/>
    <n v="7"/>
    <s v="Yes"/>
    <d v="2025-06-01T00:00:00"/>
    <n v="2025"/>
    <n v="2"/>
    <s v="Yes"/>
  </r>
  <r>
    <s v="SR-2025-00410"/>
    <x v="4"/>
    <s v="Water Leak"/>
    <s v="Medium"/>
    <x v="0"/>
    <s v="Ward 1"/>
    <x v="29"/>
    <d v="2025-02-11T00:00:00"/>
    <s v="Web"/>
    <n v="3"/>
    <n v="7"/>
    <n v="10"/>
    <s v="Yes"/>
    <d v="2025-02-01T00:00:00"/>
    <n v="2025"/>
    <n v="1"/>
    <s v="Yes"/>
  </r>
  <r>
    <s v="SR-2025-00411"/>
    <x v="3"/>
    <s v="Snow Removal"/>
    <s v="Medium"/>
    <x v="0"/>
    <s v="Ward 4"/>
    <x v="248"/>
    <d v="2025-04-04T00:00:00"/>
    <s v="Mobile App"/>
    <n v="4"/>
    <n v="8"/>
    <n v="10"/>
    <s v="Yes"/>
    <d v="2025-03-01T00:00:00"/>
    <n v="2025"/>
    <n v="1"/>
    <s v="Yes"/>
  </r>
  <r>
    <s v="SR-2025-00412"/>
    <x v="1"/>
    <s v="Animal Complaint"/>
    <s v="Low"/>
    <x v="0"/>
    <s v="Ward 2"/>
    <x v="249"/>
    <d v="2025-11-05T00:00:00"/>
    <s v="Phone"/>
    <n v="5"/>
    <n v="13"/>
    <n v="14"/>
    <s v="Yes"/>
    <d v="2025-10-01T00:00:00"/>
    <n v="2025"/>
    <n v="4"/>
    <s v="Yes"/>
  </r>
  <r>
    <s v="SR-2025-00413"/>
    <x v="4"/>
    <s v="Water Leak"/>
    <s v="High"/>
    <x v="0"/>
    <s v="Ward 1"/>
    <x v="250"/>
    <d v="2025-01-14T00:00:00"/>
    <s v="Web"/>
    <n v="3"/>
    <n v="3"/>
    <n v="7"/>
    <s v="Yes"/>
    <d v="2025-01-01T00:00:00"/>
    <n v="2025"/>
    <n v="1"/>
    <s v="Yes"/>
  </r>
  <r>
    <s v="SR-2025-00414"/>
    <x v="2"/>
    <s v="Recycling Issue"/>
    <s v="High"/>
    <x v="0"/>
    <s v="Ward 1"/>
    <x v="65"/>
    <d v="2025-02-13T00:00:00"/>
    <s v="Mobile App"/>
    <n v="5"/>
    <n v="5"/>
    <n v="7"/>
    <s v="Yes"/>
    <d v="2025-02-01T00:00:00"/>
    <n v="2025"/>
    <n v="1"/>
    <s v="Yes"/>
  </r>
  <r>
    <s v="SR-2025-00415"/>
    <x v="1"/>
    <s v="Animal Complaint"/>
    <s v="High"/>
    <x v="0"/>
    <s v="Ward 4"/>
    <x v="251"/>
    <d v="2025-12-03T00:00:00"/>
    <s v="Phone"/>
    <n v="4"/>
    <n v="2"/>
    <n v="7"/>
    <s v="Yes"/>
    <d v="2025-12-01T00:00:00"/>
    <n v="2025"/>
    <n v="4"/>
    <s v="Yes"/>
  </r>
  <r>
    <s v="SR-2025-00416"/>
    <x v="3"/>
    <s v="Pothole Repair"/>
    <s v="Medium"/>
    <x v="2"/>
    <s v="Ward 5"/>
    <x v="252"/>
    <m/>
    <s v="In Person"/>
    <m/>
    <m/>
    <n v="10"/>
    <s v="Pending"/>
    <d v="2025-07-01T00:00:00"/>
    <n v="2025"/>
    <n v="3"/>
    <s v="No"/>
  </r>
  <r>
    <s v="SR-2025-00417"/>
    <x v="2"/>
    <s v="Illegal Dumping"/>
    <s v="Medium"/>
    <x v="0"/>
    <s v="Ward 2"/>
    <x v="60"/>
    <d v="2025-07-31T00:00:00"/>
    <s v="Web"/>
    <n v="5"/>
    <n v="10"/>
    <n v="10"/>
    <s v="Yes"/>
    <d v="2025-07-01T00:00:00"/>
    <n v="2025"/>
    <n v="3"/>
    <s v="Yes"/>
  </r>
  <r>
    <s v="SR-2025-00418"/>
    <x v="2"/>
    <s v="Missed Garbage Pickup"/>
    <s v="Medium"/>
    <x v="0"/>
    <s v="Ward 1"/>
    <x v="199"/>
    <d v="2025-12-14T00:00:00"/>
    <s v="Phone"/>
    <n v="3"/>
    <n v="9"/>
    <n v="10"/>
    <s v="Yes"/>
    <d v="2025-12-01T00:00:00"/>
    <n v="2025"/>
    <n v="4"/>
    <s v="Yes"/>
  </r>
  <r>
    <s v="SR-2025-00419"/>
    <x v="5"/>
    <s v="Grass Cutting"/>
    <s v="Critical"/>
    <x v="0"/>
    <s v="Ward 4"/>
    <x v="35"/>
    <d v="2025-03-03T00:00:00"/>
    <s v="Email"/>
    <n v="5"/>
    <n v="2"/>
    <n v="3"/>
    <s v="Yes"/>
    <d v="2025-03-01T00:00:00"/>
    <n v="2025"/>
    <n v="1"/>
    <s v="Yes"/>
  </r>
  <r>
    <s v="SR-2025-00420"/>
    <x v="0"/>
    <s v="Road Sign Damage"/>
    <s v="Low"/>
    <x v="0"/>
    <s v="Ward 3"/>
    <x v="78"/>
    <d v="2025-04-13T00:00:00"/>
    <s v="Phone"/>
    <n v="5"/>
    <n v="8"/>
    <n v="14"/>
    <s v="Yes"/>
    <d v="2025-04-01T00:00:00"/>
    <n v="2025"/>
    <n v="2"/>
    <s v="Yes"/>
  </r>
  <r>
    <s v="SR-2025-00421"/>
    <x v="4"/>
    <s v="Water Leak"/>
    <s v="Medium"/>
    <x v="0"/>
    <s v="Ward 2"/>
    <x v="103"/>
    <d v="2025-05-02T00:00:00"/>
    <s v="Web"/>
    <n v="4"/>
    <n v="6"/>
    <n v="10"/>
    <s v="Yes"/>
    <d v="2025-04-01T00:00:00"/>
    <n v="2025"/>
    <n v="2"/>
    <s v="Yes"/>
  </r>
  <r>
    <s v="SR-2025-00422"/>
    <x v="3"/>
    <s v="Sidewalk Damage"/>
    <s v="High"/>
    <x v="0"/>
    <s v="Ward 4"/>
    <x v="21"/>
    <d v="2025-10-31T00:00:00"/>
    <s v="In Person"/>
    <n v="4"/>
    <n v="2"/>
    <n v="7"/>
    <s v="Yes"/>
    <d v="2025-10-01T00:00:00"/>
    <n v="2025"/>
    <n v="4"/>
    <s v="Yes"/>
  </r>
  <r>
    <s v="SR-2025-00423"/>
    <x v="4"/>
    <s v="Water Quality Concern"/>
    <s v="Medium"/>
    <x v="0"/>
    <s v="Ward 1"/>
    <x v="156"/>
    <d v="2025-06-06T00:00:00"/>
    <s v="In Person"/>
    <n v="4"/>
    <n v="3"/>
    <n v="10"/>
    <s v="Yes"/>
    <d v="2025-06-01T00:00:00"/>
    <n v="2025"/>
    <n v="2"/>
    <s v="Yes"/>
  </r>
  <r>
    <s v="SR-2025-00424"/>
    <x v="1"/>
    <s v="Property Standards"/>
    <s v="Low"/>
    <x v="1"/>
    <s v="Ward 2"/>
    <x v="244"/>
    <m/>
    <s v="Phone"/>
    <m/>
    <m/>
    <n v="14"/>
    <s v="Pending"/>
    <d v="2025-03-01T00:00:00"/>
    <n v="2025"/>
    <n v="1"/>
    <s v="No"/>
  </r>
  <r>
    <s v="SR-2025-00425"/>
    <x v="5"/>
    <s v="Park Equipment Damage"/>
    <s v="Low"/>
    <x v="0"/>
    <s v="Ward 2"/>
    <x v="253"/>
    <d v="2025-12-25T00:00:00"/>
    <s v="In Person"/>
    <n v="3"/>
    <n v="9"/>
    <n v="14"/>
    <s v="Yes"/>
    <d v="2025-12-01T00:00:00"/>
    <n v="2025"/>
    <n v="4"/>
    <s v="Yes"/>
  </r>
  <r>
    <s v="SR-2025-00426"/>
    <x v="2"/>
    <s v="Illegal Dumping"/>
    <s v="High"/>
    <x v="2"/>
    <s v="Ward 1"/>
    <x v="29"/>
    <m/>
    <s v="Email"/>
    <m/>
    <m/>
    <n v="7"/>
    <s v="Pending"/>
    <d v="2025-02-01T00:00:00"/>
    <n v="2025"/>
    <n v="1"/>
    <s v="No"/>
  </r>
  <r>
    <s v="SR-2025-00427"/>
    <x v="1"/>
    <s v="Animal Complaint"/>
    <s v="Medium"/>
    <x v="1"/>
    <s v="Ward 4"/>
    <x v="254"/>
    <m/>
    <s v="Web"/>
    <m/>
    <m/>
    <n v="10"/>
    <s v="Pending"/>
    <d v="2025-09-01T00:00:00"/>
    <n v="2025"/>
    <n v="3"/>
    <s v="No"/>
  </r>
  <r>
    <s v="SR-2025-00428"/>
    <x v="0"/>
    <s v="Traffic Concern"/>
    <s v="Low"/>
    <x v="0"/>
    <s v="Ward 1"/>
    <x v="9"/>
    <d v="2025-10-30T00:00:00"/>
    <s v="Web"/>
    <n v="4"/>
    <n v="12"/>
    <n v="14"/>
    <s v="Yes"/>
    <d v="2025-10-01T00:00:00"/>
    <n v="2025"/>
    <n v="4"/>
    <s v="Yes"/>
  </r>
  <r>
    <s v="SR-2025-00429"/>
    <x v="1"/>
    <s v="Noise Complaint"/>
    <s v="High"/>
    <x v="2"/>
    <s v="Ward 4"/>
    <x v="176"/>
    <m/>
    <s v="Mobile App"/>
    <m/>
    <m/>
    <n v="7"/>
    <s v="Pending"/>
    <d v="2025-06-01T00:00:00"/>
    <n v="2025"/>
    <n v="2"/>
    <s v="No"/>
  </r>
  <r>
    <s v="SR-2025-00430"/>
    <x v="4"/>
    <s v="Water Quality Concern"/>
    <s v="Medium"/>
    <x v="0"/>
    <s v="Ward 5"/>
    <x v="244"/>
    <d v="2025-04-05T00:00:00"/>
    <s v="In Person"/>
    <n v="4"/>
    <n v="6"/>
    <n v="10"/>
    <s v="Yes"/>
    <d v="2025-03-01T00:00:00"/>
    <n v="2025"/>
    <n v="1"/>
    <s v="Yes"/>
  </r>
  <r>
    <s v="SR-2025-00431"/>
    <x v="0"/>
    <s v="Traffic Concern"/>
    <s v="Low"/>
    <x v="2"/>
    <s v="Ward 2"/>
    <x v="22"/>
    <m/>
    <s v="Web"/>
    <m/>
    <m/>
    <n v="14"/>
    <s v="Pending"/>
    <d v="2025-06-01T00:00:00"/>
    <n v="2025"/>
    <n v="2"/>
    <s v="No"/>
  </r>
  <r>
    <s v="SR-2025-00432"/>
    <x v="0"/>
    <s v="Traffic Concern"/>
    <s v="High"/>
    <x v="2"/>
    <s v="Ward 3"/>
    <x v="250"/>
    <m/>
    <s v="Mobile App"/>
    <m/>
    <m/>
    <n v="7"/>
    <s v="Pending"/>
    <d v="2025-01-01T00:00:00"/>
    <n v="2025"/>
    <n v="1"/>
    <s v="No"/>
  </r>
  <r>
    <s v="SR-2025-00433"/>
    <x v="2"/>
    <s v="Illegal Dumping"/>
    <s v="High"/>
    <x v="1"/>
    <s v="Ward 1"/>
    <x v="255"/>
    <m/>
    <s v="Phone"/>
    <m/>
    <m/>
    <n v="7"/>
    <s v="Pending"/>
    <d v="2025-12-01T00:00:00"/>
    <n v="2025"/>
    <n v="4"/>
    <s v="No"/>
  </r>
  <r>
    <s v="SR-2025-00434"/>
    <x v="5"/>
    <s v="Grass Cutting"/>
    <s v="Critical"/>
    <x v="0"/>
    <s v="Ward 5"/>
    <x v="256"/>
    <d v="2025-06-16T00:00:00"/>
    <s v="Web"/>
    <n v="5"/>
    <n v="2"/>
    <n v="3"/>
    <s v="Yes"/>
    <d v="2025-06-01T00:00:00"/>
    <n v="2025"/>
    <n v="2"/>
    <s v="Yes"/>
  </r>
  <r>
    <s v="SR-2025-00435"/>
    <x v="5"/>
    <s v="Trail Maintenance"/>
    <s v="Low"/>
    <x v="1"/>
    <s v="Ward 5"/>
    <x v="121"/>
    <m/>
    <s v="Mobile App"/>
    <m/>
    <m/>
    <n v="14"/>
    <s v="Pending"/>
    <d v="2025-09-01T00:00:00"/>
    <n v="2025"/>
    <n v="3"/>
    <s v="No"/>
  </r>
  <r>
    <s v="SR-2025-00436"/>
    <x v="3"/>
    <s v="Road Damage"/>
    <s v="Low"/>
    <x v="0"/>
    <s v="Ward 5"/>
    <x v="257"/>
    <d v="2025-07-31T00:00:00"/>
    <s v="In Person"/>
    <n v="5"/>
    <n v="5"/>
    <n v="14"/>
    <s v="Yes"/>
    <d v="2025-07-01T00:00:00"/>
    <n v="2025"/>
    <n v="3"/>
    <s v="Yes"/>
  </r>
  <r>
    <s v="SR-2025-00437"/>
    <x v="3"/>
    <s v="Road Damage"/>
    <s v="Low"/>
    <x v="1"/>
    <s v="Ward 2"/>
    <x v="228"/>
    <m/>
    <s v="Web"/>
    <m/>
    <m/>
    <n v="14"/>
    <s v="Pending"/>
    <d v="2025-01-01T00:00:00"/>
    <n v="2025"/>
    <n v="1"/>
    <s v="No"/>
  </r>
  <r>
    <s v="SR-2025-00438"/>
    <x v="4"/>
    <s v="Water Leak"/>
    <s v="High"/>
    <x v="0"/>
    <s v="Ward 5"/>
    <x v="161"/>
    <d v="2025-05-24T00:00:00"/>
    <s v="Email"/>
    <n v="5"/>
    <n v="3"/>
    <n v="7"/>
    <s v="Yes"/>
    <d v="2025-05-01T00:00:00"/>
    <n v="2025"/>
    <n v="2"/>
    <s v="Yes"/>
  </r>
  <r>
    <s v="SR-2025-00439"/>
    <x v="0"/>
    <s v="Streetlight Repair"/>
    <s v="Medium"/>
    <x v="0"/>
    <s v="Ward 4"/>
    <x v="107"/>
    <d v="2025-09-17T00:00:00"/>
    <s v="In Person"/>
    <n v="3"/>
    <n v="9"/>
    <n v="10"/>
    <s v="Yes"/>
    <d v="2025-09-01T00:00:00"/>
    <n v="2025"/>
    <n v="3"/>
    <s v="Yes"/>
  </r>
  <r>
    <s v="SR-2025-00440"/>
    <x v="1"/>
    <s v="Parking Complaint"/>
    <s v="Medium"/>
    <x v="1"/>
    <s v="Ward 1"/>
    <x v="229"/>
    <m/>
    <s v="Mobile App"/>
    <m/>
    <m/>
    <n v="10"/>
    <s v="Pending"/>
    <d v="2025-05-01T00:00:00"/>
    <n v="2025"/>
    <n v="2"/>
    <s v="No"/>
  </r>
  <r>
    <s v="SR-2025-00441"/>
    <x v="3"/>
    <s v="Snow Removal"/>
    <s v="Low"/>
    <x v="1"/>
    <s v="Ward 2"/>
    <x v="258"/>
    <m/>
    <s v="Phone"/>
    <m/>
    <m/>
    <n v="14"/>
    <s v="Pending"/>
    <d v="2025-04-01T00:00:00"/>
    <n v="2025"/>
    <n v="2"/>
    <s v="No"/>
  </r>
  <r>
    <s v="SR-2025-00442"/>
    <x v="0"/>
    <s v="Traffic Signal Issue"/>
    <s v="Medium"/>
    <x v="0"/>
    <s v="Ward 2"/>
    <x v="250"/>
    <d v="2025-01-13T00:00:00"/>
    <s v="Phone"/>
    <n v="4"/>
    <n v="2"/>
    <n v="10"/>
    <s v="Yes"/>
    <d v="2025-01-01T00:00:00"/>
    <n v="2025"/>
    <n v="1"/>
    <s v="Yes"/>
  </r>
  <r>
    <s v="SR-2025-00443"/>
    <x v="1"/>
    <s v="Noise Complaint"/>
    <s v="Low"/>
    <x v="0"/>
    <s v="Ward 3"/>
    <x v="74"/>
    <d v="2025-06-20T00:00:00"/>
    <s v="Email"/>
    <n v="5"/>
    <n v="14"/>
    <n v="14"/>
    <s v="Yes"/>
    <d v="2025-06-01T00:00:00"/>
    <n v="2025"/>
    <n v="2"/>
    <s v="Yes"/>
  </r>
  <r>
    <s v="SR-2025-00444"/>
    <x v="4"/>
    <s v="Sewer Backup"/>
    <s v="Medium"/>
    <x v="0"/>
    <s v="Ward 4"/>
    <x v="142"/>
    <d v="2025-06-14T00:00:00"/>
    <s v="In Person"/>
    <n v="5"/>
    <n v="10"/>
    <n v="10"/>
    <s v="Yes"/>
    <d v="2025-06-01T00:00:00"/>
    <n v="2025"/>
    <n v="2"/>
    <s v="Yes"/>
  </r>
  <r>
    <s v="SR-2025-00445"/>
    <x v="3"/>
    <s v="Pothole Repair"/>
    <s v="Medium"/>
    <x v="0"/>
    <s v="Ward 5"/>
    <x v="95"/>
    <d v="2025-07-21T00:00:00"/>
    <s v="Mobile App"/>
    <n v="4"/>
    <n v="10"/>
    <n v="10"/>
    <s v="Yes"/>
    <d v="2025-07-01T00:00:00"/>
    <n v="2025"/>
    <n v="3"/>
    <s v="Yes"/>
  </r>
  <r>
    <s v="SR-2025-00446"/>
    <x v="2"/>
    <s v="Missed Garbage Pickup"/>
    <s v="Medium"/>
    <x v="0"/>
    <s v="Ward 3"/>
    <x v="75"/>
    <d v="2025-05-29T00:00:00"/>
    <s v="Mobile App"/>
    <n v="5"/>
    <n v="7"/>
    <n v="10"/>
    <s v="Yes"/>
    <d v="2025-05-01T00:00:00"/>
    <n v="2025"/>
    <n v="2"/>
    <s v="Yes"/>
  </r>
  <r>
    <s v="SR-2025-00447"/>
    <x v="5"/>
    <s v="Park Equipment Damage"/>
    <s v="Medium"/>
    <x v="0"/>
    <s v="Ward 2"/>
    <x v="228"/>
    <d v="2025-02-07T00:00:00"/>
    <s v="Web"/>
    <n v="5"/>
    <n v="8"/>
    <n v="10"/>
    <s v="Yes"/>
    <d v="2025-01-01T00:00:00"/>
    <n v="2025"/>
    <n v="1"/>
    <s v="Yes"/>
  </r>
  <r>
    <s v="SR-2025-00448"/>
    <x v="0"/>
    <s v="Traffic Concern"/>
    <s v="Critical"/>
    <x v="0"/>
    <s v="Ward 1"/>
    <x v="259"/>
    <d v="2025-08-06T00:00:00"/>
    <s v="In Person"/>
    <n v="4"/>
    <n v="3"/>
    <n v="3"/>
    <s v="Yes"/>
    <d v="2025-08-01T00:00:00"/>
    <n v="2025"/>
    <n v="3"/>
    <s v="Yes"/>
  </r>
  <r>
    <s v="SR-2025-00449"/>
    <x v="0"/>
    <s v="Traffic Signal Issue"/>
    <s v="Medium"/>
    <x v="0"/>
    <s v="Ward 4"/>
    <x v="79"/>
    <d v="2025-12-28T00:00:00"/>
    <s v="Mobile App"/>
    <n v="4"/>
    <n v="10"/>
    <n v="10"/>
    <s v="Yes"/>
    <d v="2025-12-01T00:00:00"/>
    <n v="2025"/>
    <n v="4"/>
    <s v="Yes"/>
  </r>
  <r>
    <s v="SR-2025-00450"/>
    <x v="1"/>
    <s v="Parking Complaint"/>
    <s v="High"/>
    <x v="1"/>
    <s v="Ward 2"/>
    <x v="201"/>
    <m/>
    <s v="Mobile App"/>
    <m/>
    <m/>
    <n v="7"/>
    <s v="Pending"/>
    <d v="2025-10-01T00:00:00"/>
    <n v="2025"/>
    <n v="4"/>
    <s v="No"/>
  </r>
  <r>
    <s v="SR-2025-00451"/>
    <x v="3"/>
    <s v="Snow Removal"/>
    <s v="Low"/>
    <x v="0"/>
    <s v="Ward 3"/>
    <x v="260"/>
    <d v="2025-10-29T00:00:00"/>
    <s v="Web"/>
    <n v="5"/>
    <n v="15"/>
    <n v="14"/>
    <s v="No"/>
    <d v="2025-10-01T00:00:00"/>
    <n v="2025"/>
    <n v="4"/>
    <s v="Yes"/>
  </r>
  <r>
    <s v="SR-2025-00452"/>
    <x v="5"/>
    <s v="Grass Cutting"/>
    <s v="Low"/>
    <x v="2"/>
    <s v="Ward 3"/>
    <x v="204"/>
    <m/>
    <s v="Mobile App"/>
    <m/>
    <m/>
    <n v="14"/>
    <s v="Pending"/>
    <d v="2025-08-01T00:00:00"/>
    <n v="2025"/>
    <n v="3"/>
    <s v="No"/>
  </r>
  <r>
    <s v="SR-2025-00453"/>
    <x v="2"/>
    <s v="Illegal Dumping"/>
    <s v="Medium"/>
    <x v="0"/>
    <s v="Ward 2"/>
    <x v="216"/>
    <d v="2025-01-31T00:00:00"/>
    <s v="In Person"/>
    <n v="4"/>
    <n v="3"/>
    <n v="10"/>
    <s v="Yes"/>
    <d v="2025-01-01T00:00:00"/>
    <n v="2025"/>
    <n v="1"/>
    <s v="Yes"/>
  </r>
  <r>
    <s v="SR-2025-00454"/>
    <x v="3"/>
    <s v="Snow Removal"/>
    <s v="Medium"/>
    <x v="0"/>
    <s v="Ward 3"/>
    <x v="133"/>
    <d v="2025-03-23T00:00:00"/>
    <s v="Email"/>
    <n v="5"/>
    <n v="4"/>
    <n v="10"/>
    <s v="Yes"/>
    <d v="2025-03-01T00:00:00"/>
    <n v="2025"/>
    <n v="1"/>
    <s v="Yes"/>
  </r>
  <r>
    <s v="SR-2025-00455"/>
    <x v="1"/>
    <s v="Animal Complaint"/>
    <s v="Low"/>
    <x v="2"/>
    <s v="Ward 1"/>
    <x v="149"/>
    <m/>
    <s v="Email"/>
    <m/>
    <m/>
    <n v="14"/>
    <s v="Pending"/>
    <d v="2025-04-01T00:00:00"/>
    <n v="2025"/>
    <n v="2"/>
    <s v="No"/>
  </r>
  <r>
    <s v="SR-2025-00456"/>
    <x v="2"/>
    <s v="Recycling Issue"/>
    <s v="Medium"/>
    <x v="0"/>
    <s v="Ward 2"/>
    <x v="132"/>
    <d v="2025-08-26T00:00:00"/>
    <s v="In Person"/>
    <n v="3"/>
    <n v="6"/>
    <n v="10"/>
    <s v="Yes"/>
    <d v="2025-08-01T00:00:00"/>
    <n v="2025"/>
    <n v="3"/>
    <s v="Yes"/>
  </r>
  <r>
    <s v="SR-2025-00457"/>
    <x v="5"/>
    <s v="Trail Maintenance"/>
    <s v="High"/>
    <x v="1"/>
    <s v="Ward 5"/>
    <x v="158"/>
    <m/>
    <s v="Email"/>
    <m/>
    <m/>
    <n v="7"/>
    <s v="Pending"/>
    <d v="2025-03-01T00:00:00"/>
    <n v="2025"/>
    <n v="1"/>
    <s v="No"/>
  </r>
  <r>
    <s v="SR-2025-00458"/>
    <x v="0"/>
    <s v="Traffic Concern"/>
    <s v="Medium"/>
    <x v="2"/>
    <s v="Ward 1"/>
    <x v="99"/>
    <m/>
    <s v="Web"/>
    <m/>
    <m/>
    <n v="10"/>
    <s v="Pending"/>
    <d v="2025-07-01T00:00:00"/>
    <n v="2025"/>
    <n v="3"/>
    <s v="No"/>
  </r>
  <r>
    <s v="SR-2025-00459"/>
    <x v="1"/>
    <s v="Property Standards"/>
    <s v="High"/>
    <x v="2"/>
    <s v="Ward 5"/>
    <x v="256"/>
    <m/>
    <s v="Phone"/>
    <m/>
    <m/>
    <n v="7"/>
    <s v="Pending"/>
    <d v="2025-06-01T00:00:00"/>
    <n v="2025"/>
    <n v="2"/>
    <s v="No"/>
  </r>
  <r>
    <s v="SR-2025-00460"/>
    <x v="3"/>
    <s v="Pothole Repair"/>
    <s v="Medium"/>
    <x v="0"/>
    <s v="Ward 1"/>
    <x v="118"/>
    <d v="2025-12-29T00:00:00"/>
    <s v="Email"/>
    <n v="4"/>
    <n v="7"/>
    <n v="10"/>
    <s v="Yes"/>
    <d v="2025-12-01T00:00:00"/>
    <n v="2025"/>
    <n v="4"/>
    <s v="Yes"/>
  </r>
  <r>
    <s v="SR-2025-00461"/>
    <x v="1"/>
    <s v="Parking Complaint"/>
    <s v="Low"/>
    <x v="1"/>
    <s v="Ward 3"/>
    <x v="175"/>
    <m/>
    <s v="Email"/>
    <m/>
    <m/>
    <n v="14"/>
    <s v="Pending"/>
    <d v="2025-06-01T00:00:00"/>
    <n v="2025"/>
    <n v="2"/>
    <s v="No"/>
  </r>
  <r>
    <s v="SR-2025-00462"/>
    <x v="0"/>
    <s v="Road Sign Damage"/>
    <s v="Medium"/>
    <x v="0"/>
    <s v="Ward 4"/>
    <x v="55"/>
    <d v="2025-03-17T00:00:00"/>
    <s v="Mobile App"/>
    <n v="5"/>
    <n v="7"/>
    <n v="10"/>
    <s v="Yes"/>
    <d v="2025-03-01T00:00:00"/>
    <n v="2025"/>
    <n v="1"/>
    <s v="Yes"/>
  </r>
  <r>
    <s v="SR-2025-00463"/>
    <x v="5"/>
    <s v="Park Equipment Damage"/>
    <s v="Critical"/>
    <x v="2"/>
    <s v="Ward 1"/>
    <x v="257"/>
    <m/>
    <s v="Phone"/>
    <m/>
    <m/>
    <n v="3"/>
    <s v="Pending"/>
    <d v="2025-07-01T00:00:00"/>
    <n v="2025"/>
    <n v="3"/>
    <s v="No"/>
  </r>
  <r>
    <s v="SR-2025-00464"/>
    <x v="5"/>
    <s v="Park Equipment Damage"/>
    <s v="Low"/>
    <x v="0"/>
    <s v="Ward 1"/>
    <x v="261"/>
    <d v="2025-09-21T00:00:00"/>
    <s v="Email"/>
    <n v="3"/>
    <n v="5"/>
    <n v="14"/>
    <s v="Yes"/>
    <d v="2025-09-01T00:00:00"/>
    <n v="2025"/>
    <n v="3"/>
    <s v="Yes"/>
  </r>
  <r>
    <s v="SR-2025-00465"/>
    <x v="0"/>
    <s v="Road Sign Damage"/>
    <s v="High"/>
    <x v="0"/>
    <s v="Ward 1"/>
    <x v="209"/>
    <d v="2025-11-02T00:00:00"/>
    <s v="Web"/>
    <n v="5"/>
    <n v="1"/>
    <n v="7"/>
    <s v="Yes"/>
    <d v="2025-11-01T00:00:00"/>
    <n v="2025"/>
    <n v="4"/>
    <s v="Yes"/>
  </r>
  <r>
    <s v="SR-2025-00466"/>
    <x v="0"/>
    <s v="Streetlight Repair"/>
    <s v="Medium"/>
    <x v="0"/>
    <s v="Ward 2"/>
    <x v="262"/>
    <d v="2025-10-14T00:00:00"/>
    <s v="Phone"/>
    <n v="4"/>
    <n v="6"/>
    <n v="10"/>
    <s v="Yes"/>
    <d v="2025-10-01T00:00:00"/>
    <n v="2025"/>
    <n v="4"/>
    <s v="Yes"/>
  </r>
  <r>
    <s v="SR-2025-00467"/>
    <x v="0"/>
    <s v="Streetlight Repair"/>
    <s v="Medium"/>
    <x v="0"/>
    <s v="Ward 5"/>
    <x v="263"/>
    <d v="2025-12-16T00:00:00"/>
    <s v="Phone"/>
    <n v="3"/>
    <n v="10"/>
    <n v="10"/>
    <s v="Yes"/>
    <d v="2025-12-01T00:00:00"/>
    <n v="2025"/>
    <n v="4"/>
    <s v="Yes"/>
  </r>
  <r>
    <s v="SR-2025-00468"/>
    <x v="4"/>
    <s v="Water Leak"/>
    <s v="Medium"/>
    <x v="0"/>
    <s v="Ward 4"/>
    <x v="264"/>
    <d v="2025-05-28T00:00:00"/>
    <s v="Phone"/>
    <n v="5"/>
    <n v="3"/>
    <n v="10"/>
    <s v="Yes"/>
    <d v="2025-05-01T00:00:00"/>
    <n v="2025"/>
    <n v="2"/>
    <s v="Yes"/>
  </r>
  <r>
    <s v="SR-2025-00469"/>
    <x v="1"/>
    <s v="Property Standards"/>
    <s v="High"/>
    <x v="1"/>
    <s v="Ward 3"/>
    <x v="265"/>
    <m/>
    <s v="Email"/>
    <m/>
    <m/>
    <n v="7"/>
    <s v="Pending"/>
    <d v="2025-04-01T00:00:00"/>
    <n v="2025"/>
    <n v="2"/>
    <s v="No"/>
  </r>
  <r>
    <s v="SR-2025-00470"/>
    <x v="2"/>
    <s v="Recycling Issue"/>
    <s v="Low"/>
    <x v="0"/>
    <s v="Ward 3"/>
    <x v="236"/>
    <d v="2025-05-01T00:00:00"/>
    <s v="Phone"/>
    <n v="5"/>
    <n v="14"/>
    <n v="14"/>
    <s v="Yes"/>
    <d v="2025-04-01T00:00:00"/>
    <n v="2025"/>
    <n v="2"/>
    <s v="Yes"/>
  </r>
  <r>
    <s v="SR-2025-00471"/>
    <x v="3"/>
    <s v="Pothole Repair"/>
    <s v="Medium"/>
    <x v="2"/>
    <s v="Ward 4"/>
    <x v="126"/>
    <m/>
    <s v="Phone"/>
    <m/>
    <m/>
    <n v="10"/>
    <s v="Pending"/>
    <d v="2025-10-01T00:00:00"/>
    <n v="2025"/>
    <n v="4"/>
    <s v="No"/>
  </r>
  <r>
    <s v="SR-2025-00472"/>
    <x v="3"/>
    <s v="Pothole Repair"/>
    <s v="High"/>
    <x v="0"/>
    <s v="Ward 3"/>
    <x v="177"/>
    <d v="2025-05-18T00:00:00"/>
    <s v="Mobile App"/>
    <n v="3"/>
    <n v="6"/>
    <n v="7"/>
    <s v="Yes"/>
    <d v="2025-05-01T00:00:00"/>
    <n v="2025"/>
    <n v="2"/>
    <s v="Yes"/>
  </r>
  <r>
    <s v="SR-2025-00473"/>
    <x v="4"/>
    <s v="Water Leak"/>
    <s v="Low"/>
    <x v="0"/>
    <s v="Ward 3"/>
    <x v="39"/>
    <d v="2025-01-28T00:00:00"/>
    <s v="Email"/>
    <n v="4"/>
    <n v="7"/>
    <n v="14"/>
    <s v="Yes"/>
    <d v="2025-01-01T00:00:00"/>
    <n v="2025"/>
    <n v="1"/>
    <s v="Yes"/>
  </r>
  <r>
    <s v="SR-2025-00474"/>
    <x v="0"/>
    <s v="Streetlight Repair"/>
    <s v="Low"/>
    <x v="1"/>
    <s v="Ward 1"/>
    <x v="162"/>
    <m/>
    <s v="Phone"/>
    <m/>
    <m/>
    <n v="14"/>
    <s v="Pending"/>
    <d v="2025-01-01T00:00:00"/>
    <n v="2025"/>
    <n v="1"/>
    <s v="No"/>
  </r>
  <r>
    <s v="SR-2025-00475"/>
    <x v="0"/>
    <s v="Traffic Signal Issue"/>
    <s v="Medium"/>
    <x v="2"/>
    <s v="Ward 3"/>
    <x v="266"/>
    <m/>
    <s v="Web"/>
    <m/>
    <m/>
    <n v="10"/>
    <s v="Pending"/>
    <d v="2025-11-01T00:00:00"/>
    <n v="2025"/>
    <n v="4"/>
    <s v="No"/>
  </r>
  <r>
    <s v="SR-2025-00476"/>
    <x v="2"/>
    <s v="Illegal Dumping"/>
    <s v="Low"/>
    <x v="0"/>
    <s v="Ward 4"/>
    <x v="267"/>
    <d v="2025-08-29T00:00:00"/>
    <s v="Email"/>
    <n v="5"/>
    <n v="7"/>
    <n v="14"/>
    <s v="Yes"/>
    <d v="2025-08-01T00:00:00"/>
    <n v="2025"/>
    <n v="3"/>
    <s v="Yes"/>
  </r>
  <r>
    <s v="SR-2025-00477"/>
    <x v="0"/>
    <s v="Traffic Signal Issue"/>
    <s v="Low"/>
    <x v="0"/>
    <s v="Ward 5"/>
    <x v="164"/>
    <d v="2025-02-05T00:00:00"/>
    <s v="Email"/>
    <n v="2"/>
    <n v="5"/>
    <n v="14"/>
    <s v="Yes"/>
    <d v="2025-01-01T00:00:00"/>
    <n v="2025"/>
    <n v="1"/>
    <s v="Yes"/>
  </r>
  <r>
    <s v="SR-2025-00478"/>
    <x v="1"/>
    <s v="Animal Complaint"/>
    <s v="Low"/>
    <x v="0"/>
    <s v="Ward 2"/>
    <x v="242"/>
    <d v="2025-07-15T00:00:00"/>
    <s v="Email"/>
    <n v="1"/>
    <n v="12"/>
    <n v="14"/>
    <s v="Yes"/>
    <d v="2025-07-01T00:00:00"/>
    <n v="2025"/>
    <n v="3"/>
    <s v="Yes"/>
  </r>
  <r>
    <s v="SR-2025-00479"/>
    <x v="4"/>
    <s v="Water Leak"/>
    <s v="High"/>
    <x v="0"/>
    <s v="Ward 1"/>
    <x v="57"/>
    <d v="2025-02-05T00:00:00"/>
    <s v="In Person"/>
    <n v="4"/>
    <n v="3"/>
    <n v="7"/>
    <s v="Yes"/>
    <d v="2025-02-01T00:00:00"/>
    <n v="2025"/>
    <n v="1"/>
    <s v="Yes"/>
  </r>
  <r>
    <s v="SR-2025-00480"/>
    <x v="0"/>
    <s v="Traffic Signal Issue"/>
    <s v="Critical"/>
    <x v="0"/>
    <s v="Ward 2"/>
    <x v="268"/>
    <d v="2025-06-23T00:00:00"/>
    <s v="Email"/>
    <n v="4"/>
    <n v="0"/>
    <n v="3"/>
    <s v="Yes"/>
    <d v="2025-06-01T00:00:00"/>
    <n v="2025"/>
    <n v="2"/>
    <s v="Yes"/>
  </r>
  <r>
    <s v="SR-2025-00481"/>
    <x v="2"/>
    <s v="Green Bin Issue"/>
    <s v="Low"/>
    <x v="1"/>
    <s v="Ward 1"/>
    <x v="34"/>
    <m/>
    <s v="Web"/>
    <m/>
    <m/>
    <n v="14"/>
    <s v="Pending"/>
    <d v="2025-11-01T00:00:00"/>
    <n v="2025"/>
    <n v="4"/>
    <s v="No"/>
  </r>
  <r>
    <s v="SR-2025-00482"/>
    <x v="0"/>
    <s v="Traffic Signal Issue"/>
    <s v="Medium"/>
    <x v="0"/>
    <s v="Ward 4"/>
    <x v="192"/>
    <d v="2025-09-15T00:00:00"/>
    <s v="Mobile App"/>
    <n v="2"/>
    <n v="4"/>
    <n v="10"/>
    <s v="Yes"/>
    <d v="2025-09-01T00:00:00"/>
    <n v="2025"/>
    <n v="3"/>
    <s v="Yes"/>
  </r>
  <r>
    <s v="SR-2025-00483"/>
    <x v="5"/>
    <s v="Grass Cutting"/>
    <s v="Critical"/>
    <x v="0"/>
    <s v="Ward 2"/>
    <x v="0"/>
    <d v="2025-04-28T00:00:00"/>
    <s v="Web"/>
    <n v="4"/>
    <n v="3"/>
    <n v="3"/>
    <s v="Yes"/>
    <d v="2025-04-01T00:00:00"/>
    <n v="2025"/>
    <n v="2"/>
    <s v="Yes"/>
  </r>
  <r>
    <s v="SR-2025-00484"/>
    <x v="4"/>
    <s v="Water Quality Concern"/>
    <s v="High"/>
    <x v="0"/>
    <s v="Ward 4"/>
    <x v="167"/>
    <d v="2025-09-17T00:00:00"/>
    <s v="Web"/>
    <n v="4"/>
    <n v="4"/>
    <n v="7"/>
    <s v="Yes"/>
    <d v="2025-09-01T00:00:00"/>
    <n v="2025"/>
    <n v="3"/>
    <s v="Yes"/>
  </r>
  <r>
    <s v="SR-2025-00485"/>
    <x v="3"/>
    <s v="Snow Removal"/>
    <s v="Medium"/>
    <x v="0"/>
    <s v="Ward 5"/>
    <x v="143"/>
    <d v="2025-01-04T00:00:00"/>
    <s v="Mobile App"/>
    <n v="5"/>
    <n v="3"/>
    <n v="10"/>
    <s v="Yes"/>
    <d v="2025-01-01T00:00:00"/>
    <n v="2025"/>
    <n v="1"/>
    <s v="Yes"/>
  </r>
  <r>
    <s v="SR-2025-00486"/>
    <x v="1"/>
    <s v="Property Standards"/>
    <s v="Medium"/>
    <x v="0"/>
    <s v="Ward 2"/>
    <x v="70"/>
    <d v="2025-07-01T00:00:00"/>
    <s v="Email"/>
    <n v="5"/>
    <n v="7"/>
    <n v="10"/>
    <s v="Yes"/>
    <d v="2025-06-01T00:00:00"/>
    <n v="2025"/>
    <n v="2"/>
    <s v="Yes"/>
  </r>
  <r>
    <s v="SR-2025-00487"/>
    <x v="2"/>
    <s v="Green Bin Issue"/>
    <s v="High"/>
    <x v="0"/>
    <s v="Ward 2"/>
    <x v="132"/>
    <d v="2025-08-21T00:00:00"/>
    <s v="Web"/>
    <n v="2"/>
    <n v="1"/>
    <n v="7"/>
    <s v="Yes"/>
    <d v="2025-08-01T00:00:00"/>
    <n v="2025"/>
    <n v="3"/>
    <s v="Yes"/>
  </r>
  <r>
    <s v="SR-2025-00488"/>
    <x v="2"/>
    <s v="Illegal Dumping"/>
    <s v="High"/>
    <x v="2"/>
    <s v="Ward 5"/>
    <x v="207"/>
    <m/>
    <s v="In Person"/>
    <m/>
    <m/>
    <n v="7"/>
    <s v="Pending"/>
    <d v="2025-05-01T00:00:00"/>
    <n v="2025"/>
    <n v="2"/>
    <s v="No"/>
  </r>
  <r>
    <s v="SR-2025-00489"/>
    <x v="2"/>
    <s v="Missed Garbage Pickup"/>
    <s v="Low"/>
    <x v="0"/>
    <s v="Ward 4"/>
    <x v="157"/>
    <d v="2025-03-27T00:00:00"/>
    <s v="Web"/>
    <n v="5"/>
    <n v="14"/>
    <n v="14"/>
    <s v="Yes"/>
    <d v="2025-03-01T00:00:00"/>
    <n v="2025"/>
    <n v="1"/>
    <s v="Yes"/>
  </r>
  <r>
    <s v="SR-2025-00490"/>
    <x v="2"/>
    <s v="Recycling Issue"/>
    <s v="Low"/>
    <x v="2"/>
    <s v="Ward 2"/>
    <x v="60"/>
    <m/>
    <s v="Email"/>
    <m/>
    <m/>
    <n v="14"/>
    <s v="Pending"/>
    <d v="2025-07-01T00:00:00"/>
    <n v="2025"/>
    <n v="3"/>
    <s v="No"/>
  </r>
  <r>
    <s v="SR-2025-00491"/>
    <x v="5"/>
    <s v="Grass Cutting"/>
    <s v="Low"/>
    <x v="0"/>
    <s v="Ward 4"/>
    <x v="36"/>
    <d v="2025-12-04T00:00:00"/>
    <s v="Email"/>
    <n v="4"/>
    <n v="13"/>
    <n v="14"/>
    <s v="Yes"/>
    <d v="2025-11-01T00:00:00"/>
    <n v="2025"/>
    <n v="4"/>
    <s v="Yes"/>
  </r>
  <r>
    <s v="SR-2025-00492"/>
    <x v="0"/>
    <s v="Traffic Signal Issue"/>
    <s v="Critical"/>
    <x v="0"/>
    <s v="Ward 4"/>
    <x v="12"/>
    <d v="2025-01-28T00:00:00"/>
    <s v="In Person"/>
    <n v="5"/>
    <n v="3"/>
    <n v="3"/>
    <s v="Yes"/>
    <d v="2025-01-01T00:00:00"/>
    <n v="2025"/>
    <n v="1"/>
    <s v="Yes"/>
  </r>
  <r>
    <s v="SR-2025-00493"/>
    <x v="5"/>
    <s v="Park Equipment Damage"/>
    <s v="High"/>
    <x v="0"/>
    <s v="Ward 3"/>
    <x v="145"/>
    <d v="2025-07-24T00:00:00"/>
    <s v="In Person"/>
    <n v="4"/>
    <n v="6"/>
    <n v="7"/>
    <s v="Yes"/>
    <d v="2025-07-01T00:00:00"/>
    <n v="2025"/>
    <n v="3"/>
    <s v="Yes"/>
  </r>
  <r>
    <s v="SR-2025-00494"/>
    <x v="4"/>
    <s v="Water Quality Concern"/>
    <s v="Critical"/>
    <x v="2"/>
    <s v="Ward 3"/>
    <x v="269"/>
    <m/>
    <s v="Email"/>
    <m/>
    <m/>
    <n v="3"/>
    <s v="Pending"/>
    <d v="2025-05-01T00:00:00"/>
    <n v="2025"/>
    <n v="2"/>
    <s v="No"/>
  </r>
  <r>
    <s v="SR-2025-00495"/>
    <x v="2"/>
    <s v="Illegal Dumping"/>
    <s v="Medium"/>
    <x v="0"/>
    <s v="Ward 5"/>
    <x v="86"/>
    <d v="2025-08-10T00:00:00"/>
    <s v="Mobile App"/>
    <n v="4"/>
    <n v="10"/>
    <n v="10"/>
    <s v="Yes"/>
    <d v="2025-07-01T00:00:00"/>
    <n v="2025"/>
    <n v="3"/>
    <s v="Yes"/>
  </r>
  <r>
    <s v="SR-2025-00496"/>
    <x v="0"/>
    <s v="Traffic Signal Issue"/>
    <s v="Low"/>
    <x v="0"/>
    <s v="Ward 2"/>
    <x v="270"/>
    <d v="2025-06-11T00:00:00"/>
    <s v="Phone"/>
    <n v="4"/>
    <n v="13"/>
    <n v="14"/>
    <s v="Yes"/>
    <d v="2025-05-01T00:00:00"/>
    <n v="2025"/>
    <n v="2"/>
    <s v="Yes"/>
  </r>
  <r>
    <s v="SR-2025-00497"/>
    <x v="1"/>
    <s v="Parking Complaint"/>
    <s v="High"/>
    <x v="1"/>
    <s v="Ward 4"/>
    <x v="169"/>
    <m/>
    <s v="In Person"/>
    <m/>
    <m/>
    <n v="7"/>
    <s v="Pending"/>
    <d v="2025-10-01T00:00:00"/>
    <n v="2025"/>
    <n v="4"/>
    <s v="No"/>
  </r>
  <r>
    <s v="SR-2025-00498"/>
    <x v="1"/>
    <s v="Animal Complaint"/>
    <s v="Medium"/>
    <x v="2"/>
    <s v="Ward 3"/>
    <x v="194"/>
    <m/>
    <s v="Email"/>
    <m/>
    <m/>
    <n v="10"/>
    <s v="Pending"/>
    <d v="2025-10-01T00:00:00"/>
    <n v="2025"/>
    <n v="4"/>
    <s v="No"/>
  </r>
  <r>
    <s v="SR-2025-00499"/>
    <x v="3"/>
    <s v="Pothole Repair"/>
    <s v="Low"/>
    <x v="0"/>
    <s v="Ward 2"/>
    <x v="20"/>
    <d v="2025-12-13T00:00:00"/>
    <s v="Mobile App"/>
    <n v="3"/>
    <n v="3"/>
    <n v="14"/>
    <s v="Yes"/>
    <d v="2025-12-01T00:00:00"/>
    <n v="2025"/>
    <n v="4"/>
    <s v="Yes"/>
  </r>
  <r>
    <s v="SR-2025-00500"/>
    <x v="0"/>
    <s v="Road Sign Damage"/>
    <s v="Low"/>
    <x v="0"/>
    <s v="Ward 1"/>
    <x v="137"/>
    <d v="2025-06-07T00:00:00"/>
    <s v="Mobile App"/>
    <n v="5"/>
    <n v="6"/>
    <n v="14"/>
    <s v="Yes"/>
    <d v="2025-06-01T00:00:00"/>
    <n v="2025"/>
    <n v="2"/>
    <s v="Yes"/>
  </r>
  <r>
    <s v="SR-2025-00501"/>
    <x v="4"/>
    <s v="Water Leak"/>
    <s v="Medium"/>
    <x v="0"/>
    <s v="Ward 5"/>
    <x v="169"/>
    <d v="2025-10-20T00:00:00"/>
    <s v="Email"/>
    <n v="5"/>
    <n v="5"/>
    <n v="10"/>
    <s v="Yes"/>
    <d v="2025-10-01T00:00:00"/>
    <n v="2025"/>
    <n v="4"/>
    <s v="Yes"/>
  </r>
  <r>
    <s v="SR-2025-00502"/>
    <x v="5"/>
    <s v="Grass Cutting"/>
    <s v="Medium"/>
    <x v="0"/>
    <s v="Ward 3"/>
    <x v="96"/>
    <d v="2025-07-23T00:00:00"/>
    <s v="In Person"/>
    <n v="4"/>
    <n v="8"/>
    <n v="10"/>
    <s v="Yes"/>
    <d v="2025-07-01T00:00:00"/>
    <n v="2025"/>
    <n v="3"/>
    <s v="Yes"/>
  </r>
  <r>
    <s v="SR-2025-00503"/>
    <x v="3"/>
    <s v="Pothole Repair"/>
    <s v="High"/>
    <x v="0"/>
    <s v="Ward 3"/>
    <x v="131"/>
    <d v="2025-08-22T00:00:00"/>
    <s v="In Person"/>
    <n v="3"/>
    <n v="7"/>
    <n v="7"/>
    <s v="Yes"/>
    <d v="2025-08-01T00:00:00"/>
    <n v="2025"/>
    <n v="3"/>
    <s v="Yes"/>
  </r>
  <r>
    <s v="SR-2025-00504"/>
    <x v="1"/>
    <s v="Property Standards"/>
    <s v="High"/>
    <x v="2"/>
    <s v="Ward 4"/>
    <x v="114"/>
    <m/>
    <s v="Phone"/>
    <m/>
    <m/>
    <n v="7"/>
    <s v="Pending"/>
    <d v="2025-05-01T00:00:00"/>
    <n v="2025"/>
    <n v="2"/>
    <s v="No"/>
  </r>
  <r>
    <s v="SR-2025-00505"/>
    <x v="0"/>
    <s v="Streetlight Repair"/>
    <s v="Low"/>
    <x v="0"/>
    <s v="Ward 4"/>
    <x v="271"/>
    <d v="2025-09-25T00:00:00"/>
    <s v="Mobile App"/>
    <n v="4"/>
    <n v="4"/>
    <n v="14"/>
    <s v="Yes"/>
    <d v="2025-09-01T00:00:00"/>
    <n v="2025"/>
    <n v="3"/>
    <s v="Yes"/>
  </r>
  <r>
    <s v="SR-2025-00506"/>
    <x v="1"/>
    <s v="Parking Complaint"/>
    <s v="Low"/>
    <x v="0"/>
    <s v="Ward 2"/>
    <x v="97"/>
    <d v="2025-05-14T00:00:00"/>
    <s v="Web"/>
    <n v="4"/>
    <n v="3"/>
    <n v="14"/>
    <s v="Yes"/>
    <d v="2025-05-01T00:00:00"/>
    <n v="2025"/>
    <n v="2"/>
    <s v="Yes"/>
  </r>
  <r>
    <s v="SR-2025-00507"/>
    <x v="5"/>
    <s v="Grass Cutting"/>
    <s v="Medium"/>
    <x v="1"/>
    <s v="Ward 5"/>
    <x v="56"/>
    <m/>
    <s v="Mobile App"/>
    <m/>
    <m/>
    <n v="10"/>
    <s v="Pending"/>
    <d v="2025-11-01T00:00:00"/>
    <n v="2025"/>
    <n v="4"/>
    <s v="No"/>
  </r>
  <r>
    <s v="SR-2025-00508"/>
    <x v="4"/>
    <s v="Sewer Backup"/>
    <s v="Low"/>
    <x v="0"/>
    <s v="Ward 5"/>
    <x v="144"/>
    <d v="2025-10-03T00:00:00"/>
    <s v="Web"/>
    <n v="5"/>
    <n v="6"/>
    <n v="14"/>
    <s v="Yes"/>
    <d v="2025-09-01T00:00:00"/>
    <n v="2025"/>
    <n v="3"/>
    <s v="Yes"/>
  </r>
  <r>
    <s v="SR-2025-00509"/>
    <x v="1"/>
    <s v="Property Standards"/>
    <s v="Medium"/>
    <x v="0"/>
    <s v="Ward 2"/>
    <x v="222"/>
    <d v="2025-02-24T00:00:00"/>
    <s v="Mobile App"/>
    <n v="3"/>
    <n v="7"/>
    <n v="10"/>
    <s v="Yes"/>
    <d v="2025-02-01T00:00:00"/>
    <n v="2025"/>
    <n v="1"/>
    <s v="Yes"/>
  </r>
  <r>
    <s v="SR-2025-00510"/>
    <x v="2"/>
    <s v="Illegal Dumping"/>
    <s v="Medium"/>
    <x v="2"/>
    <s v="Ward 5"/>
    <x v="127"/>
    <m/>
    <s v="Email"/>
    <m/>
    <m/>
    <n v="10"/>
    <s v="Pending"/>
    <d v="2025-11-01T00:00:00"/>
    <n v="2025"/>
    <n v="4"/>
    <s v="No"/>
  </r>
  <r>
    <s v="SR-2025-00511"/>
    <x v="1"/>
    <s v="Noise Complaint"/>
    <s v="Low"/>
    <x v="0"/>
    <s v="Ward 5"/>
    <x v="272"/>
    <d v="2025-05-17T00:00:00"/>
    <s v="Phone"/>
    <n v="4"/>
    <n v="13"/>
    <n v="14"/>
    <s v="Yes"/>
    <d v="2025-05-01T00:00:00"/>
    <n v="2025"/>
    <n v="2"/>
    <s v="Yes"/>
  </r>
  <r>
    <s v="SR-2025-00512"/>
    <x v="3"/>
    <s v="Sidewalk Damage"/>
    <s v="Medium"/>
    <x v="1"/>
    <s v="Ward 4"/>
    <x v="87"/>
    <m/>
    <s v="Mobile App"/>
    <m/>
    <m/>
    <n v="10"/>
    <s v="Pending"/>
    <d v="2025-02-01T00:00:00"/>
    <n v="2025"/>
    <n v="1"/>
    <s v="No"/>
  </r>
  <r>
    <s v="SR-2025-00513"/>
    <x v="1"/>
    <s v="Parking Complaint"/>
    <s v="Low"/>
    <x v="0"/>
    <s v="Ward 4"/>
    <x v="95"/>
    <d v="2025-07-22T00:00:00"/>
    <s v="Email"/>
    <n v="5"/>
    <n v="11"/>
    <n v="14"/>
    <s v="Yes"/>
    <d v="2025-07-01T00:00:00"/>
    <n v="2025"/>
    <n v="3"/>
    <s v="Yes"/>
  </r>
  <r>
    <s v="SR-2025-00514"/>
    <x v="3"/>
    <s v="Sidewalk Damage"/>
    <s v="High"/>
    <x v="0"/>
    <s v="Ward 2"/>
    <x v="271"/>
    <d v="2025-09-22T00:00:00"/>
    <s v="In Person"/>
    <n v="5"/>
    <n v="1"/>
    <n v="7"/>
    <s v="Yes"/>
    <d v="2025-09-01T00:00:00"/>
    <n v="2025"/>
    <n v="3"/>
    <s v="Yes"/>
  </r>
  <r>
    <s v="SR-2025-00515"/>
    <x v="1"/>
    <s v="Noise Complaint"/>
    <s v="Medium"/>
    <x v="0"/>
    <s v="Ward 4"/>
    <x v="273"/>
    <d v="2025-11-24T00:00:00"/>
    <s v="Web"/>
    <n v="5"/>
    <n v="5"/>
    <n v="10"/>
    <s v="Yes"/>
    <d v="2025-11-01T00:00:00"/>
    <n v="2025"/>
    <n v="4"/>
    <s v="Yes"/>
  </r>
  <r>
    <s v="SR-2025-00516"/>
    <x v="5"/>
    <s v="Trail Maintenance"/>
    <s v="Medium"/>
    <x v="2"/>
    <s v="Ward 2"/>
    <x v="79"/>
    <m/>
    <s v="Web"/>
    <m/>
    <m/>
    <n v="10"/>
    <s v="Pending"/>
    <d v="2025-12-01T00:00:00"/>
    <n v="2025"/>
    <n v="4"/>
    <s v="No"/>
  </r>
  <r>
    <s v="SR-2025-00517"/>
    <x v="4"/>
    <s v="Sewer Backup"/>
    <s v="Low"/>
    <x v="0"/>
    <s v="Ward 1"/>
    <x v="274"/>
    <d v="2025-04-17T00:00:00"/>
    <s v="In Person"/>
    <n v="3"/>
    <n v="15"/>
    <n v="14"/>
    <s v="No"/>
    <d v="2025-04-01T00:00:00"/>
    <n v="2025"/>
    <n v="2"/>
    <s v="Yes"/>
  </r>
  <r>
    <s v="SR-2025-00518"/>
    <x v="5"/>
    <s v="Grass Cutting"/>
    <s v="Medium"/>
    <x v="0"/>
    <s v="Ward 4"/>
    <x v="213"/>
    <d v="2025-08-04T00:00:00"/>
    <s v="Web"/>
    <n v="4"/>
    <n v="8"/>
    <n v="10"/>
    <s v="Yes"/>
    <d v="2025-07-01T00:00:00"/>
    <n v="2025"/>
    <n v="3"/>
    <s v="Yes"/>
  </r>
  <r>
    <s v="SR-2025-00519"/>
    <x v="1"/>
    <s v="Noise Complaint"/>
    <s v="Medium"/>
    <x v="0"/>
    <s v="Ward 1"/>
    <x v="11"/>
    <d v="2025-10-29T00:00:00"/>
    <s v="Mobile App"/>
    <n v="5"/>
    <n v="2"/>
    <n v="10"/>
    <s v="Yes"/>
    <d v="2025-10-01T00:00:00"/>
    <n v="2025"/>
    <n v="4"/>
    <s v="Yes"/>
  </r>
  <r>
    <s v="SR-2025-00520"/>
    <x v="1"/>
    <s v="Noise Complaint"/>
    <s v="Medium"/>
    <x v="0"/>
    <s v="Ward 4"/>
    <x v="45"/>
    <d v="2025-11-10T00:00:00"/>
    <s v="Email"/>
    <n v="3"/>
    <n v="3"/>
    <n v="10"/>
    <s v="Yes"/>
    <d v="2025-11-01T00:00:00"/>
    <n v="2025"/>
    <n v="4"/>
    <s v="Yes"/>
  </r>
  <r>
    <s v="SR-2025-00521"/>
    <x v="4"/>
    <s v="Water Leak"/>
    <s v="Medium"/>
    <x v="0"/>
    <s v="Ward 5"/>
    <x v="275"/>
    <d v="2025-03-19T00:00:00"/>
    <s v="Mobile App"/>
    <n v="5"/>
    <n v="8"/>
    <n v="10"/>
    <s v="Yes"/>
    <d v="2025-03-01T00:00:00"/>
    <n v="2025"/>
    <n v="1"/>
    <s v="Yes"/>
  </r>
  <r>
    <s v="SR-2025-00522"/>
    <x v="0"/>
    <s v="Traffic Signal Issue"/>
    <s v="Medium"/>
    <x v="2"/>
    <s v="Ward 3"/>
    <x v="276"/>
    <m/>
    <s v="Web"/>
    <m/>
    <m/>
    <n v="10"/>
    <s v="Pending"/>
    <d v="2025-11-01T00:00:00"/>
    <n v="2025"/>
    <n v="4"/>
    <s v="No"/>
  </r>
  <r>
    <s v="SR-2025-00523"/>
    <x v="1"/>
    <s v="Property Standards"/>
    <s v="Low"/>
    <x v="0"/>
    <s v="Ward 1"/>
    <x v="138"/>
    <d v="2025-11-11T00:00:00"/>
    <s v="Mobile App"/>
    <n v="4"/>
    <n v="9"/>
    <n v="14"/>
    <s v="Yes"/>
    <d v="2025-11-01T00:00:00"/>
    <n v="2025"/>
    <n v="4"/>
    <s v="Yes"/>
  </r>
  <r>
    <s v="SR-2025-00524"/>
    <x v="5"/>
    <s v="Grass Cutting"/>
    <s v="Low"/>
    <x v="2"/>
    <s v="Ward 2"/>
    <x v="277"/>
    <m/>
    <s v="Phone"/>
    <m/>
    <m/>
    <n v="14"/>
    <s v="Pending"/>
    <d v="2025-09-01T00:00:00"/>
    <n v="2025"/>
    <n v="3"/>
    <s v="No"/>
  </r>
  <r>
    <s v="SR-2025-00525"/>
    <x v="5"/>
    <s v="Park Equipment Damage"/>
    <s v="Medium"/>
    <x v="0"/>
    <s v="Ward 5"/>
    <x v="87"/>
    <d v="2025-03-04T00:00:00"/>
    <s v="Web"/>
    <n v="5"/>
    <n v="4"/>
    <n v="10"/>
    <s v="Yes"/>
    <d v="2025-02-01T00:00:00"/>
    <n v="2025"/>
    <n v="1"/>
    <s v="Yes"/>
  </r>
  <r>
    <s v="SR-2025-00526"/>
    <x v="1"/>
    <s v="Animal Complaint"/>
    <s v="Medium"/>
    <x v="0"/>
    <s v="Ward 2"/>
    <x v="20"/>
    <d v="2025-12-13T00:00:00"/>
    <s v="In Person"/>
    <n v="3"/>
    <n v="3"/>
    <n v="10"/>
    <s v="Yes"/>
    <d v="2025-12-01T00:00:00"/>
    <n v="2025"/>
    <n v="4"/>
    <s v="Yes"/>
  </r>
  <r>
    <s v="SR-2025-00527"/>
    <x v="4"/>
    <s v="Sewer Backup"/>
    <s v="Medium"/>
    <x v="0"/>
    <s v="Ward 1"/>
    <x v="52"/>
    <d v="2025-05-04T00:00:00"/>
    <s v="Phone"/>
    <n v="3"/>
    <n v="3"/>
    <n v="10"/>
    <s v="Yes"/>
    <d v="2025-05-01T00:00:00"/>
    <n v="2025"/>
    <n v="2"/>
    <s v="Yes"/>
  </r>
  <r>
    <s v="SR-2025-00528"/>
    <x v="2"/>
    <s v="Green Bin Issue"/>
    <s v="Medium"/>
    <x v="0"/>
    <s v="Ward 3"/>
    <x v="74"/>
    <d v="2025-06-10T00:00:00"/>
    <s v="Mobile App"/>
    <n v="4"/>
    <n v="4"/>
    <n v="10"/>
    <s v="Yes"/>
    <d v="2025-06-01T00:00:00"/>
    <n v="2025"/>
    <n v="2"/>
    <s v="Yes"/>
  </r>
  <r>
    <s v="SR-2025-00529"/>
    <x v="4"/>
    <s v="Low Water Pressure"/>
    <s v="Low"/>
    <x v="0"/>
    <s v="Ward 4"/>
    <x v="195"/>
    <d v="2025-05-08T00:00:00"/>
    <s v="Mobile App"/>
    <n v="5"/>
    <n v="14"/>
    <n v="14"/>
    <s v="Yes"/>
    <d v="2025-04-01T00:00:00"/>
    <n v="2025"/>
    <n v="2"/>
    <s v="Yes"/>
  </r>
  <r>
    <s v="SR-2025-00530"/>
    <x v="2"/>
    <s v="Recycling Issue"/>
    <s v="Medium"/>
    <x v="0"/>
    <s v="Ward 3"/>
    <x v="159"/>
    <d v="2025-09-12T00:00:00"/>
    <s v="Email"/>
    <n v="4"/>
    <n v="9"/>
    <n v="10"/>
    <s v="Yes"/>
    <d v="2025-09-01T00:00:00"/>
    <n v="2025"/>
    <n v="3"/>
    <s v="Yes"/>
  </r>
  <r>
    <s v="SR-2025-00531"/>
    <x v="1"/>
    <s v="Noise Complaint"/>
    <s v="Low"/>
    <x v="0"/>
    <s v="Ward 2"/>
    <x v="233"/>
    <d v="2025-05-29T00:00:00"/>
    <s v="Mobile App"/>
    <n v="5"/>
    <n v="5"/>
    <n v="14"/>
    <s v="Yes"/>
    <d v="2025-05-01T00:00:00"/>
    <n v="2025"/>
    <n v="2"/>
    <s v="Yes"/>
  </r>
  <r>
    <s v="SR-2025-00532"/>
    <x v="0"/>
    <s v="Streetlight Repair"/>
    <s v="High"/>
    <x v="2"/>
    <s v="Ward 1"/>
    <x v="278"/>
    <m/>
    <s v="In Person"/>
    <m/>
    <m/>
    <n v="7"/>
    <s v="Pending"/>
    <d v="2025-09-01T00:00:00"/>
    <n v="2025"/>
    <n v="3"/>
    <s v="No"/>
  </r>
  <r>
    <s v="SR-2025-00533"/>
    <x v="1"/>
    <s v="Animal Complaint"/>
    <s v="High"/>
    <x v="0"/>
    <s v="Ward 5"/>
    <x v="230"/>
    <d v="2025-01-24T00:00:00"/>
    <s v="Email"/>
    <n v="3"/>
    <n v="5"/>
    <n v="7"/>
    <s v="Yes"/>
    <d v="2025-01-01T00:00:00"/>
    <n v="2025"/>
    <n v="1"/>
    <s v="Yes"/>
  </r>
  <r>
    <s v="SR-2025-00534"/>
    <x v="0"/>
    <s v="Traffic Signal Issue"/>
    <s v="Medium"/>
    <x v="0"/>
    <s v="Ward 5"/>
    <x v="21"/>
    <d v="2025-11-04T00:00:00"/>
    <s v="In Person"/>
    <n v="3"/>
    <n v="6"/>
    <n v="10"/>
    <s v="Yes"/>
    <d v="2025-10-01T00:00:00"/>
    <n v="2025"/>
    <n v="4"/>
    <s v="Yes"/>
  </r>
  <r>
    <s v="SR-2025-00535"/>
    <x v="3"/>
    <s v="Snow Removal"/>
    <s v="Medium"/>
    <x v="0"/>
    <s v="Ward 2"/>
    <x v="31"/>
    <d v="2025-05-07T00:00:00"/>
    <s v="Email"/>
    <n v="5"/>
    <n v="4"/>
    <n v="10"/>
    <s v="Yes"/>
    <d v="2025-05-01T00:00:00"/>
    <n v="2025"/>
    <n v="2"/>
    <s v="Yes"/>
  </r>
  <r>
    <s v="SR-2025-00536"/>
    <x v="5"/>
    <s v="Park Equipment Damage"/>
    <s v="Medium"/>
    <x v="0"/>
    <s v="Ward 1"/>
    <x v="140"/>
    <d v="2025-03-25T00:00:00"/>
    <s v="Phone"/>
    <n v="5"/>
    <n v="9"/>
    <n v="10"/>
    <s v="Yes"/>
    <d v="2025-03-01T00:00:00"/>
    <n v="2025"/>
    <n v="1"/>
    <s v="Yes"/>
  </r>
  <r>
    <s v="SR-2025-00537"/>
    <x v="4"/>
    <s v="Low Water Pressure"/>
    <s v="Low"/>
    <x v="0"/>
    <s v="Ward 3"/>
    <x v="125"/>
    <d v="2025-02-04T00:00:00"/>
    <s v="Email"/>
    <n v="3"/>
    <n v="13"/>
    <n v="14"/>
    <s v="Yes"/>
    <d v="2025-01-01T00:00:00"/>
    <n v="2025"/>
    <n v="1"/>
    <s v="Yes"/>
  </r>
  <r>
    <s v="SR-2025-00538"/>
    <x v="4"/>
    <s v="Water Quality Concern"/>
    <s v="High"/>
    <x v="0"/>
    <s v="Ward 5"/>
    <x v="279"/>
    <d v="2025-12-02T00:00:00"/>
    <s v="Mobile App"/>
    <n v="2"/>
    <n v="3"/>
    <n v="7"/>
    <s v="Yes"/>
    <d v="2025-11-01T00:00:00"/>
    <n v="2025"/>
    <n v="4"/>
    <s v="Yes"/>
  </r>
  <r>
    <s v="SR-2025-00539"/>
    <x v="0"/>
    <s v="Road Sign Damage"/>
    <s v="Medium"/>
    <x v="0"/>
    <s v="Ward 1"/>
    <x v="120"/>
    <d v="2025-07-20T00:00:00"/>
    <s v="In Person"/>
    <n v="4"/>
    <n v="8"/>
    <n v="10"/>
    <s v="Yes"/>
    <d v="2025-07-01T00:00:00"/>
    <n v="2025"/>
    <n v="3"/>
    <s v="Yes"/>
  </r>
  <r>
    <s v="SR-2025-00540"/>
    <x v="2"/>
    <s v="Green Bin Issue"/>
    <s v="Critical"/>
    <x v="0"/>
    <s v="Ward 3"/>
    <x v="213"/>
    <d v="2025-07-29T00:00:00"/>
    <s v="Email"/>
    <n v="5"/>
    <n v="2"/>
    <n v="3"/>
    <s v="Yes"/>
    <d v="2025-07-01T00:00:00"/>
    <n v="2025"/>
    <n v="3"/>
    <s v="Yes"/>
  </r>
  <r>
    <s v="SR-2025-00541"/>
    <x v="4"/>
    <s v="Water Leak"/>
    <s v="Medium"/>
    <x v="0"/>
    <s v="Ward 3"/>
    <x v="280"/>
    <d v="2025-03-31T00:00:00"/>
    <s v="Phone"/>
    <n v="2"/>
    <n v="5"/>
    <n v="10"/>
    <s v="Yes"/>
    <d v="2025-03-01T00:00:00"/>
    <n v="2025"/>
    <n v="1"/>
    <s v="Yes"/>
  </r>
  <r>
    <s v="SR-2025-00542"/>
    <x v="5"/>
    <s v="Park Equipment Damage"/>
    <s v="Low"/>
    <x v="0"/>
    <s v="Ward 3"/>
    <x v="220"/>
    <d v="2025-03-15T00:00:00"/>
    <s v="Web"/>
    <n v="3"/>
    <n v="13"/>
    <n v="14"/>
    <s v="Yes"/>
    <d v="2025-03-01T00:00:00"/>
    <n v="2025"/>
    <n v="1"/>
    <s v="Yes"/>
  </r>
  <r>
    <s v="SR-2025-00543"/>
    <x v="4"/>
    <s v="Water Quality Concern"/>
    <s v="Medium"/>
    <x v="0"/>
    <s v="Ward 1"/>
    <x v="276"/>
    <d v="2025-12-06T00:00:00"/>
    <s v="Phone"/>
    <n v="1"/>
    <n v="8"/>
    <n v="10"/>
    <s v="Yes"/>
    <d v="2025-11-01T00:00:00"/>
    <n v="2025"/>
    <n v="4"/>
    <s v="Yes"/>
  </r>
  <r>
    <s v="SR-2025-00544"/>
    <x v="1"/>
    <s v="Property Standards"/>
    <s v="Low"/>
    <x v="0"/>
    <s v="Ward 3"/>
    <x v="126"/>
    <d v="2025-10-26T00:00:00"/>
    <s v="Phone"/>
    <n v="2"/>
    <n v="5"/>
    <n v="14"/>
    <s v="Yes"/>
    <d v="2025-10-01T00:00:00"/>
    <n v="2025"/>
    <n v="4"/>
    <s v="Yes"/>
  </r>
  <r>
    <s v="SR-2025-00545"/>
    <x v="1"/>
    <s v="Animal Complaint"/>
    <s v="Medium"/>
    <x v="0"/>
    <s v="Ward 2"/>
    <x v="281"/>
    <d v="2025-01-16T00:00:00"/>
    <s v="Email"/>
    <n v="5"/>
    <n v="6"/>
    <n v="10"/>
    <s v="Yes"/>
    <d v="2025-01-01T00:00:00"/>
    <n v="2025"/>
    <n v="1"/>
    <s v="Yes"/>
  </r>
  <r>
    <s v="SR-2025-00546"/>
    <x v="1"/>
    <s v="Animal Complaint"/>
    <s v="High"/>
    <x v="0"/>
    <s v="Ward 5"/>
    <x v="41"/>
    <d v="2025-08-04T00:00:00"/>
    <s v="Phone"/>
    <n v="3"/>
    <n v="5"/>
    <n v="7"/>
    <s v="Yes"/>
    <d v="2025-07-01T00:00:00"/>
    <n v="2025"/>
    <n v="3"/>
    <s v="Yes"/>
  </r>
  <r>
    <s v="SR-2025-00547"/>
    <x v="1"/>
    <s v="Parking Complaint"/>
    <s v="Low"/>
    <x v="0"/>
    <s v="Ward 2"/>
    <x v="85"/>
    <d v="2025-09-02T00:00:00"/>
    <s v="Email"/>
    <n v="4"/>
    <n v="12"/>
    <n v="14"/>
    <s v="Yes"/>
    <d v="2025-08-01T00:00:00"/>
    <n v="2025"/>
    <n v="3"/>
    <s v="Yes"/>
  </r>
  <r>
    <s v="SR-2025-00548"/>
    <x v="4"/>
    <s v="Low Water Pressure"/>
    <s v="Low"/>
    <x v="0"/>
    <s v="Ward 2"/>
    <x v="261"/>
    <d v="2025-09-29T00:00:00"/>
    <s v="In Person"/>
    <n v="4"/>
    <n v="13"/>
    <n v="14"/>
    <s v="Yes"/>
    <d v="2025-09-01T00:00:00"/>
    <n v="2025"/>
    <n v="3"/>
    <s v="Yes"/>
  </r>
  <r>
    <s v="SR-2025-00549"/>
    <x v="3"/>
    <s v="Road Damage"/>
    <s v="Medium"/>
    <x v="0"/>
    <s v="Ward 1"/>
    <x v="44"/>
    <d v="2025-01-30T00:00:00"/>
    <s v="Web"/>
    <n v="4"/>
    <n v="10"/>
    <n v="10"/>
    <s v="Yes"/>
    <d v="2025-01-01T00:00:00"/>
    <n v="2025"/>
    <n v="1"/>
    <s v="Yes"/>
  </r>
  <r>
    <s v="SR-2025-00550"/>
    <x v="4"/>
    <s v="Low Water Pressure"/>
    <s v="High"/>
    <x v="0"/>
    <s v="Ward 4"/>
    <x v="143"/>
    <d v="2025-01-08T00:00:00"/>
    <s v="In Person"/>
    <n v="5"/>
    <n v="7"/>
    <n v="7"/>
    <s v="Yes"/>
    <d v="2025-01-01T00:00:00"/>
    <n v="2025"/>
    <n v="1"/>
    <s v="Yes"/>
  </r>
  <r>
    <s v="SR-2025-00551"/>
    <x v="4"/>
    <s v="Sewer Backup"/>
    <s v="High"/>
    <x v="0"/>
    <s v="Ward 4"/>
    <x v="221"/>
    <d v="2025-08-10T00:00:00"/>
    <s v="Email"/>
    <n v="5"/>
    <n v="2"/>
    <n v="7"/>
    <s v="Yes"/>
    <d v="2025-08-01T00:00:00"/>
    <n v="2025"/>
    <n v="3"/>
    <s v="Yes"/>
  </r>
  <r>
    <s v="SR-2025-00552"/>
    <x v="2"/>
    <s v="Missed Garbage Pickup"/>
    <s v="Medium"/>
    <x v="0"/>
    <s v="Ward 5"/>
    <x v="1"/>
    <d v="2025-05-03T00:00:00"/>
    <s v="Email"/>
    <n v="3"/>
    <n v="3"/>
    <n v="10"/>
    <s v="Yes"/>
    <d v="2025-04-01T00:00:00"/>
    <n v="2025"/>
    <n v="2"/>
    <s v="Yes"/>
  </r>
  <r>
    <s v="SR-2025-00553"/>
    <x v="2"/>
    <s v="Recycling Issue"/>
    <s v="Low"/>
    <x v="1"/>
    <s v="Ward 5"/>
    <x v="2"/>
    <m/>
    <s v="In Person"/>
    <m/>
    <m/>
    <n v="14"/>
    <s v="Pending"/>
    <d v="2025-01-01T00:00:00"/>
    <n v="2025"/>
    <n v="1"/>
    <s v="No"/>
  </r>
  <r>
    <s v="SR-2025-00554"/>
    <x v="3"/>
    <s v="Pothole Repair"/>
    <s v="Medium"/>
    <x v="0"/>
    <s v="Ward 2"/>
    <x v="282"/>
    <d v="2025-06-19T00:00:00"/>
    <s v="Email"/>
    <n v="4"/>
    <n v="8"/>
    <n v="10"/>
    <s v="Yes"/>
    <d v="2025-06-01T00:00:00"/>
    <n v="2025"/>
    <n v="2"/>
    <s v="Yes"/>
  </r>
  <r>
    <s v="SR-2025-00555"/>
    <x v="0"/>
    <s v="Road Sign Damage"/>
    <s v="Medium"/>
    <x v="0"/>
    <s v="Ward 4"/>
    <x v="119"/>
    <d v="2025-10-24T00:00:00"/>
    <s v="Phone"/>
    <n v="4"/>
    <n v="7"/>
    <n v="10"/>
    <s v="Yes"/>
    <d v="2025-10-01T00:00:00"/>
    <n v="2025"/>
    <n v="4"/>
    <s v="Yes"/>
  </r>
  <r>
    <s v="SR-2025-00556"/>
    <x v="4"/>
    <s v="Water Quality Concern"/>
    <s v="Low"/>
    <x v="0"/>
    <s v="Ward 5"/>
    <x v="211"/>
    <d v="2025-09-12T00:00:00"/>
    <s v="Mobile App"/>
    <n v="5"/>
    <n v="7"/>
    <n v="14"/>
    <s v="Yes"/>
    <d v="2025-09-01T00:00:00"/>
    <n v="2025"/>
    <n v="3"/>
    <s v="Yes"/>
  </r>
  <r>
    <s v="SR-2025-00557"/>
    <x v="0"/>
    <s v="Traffic Concern"/>
    <s v="High"/>
    <x v="1"/>
    <s v="Ward 1"/>
    <x v="90"/>
    <m/>
    <s v="Phone"/>
    <m/>
    <m/>
    <n v="7"/>
    <s v="Pending"/>
    <d v="2025-12-01T00:00:00"/>
    <n v="2025"/>
    <n v="4"/>
    <s v="No"/>
  </r>
  <r>
    <s v="SR-2025-00558"/>
    <x v="4"/>
    <s v="Low Water Pressure"/>
    <s v="Low"/>
    <x v="0"/>
    <s v="Ward 1"/>
    <x v="268"/>
    <d v="2025-07-08T00:00:00"/>
    <s v="Phone"/>
    <n v="4"/>
    <n v="15"/>
    <n v="14"/>
    <s v="No"/>
    <d v="2025-06-01T00:00:00"/>
    <n v="2025"/>
    <n v="2"/>
    <s v="Yes"/>
  </r>
  <r>
    <s v="SR-2025-00559"/>
    <x v="4"/>
    <s v="Water Leak"/>
    <s v="High"/>
    <x v="1"/>
    <s v="Ward 5"/>
    <x v="178"/>
    <m/>
    <s v="Email"/>
    <m/>
    <m/>
    <n v="7"/>
    <s v="Pending"/>
    <d v="2025-08-01T00:00:00"/>
    <n v="2025"/>
    <n v="3"/>
    <s v="No"/>
  </r>
  <r>
    <s v="SR-2025-00560"/>
    <x v="3"/>
    <s v="Pothole Repair"/>
    <s v="Medium"/>
    <x v="0"/>
    <s v="Ward 4"/>
    <x v="151"/>
    <d v="2025-11-10T00:00:00"/>
    <s v="In Person"/>
    <n v="5"/>
    <n v="2"/>
    <n v="10"/>
    <s v="Yes"/>
    <d v="2025-11-01T00:00:00"/>
    <n v="2025"/>
    <n v="4"/>
    <s v="Yes"/>
  </r>
  <r>
    <s v="SR-2025-00561"/>
    <x v="0"/>
    <s v="Road Sign Damage"/>
    <s v="High"/>
    <x v="0"/>
    <s v="Ward 1"/>
    <x v="49"/>
    <d v="2025-04-06T00:00:00"/>
    <s v="Phone"/>
    <n v="4"/>
    <n v="6"/>
    <n v="7"/>
    <s v="Yes"/>
    <d v="2025-03-01T00:00:00"/>
    <n v="2025"/>
    <n v="1"/>
    <s v="Yes"/>
  </r>
  <r>
    <s v="SR-2025-00562"/>
    <x v="0"/>
    <s v="Road Sign Damage"/>
    <s v="Low"/>
    <x v="1"/>
    <s v="Ward 5"/>
    <x v="210"/>
    <m/>
    <s v="Phone"/>
    <m/>
    <m/>
    <n v="14"/>
    <s v="Pending"/>
    <d v="2025-09-01T00:00:00"/>
    <n v="2025"/>
    <n v="3"/>
    <s v="No"/>
  </r>
  <r>
    <s v="SR-2025-00563"/>
    <x v="1"/>
    <s v="Property Standards"/>
    <s v="Medium"/>
    <x v="0"/>
    <s v="Ward 1"/>
    <x v="50"/>
    <d v="2025-12-04T00:00:00"/>
    <s v="Mobile App"/>
    <n v="5"/>
    <n v="2"/>
    <n v="10"/>
    <s v="Yes"/>
    <d v="2025-12-01T00:00:00"/>
    <n v="2025"/>
    <n v="4"/>
    <s v="Yes"/>
  </r>
  <r>
    <s v="SR-2025-00564"/>
    <x v="4"/>
    <s v="Sewer Backup"/>
    <s v="Medium"/>
    <x v="0"/>
    <s v="Ward 1"/>
    <x v="283"/>
    <d v="2025-04-23T00:00:00"/>
    <s v="Web"/>
    <n v="1"/>
    <n v="10"/>
    <n v="10"/>
    <s v="Yes"/>
    <d v="2025-04-01T00:00:00"/>
    <n v="2025"/>
    <n v="2"/>
    <s v="Yes"/>
  </r>
  <r>
    <s v="SR-2025-00565"/>
    <x v="1"/>
    <s v="Parking Complaint"/>
    <s v="High"/>
    <x v="0"/>
    <s v="Ward 3"/>
    <x v="38"/>
    <d v="2025-10-29T00:00:00"/>
    <s v="Phone"/>
    <n v="4"/>
    <n v="3"/>
    <n v="7"/>
    <s v="Yes"/>
    <d v="2025-10-01T00:00:00"/>
    <n v="2025"/>
    <n v="4"/>
    <s v="Yes"/>
  </r>
  <r>
    <s v="SR-2025-00566"/>
    <x v="1"/>
    <s v="Property Standards"/>
    <s v="Medium"/>
    <x v="0"/>
    <s v="Ward 5"/>
    <x v="214"/>
    <d v="2025-01-09T00:00:00"/>
    <s v="Web"/>
    <n v="3"/>
    <n v="6"/>
    <n v="10"/>
    <s v="Yes"/>
    <d v="2025-01-01T00:00:00"/>
    <n v="2025"/>
    <n v="1"/>
    <s v="Yes"/>
  </r>
  <r>
    <s v="SR-2025-00567"/>
    <x v="1"/>
    <s v="Noise Complaint"/>
    <s v="Medium"/>
    <x v="0"/>
    <s v="Ward 5"/>
    <x v="35"/>
    <d v="2025-03-11T00:00:00"/>
    <s v="In Person"/>
    <n v="5"/>
    <n v="10"/>
    <n v="10"/>
    <s v="Yes"/>
    <d v="2025-03-01T00:00:00"/>
    <n v="2025"/>
    <n v="1"/>
    <s v="Yes"/>
  </r>
  <r>
    <s v="SR-2025-00568"/>
    <x v="2"/>
    <s v="Green Bin Issue"/>
    <s v="Critical"/>
    <x v="0"/>
    <s v="Ward 4"/>
    <x v="212"/>
    <d v="2025-05-07T00:00:00"/>
    <s v="Email"/>
    <n v="5"/>
    <n v="2"/>
    <n v="3"/>
    <s v="Yes"/>
    <d v="2025-05-01T00:00:00"/>
    <n v="2025"/>
    <n v="2"/>
    <s v="Yes"/>
  </r>
  <r>
    <s v="SR-2025-00569"/>
    <x v="1"/>
    <s v="Noise Complaint"/>
    <s v="Medium"/>
    <x v="0"/>
    <s v="Ward 2"/>
    <x v="96"/>
    <d v="2025-07-20T00:00:00"/>
    <s v="Mobile App"/>
    <n v="5"/>
    <n v="5"/>
    <n v="10"/>
    <s v="Yes"/>
    <d v="2025-07-01T00:00:00"/>
    <n v="2025"/>
    <n v="3"/>
    <s v="Yes"/>
  </r>
  <r>
    <s v="SR-2025-00570"/>
    <x v="4"/>
    <s v="Sewer Backup"/>
    <s v="Medium"/>
    <x v="0"/>
    <s v="Ward 4"/>
    <x v="15"/>
    <d v="2025-05-20T00:00:00"/>
    <s v="Mobile App"/>
    <n v="3"/>
    <n v="5"/>
    <n v="10"/>
    <s v="Yes"/>
    <d v="2025-05-01T00:00:00"/>
    <n v="2025"/>
    <n v="2"/>
    <s v="Yes"/>
  </r>
  <r>
    <s v="SR-2025-00571"/>
    <x v="3"/>
    <s v="Road Damage"/>
    <s v="Medium"/>
    <x v="0"/>
    <s v="Ward 2"/>
    <x v="126"/>
    <d v="2025-10-27T00:00:00"/>
    <s v="Email"/>
    <n v="3"/>
    <n v="6"/>
    <n v="10"/>
    <s v="Yes"/>
    <d v="2025-10-01T00:00:00"/>
    <n v="2025"/>
    <n v="4"/>
    <s v="Yes"/>
  </r>
  <r>
    <s v="SR-2025-00572"/>
    <x v="0"/>
    <s v="Traffic Signal Issue"/>
    <s v="Low"/>
    <x v="0"/>
    <s v="Ward 2"/>
    <x v="284"/>
    <d v="2025-05-22T00:00:00"/>
    <s v="In Person"/>
    <n v="3"/>
    <n v="6"/>
    <n v="14"/>
    <s v="Yes"/>
    <d v="2025-05-01T00:00:00"/>
    <n v="2025"/>
    <n v="2"/>
    <s v="Yes"/>
  </r>
  <r>
    <s v="SR-2025-00573"/>
    <x v="2"/>
    <s v="Recycling Issue"/>
    <s v="High"/>
    <x v="0"/>
    <s v="Ward 4"/>
    <x v="141"/>
    <d v="2025-02-16T00:00:00"/>
    <s v="In Person"/>
    <n v="5"/>
    <n v="6"/>
    <n v="7"/>
    <s v="Yes"/>
    <d v="2025-02-01T00:00:00"/>
    <n v="2025"/>
    <n v="1"/>
    <s v="Yes"/>
  </r>
  <r>
    <s v="SR-2025-00574"/>
    <x v="3"/>
    <s v="Pothole Repair"/>
    <s v="High"/>
    <x v="0"/>
    <s v="Ward 5"/>
    <x v="282"/>
    <d v="2025-06-15T00:00:00"/>
    <s v="Mobile App"/>
    <n v="5"/>
    <n v="4"/>
    <n v="7"/>
    <s v="Yes"/>
    <d v="2025-06-01T00:00:00"/>
    <n v="2025"/>
    <n v="2"/>
    <s v="Yes"/>
  </r>
  <r>
    <s v="SR-2025-00575"/>
    <x v="4"/>
    <s v="Low Water Pressure"/>
    <s v="Critical"/>
    <x v="2"/>
    <s v="Ward 4"/>
    <x v="233"/>
    <m/>
    <s v="Phone"/>
    <m/>
    <m/>
    <n v="3"/>
    <s v="Pending"/>
    <d v="2025-05-01T00:00:00"/>
    <n v="2025"/>
    <n v="2"/>
    <s v="No"/>
  </r>
  <r>
    <s v="SR-2025-00576"/>
    <x v="1"/>
    <s v="Property Standards"/>
    <s v="Low"/>
    <x v="1"/>
    <s v="Ward 5"/>
    <x v="285"/>
    <m/>
    <s v="Web"/>
    <m/>
    <m/>
    <n v="14"/>
    <s v="Pending"/>
    <d v="2025-09-01T00:00:00"/>
    <n v="2025"/>
    <n v="3"/>
    <s v="No"/>
  </r>
  <r>
    <s v="SR-2025-00577"/>
    <x v="1"/>
    <s v="Parking Complaint"/>
    <s v="Medium"/>
    <x v="0"/>
    <s v="Ward 5"/>
    <x v="49"/>
    <d v="2025-04-09T00:00:00"/>
    <s v="Email"/>
    <n v="5"/>
    <n v="9"/>
    <n v="10"/>
    <s v="Yes"/>
    <d v="2025-03-01T00:00:00"/>
    <n v="2025"/>
    <n v="1"/>
    <s v="Yes"/>
  </r>
  <r>
    <s v="SR-2025-00578"/>
    <x v="2"/>
    <s v="Missed Garbage Pickup"/>
    <s v="Low"/>
    <x v="0"/>
    <s v="Ward 5"/>
    <x v="73"/>
    <d v="2025-10-29T00:00:00"/>
    <s v="Mobile App"/>
    <n v="4"/>
    <n v="4"/>
    <n v="14"/>
    <s v="Yes"/>
    <d v="2025-10-01T00:00:00"/>
    <n v="2025"/>
    <n v="4"/>
    <s v="Yes"/>
  </r>
  <r>
    <s v="SR-2025-00579"/>
    <x v="5"/>
    <s v="Grass Cutting"/>
    <s v="Low"/>
    <x v="0"/>
    <s v="Ward 4"/>
    <x v="34"/>
    <d v="2025-11-18T00:00:00"/>
    <s v="Email"/>
    <n v="4"/>
    <n v="8"/>
    <n v="14"/>
    <s v="Yes"/>
    <d v="2025-11-01T00:00:00"/>
    <n v="2025"/>
    <n v="4"/>
    <s v="Yes"/>
  </r>
  <r>
    <s v="SR-2025-00580"/>
    <x v="5"/>
    <s v="Trail Maintenance"/>
    <s v="High"/>
    <x v="0"/>
    <s v="Ward 5"/>
    <x v="27"/>
    <d v="2025-07-28T00:00:00"/>
    <s v="Phone"/>
    <n v="4"/>
    <n v="3"/>
    <n v="7"/>
    <s v="Yes"/>
    <d v="2025-07-01T00:00:00"/>
    <n v="2025"/>
    <n v="3"/>
    <s v="Yes"/>
  </r>
  <r>
    <s v="SR-2025-00581"/>
    <x v="1"/>
    <s v="Property Standards"/>
    <s v="High"/>
    <x v="0"/>
    <s v="Ward 4"/>
    <x v="52"/>
    <d v="2025-05-06T00:00:00"/>
    <s v="Phone"/>
    <n v="4"/>
    <n v="5"/>
    <n v="7"/>
    <s v="Yes"/>
    <d v="2025-05-01T00:00:00"/>
    <n v="2025"/>
    <n v="2"/>
    <s v="Yes"/>
  </r>
  <r>
    <s v="SR-2025-00582"/>
    <x v="5"/>
    <s v="Park Equipment Damage"/>
    <s v="Medium"/>
    <x v="0"/>
    <s v="Ward 5"/>
    <x v="204"/>
    <d v="2025-08-13T00:00:00"/>
    <s v="In Person"/>
    <n v="3"/>
    <n v="9"/>
    <n v="10"/>
    <s v="Yes"/>
    <d v="2025-08-01T00:00:00"/>
    <n v="2025"/>
    <n v="3"/>
    <s v="Yes"/>
  </r>
  <r>
    <s v="SR-2025-00583"/>
    <x v="0"/>
    <s v="Road Sign Damage"/>
    <s v="High"/>
    <x v="0"/>
    <s v="Ward 4"/>
    <x v="169"/>
    <d v="2025-10-22T00:00:00"/>
    <s v="Web"/>
    <n v="4"/>
    <n v="7"/>
    <n v="7"/>
    <s v="Yes"/>
    <d v="2025-10-01T00:00:00"/>
    <n v="2025"/>
    <n v="4"/>
    <s v="Yes"/>
  </r>
  <r>
    <s v="SR-2025-00584"/>
    <x v="0"/>
    <s v="Traffic Signal Issue"/>
    <s v="Low"/>
    <x v="1"/>
    <s v="Ward 1"/>
    <x v="53"/>
    <m/>
    <s v="Email"/>
    <m/>
    <m/>
    <n v="14"/>
    <s v="Pending"/>
    <d v="2025-09-01T00:00:00"/>
    <n v="2025"/>
    <n v="3"/>
    <s v="No"/>
  </r>
  <r>
    <s v="SR-2025-00585"/>
    <x v="0"/>
    <s v="Road Sign Damage"/>
    <s v="Medium"/>
    <x v="0"/>
    <s v="Ward 4"/>
    <x v="201"/>
    <d v="2025-10-19T00:00:00"/>
    <s v="Web"/>
    <n v="4"/>
    <n v="6"/>
    <n v="10"/>
    <s v="Yes"/>
    <d v="2025-10-01T00:00:00"/>
    <n v="2025"/>
    <n v="4"/>
    <s v="Yes"/>
  </r>
  <r>
    <s v="SR-2025-00586"/>
    <x v="2"/>
    <s v="Recycling Issue"/>
    <s v="Medium"/>
    <x v="0"/>
    <s v="Ward 3"/>
    <x v="46"/>
    <d v="2025-10-07T00:00:00"/>
    <s v="Mobile App"/>
    <n v="5"/>
    <n v="4"/>
    <n v="10"/>
    <s v="Yes"/>
    <d v="2025-10-01T00:00:00"/>
    <n v="2025"/>
    <n v="4"/>
    <s v="Yes"/>
  </r>
  <r>
    <s v="SR-2025-00587"/>
    <x v="2"/>
    <s v="Green Bin Issue"/>
    <s v="High"/>
    <x v="0"/>
    <s v="Ward 4"/>
    <x v="141"/>
    <d v="2025-02-14T00:00:00"/>
    <s v="Phone"/>
    <n v="4"/>
    <n v="4"/>
    <n v="7"/>
    <s v="Yes"/>
    <d v="2025-02-01T00:00:00"/>
    <n v="2025"/>
    <n v="1"/>
    <s v="Yes"/>
  </r>
  <r>
    <s v="SR-2025-00588"/>
    <x v="5"/>
    <s v="Grass Cutting"/>
    <s v="Medium"/>
    <x v="0"/>
    <s v="Ward 3"/>
    <x v="213"/>
    <d v="2025-07-30T00:00:00"/>
    <s v="Phone"/>
    <n v="2"/>
    <n v="3"/>
    <n v="10"/>
    <s v="Yes"/>
    <d v="2025-07-01T00:00:00"/>
    <n v="2025"/>
    <n v="3"/>
    <s v="Yes"/>
  </r>
  <r>
    <s v="SR-2025-00589"/>
    <x v="2"/>
    <s v="Illegal Dumping"/>
    <s v="Medium"/>
    <x v="0"/>
    <s v="Ward 4"/>
    <x v="193"/>
    <d v="2025-11-14T00:00:00"/>
    <s v="Mobile App"/>
    <n v="3"/>
    <n v="8"/>
    <n v="10"/>
    <s v="Yes"/>
    <d v="2025-11-01T00:00:00"/>
    <n v="2025"/>
    <n v="4"/>
    <s v="Yes"/>
  </r>
  <r>
    <s v="SR-2025-00590"/>
    <x v="0"/>
    <s v="Traffic Concern"/>
    <s v="Medium"/>
    <x v="0"/>
    <s v="Ward 3"/>
    <x v="286"/>
    <d v="2025-01-16T00:00:00"/>
    <s v="Web"/>
    <n v="5"/>
    <n v="4"/>
    <n v="10"/>
    <s v="Yes"/>
    <d v="2025-01-01T00:00:00"/>
    <n v="2025"/>
    <n v="1"/>
    <s v="Yes"/>
  </r>
  <r>
    <s v="SR-2025-00591"/>
    <x v="5"/>
    <s v="Park Equipment Damage"/>
    <s v="Medium"/>
    <x v="0"/>
    <s v="Ward 4"/>
    <x v="287"/>
    <d v="2025-09-10T00:00:00"/>
    <s v="In Person"/>
    <n v="2"/>
    <n v="10"/>
    <n v="10"/>
    <s v="Yes"/>
    <d v="2025-08-01T00:00:00"/>
    <n v="2025"/>
    <n v="3"/>
    <s v="Yes"/>
  </r>
  <r>
    <s v="SR-2025-00592"/>
    <x v="3"/>
    <s v="Pothole Repair"/>
    <s v="Medium"/>
    <x v="0"/>
    <s v="Ward 2"/>
    <x v="50"/>
    <d v="2025-12-10T00:00:00"/>
    <s v="Mobile App"/>
    <n v="4"/>
    <n v="8"/>
    <n v="10"/>
    <s v="Yes"/>
    <d v="2025-12-01T00:00:00"/>
    <n v="2025"/>
    <n v="4"/>
    <s v="Yes"/>
  </r>
  <r>
    <s v="SR-2025-00593"/>
    <x v="4"/>
    <s v="Low Water Pressure"/>
    <s v="Low"/>
    <x v="1"/>
    <s v="Ward 1"/>
    <x v="59"/>
    <m/>
    <s v="Mobile App"/>
    <m/>
    <m/>
    <n v="14"/>
    <s v="Pending"/>
    <d v="2025-01-01T00:00:00"/>
    <n v="2025"/>
    <n v="1"/>
    <s v="No"/>
  </r>
  <r>
    <s v="SR-2025-00594"/>
    <x v="2"/>
    <s v="Green Bin Issue"/>
    <s v="Medium"/>
    <x v="2"/>
    <s v="Ward 5"/>
    <x v="288"/>
    <m/>
    <s v="Email"/>
    <m/>
    <m/>
    <n v="10"/>
    <s v="Pending"/>
    <d v="2025-05-01T00:00:00"/>
    <n v="2025"/>
    <n v="2"/>
    <s v="No"/>
  </r>
  <r>
    <s v="SR-2025-00595"/>
    <x v="5"/>
    <s v="Park Equipment Damage"/>
    <s v="Medium"/>
    <x v="0"/>
    <s v="Ward 5"/>
    <x v="66"/>
    <d v="2025-11-30T00:00:00"/>
    <s v="Mobile App"/>
    <n v="4"/>
    <n v="8"/>
    <n v="10"/>
    <s v="Yes"/>
    <d v="2025-11-01T00:00:00"/>
    <n v="2025"/>
    <n v="4"/>
    <s v="Yes"/>
  </r>
  <r>
    <s v="SR-2025-00596"/>
    <x v="2"/>
    <s v="Green Bin Issue"/>
    <s v="Medium"/>
    <x v="1"/>
    <s v="Ward 3"/>
    <x v="131"/>
    <m/>
    <s v="Mobile App"/>
    <m/>
    <m/>
    <n v="10"/>
    <s v="Pending"/>
    <d v="2025-08-01T00:00:00"/>
    <n v="2025"/>
    <n v="3"/>
    <s v="No"/>
  </r>
  <r>
    <s v="SR-2025-00597"/>
    <x v="4"/>
    <s v="Sewer Backup"/>
    <s v="Low"/>
    <x v="0"/>
    <s v="Ward 3"/>
    <x v="289"/>
    <d v="2025-10-10T00:00:00"/>
    <s v="Mobile App"/>
    <n v="5"/>
    <n v="15"/>
    <n v="14"/>
    <s v="No"/>
    <d v="2025-09-01T00:00:00"/>
    <n v="2025"/>
    <n v="3"/>
    <s v="Yes"/>
  </r>
  <r>
    <s v="SR-2025-00598"/>
    <x v="4"/>
    <s v="Water Leak"/>
    <s v="Medium"/>
    <x v="0"/>
    <s v="Ward 4"/>
    <x v="285"/>
    <d v="2025-09-08T00:00:00"/>
    <s v="Mobile App"/>
    <n v="1"/>
    <n v="6"/>
    <n v="10"/>
    <s v="Yes"/>
    <d v="2025-09-01T00:00:00"/>
    <n v="2025"/>
    <n v="3"/>
    <s v="Yes"/>
  </r>
  <r>
    <s v="SR-2025-00599"/>
    <x v="1"/>
    <s v="Property Standards"/>
    <s v="High"/>
    <x v="0"/>
    <s v="Ward 4"/>
    <x v="290"/>
    <d v="2025-04-11T00:00:00"/>
    <s v="Email"/>
    <n v="5"/>
    <n v="4"/>
    <n v="7"/>
    <s v="Yes"/>
    <d v="2025-04-01T00:00:00"/>
    <n v="2025"/>
    <n v="2"/>
    <s v="Yes"/>
  </r>
  <r>
    <s v="SR-2025-00600"/>
    <x v="5"/>
    <s v="Park Equipment Damage"/>
    <s v="High"/>
    <x v="0"/>
    <s v="Ward 4"/>
    <x v="91"/>
    <d v="2025-07-15T00:00:00"/>
    <s v="Phone"/>
    <n v="3"/>
    <n v="2"/>
    <n v="7"/>
    <s v="Yes"/>
    <d v="2025-07-01T00:00:00"/>
    <n v="2025"/>
    <n v="3"/>
    <s v="Yes"/>
  </r>
  <r>
    <s v="SR-2025-00601"/>
    <x v="1"/>
    <s v="Parking Complaint"/>
    <s v="Medium"/>
    <x v="1"/>
    <s v="Ward 4"/>
    <x v="68"/>
    <m/>
    <s v="Phone"/>
    <m/>
    <m/>
    <n v="10"/>
    <s v="Pending"/>
    <d v="2025-05-01T00:00:00"/>
    <n v="2025"/>
    <n v="2"/>
    <s v="No"/>
  </r>
  <r>
    <s v="SR-2025-00602"/>
    <x v="3"/>
    <s v="Road Damage"/>
    <s v="Low"/>
    <x v="0"/>
    <s v="Ward 5"/>
    <x v="267"/>
    <d v="2025-09-03T00:00:00"/>
    <s v="Email"/>
    <n v="4"/>
    <n v="12"/>
    <n v="14"/>
    <s v="Yes"/>
    <d v="2025-08-01T00:00:00"/>
    <n v="2025"/>
    <n v="3"/>
    <s v="Yes"/>
  </r>
  <r>
    <s v="SR-2025-00603"/>
    <x v="5"/>
    <s v="Grass Cutting"/>
    <s v="Low"/>
    <x v="0"/>
    <s v="Ward 1"/>
    <x v="194"/>
    <d v="2025-10-04T00:00:00"/>
    <s v="Mobile App"/>
    <n v="3"/>
    <n v="3"/>
    <n v="14"/>
    <s v="Yes"/>
    <d v="2025-10-01T00:00:00"/>
    <n v="2025"/>
    <n v="4"/>
    <s v="Yes"/>
  </r>
  <r>
    <s v="SR-2025-00604"/>
    <x v="2"/>
    <s v="Recycling Issue"/>
    <s v="High"/>
    <x v="0"/>
    <s v="Ward 4"/>
    <x v="1"/>
    <d v="2025-05-01T00:00:00"/>
    <s v="Phone"/>
    <n v="3"/>
    <n v="1"/>
    <n v="7"/>
    <s v="Yes"/>
    <d v="2025-04-01T00:00:00"/>
    <n v="2025"/>
    <n v="2"/>
    <s v="Yes"/>
  </r>
  <r>
    <s v="SR-2025-00605"/>
    <x v="2"/>
    <s v="Green Bin Issue"/>
    <s v="Medium"/>
    <x v="1"/>
    <s v="Ward 4"/>
    <x v="291"/>
    <m/>
    <s v="Web"/>
    <m/>
    <m/>
    <n v="10"/>
    <s v="Pending"/>
    <d v="2025-07-01T00:00:00"/>
    <n v="2025"/>
    <n v="3"/>
    <s v="No"/>
  </r>
  <r>
    <s v="SR-2025-00606"/>
    <x v="2"/>
    <s v="Missed Garbage Pickup"/>
    <s v="High"/>
    <x v="2"/>
    <s v="Ward 3"/>
    <x v="187"/>
    <m/>
    <s v="Email"/>
    <m/>
    <m/>
    <n v="7"/>
    <s v="Pending"/>
    <d v="2025-01-01T00:00:00"/>
    <n v="2025"/>
    <n v="1"/>
    <s v="No"/>
  </r>
  <r>
    <s v="SR-2025-00607"/>
    <x v="3"/>
    <s v="Snow Removal"/>
    <s v="Low"/>
    <x v="2"/>
    <s v="Ward 4"/>
    <x v="292"/>
    <m/>
    <s v="Web"/>
    <m/>
    <m/>
    <n v="14"/>
    <s v="Pending"/>
    <d v="2025-05-01T00:00:00"/>
    <n v="2025"/>
    <n v="2"/>
    <s v="No"/>
  </r>
  <r>
    <s v="SR-2025-00608"/>
    <x v="3"/>
    <s v="Road Damage"/>
    <s v="Medium"/>
    <x v="2"/>
    <s v="Ward 1"/>
    <x v="219"/>
    <m/>
    <s v="Phone"/>
    <m/>
    <m/>
    <n v="10"/>
    <s v="Pending"/>
    <d v="2025-05-01T00:00:00"/>
    <n v="2025"/>
    <n v="2"/>
    <s v="No"/>
  </r>
  <r>
    <s v="SR-2025-00609"/>
    <x v="4"/>
    <s v="Water Leak"/>
    <s v="Medium"/>
    <x v="2"/>
    <s v="Ward 4"/>
    <x v="287"/>
    <m/>
    <s v="Mobile App"/>
    <m/>
    <m/>
    <n v="10"/>
    <s v="Pending"/>
    <d v="2025-08-01T00:00:00"/>
    <n v="2025"/>
    <n v="3"/>
    <s v="No"/>
  </r>
  <r>
    <s v="SR-2025-00610"/>
    <x v="2"/>
    <s v="Recycling Issue"/>
    <s v="Medium"/>
    <x v="0"/>
    <s v="Ward 4"/>
    <x v="19"/>
    <d v="2025-10-19T00:00:00"/>
    <s v="Mobile App"/>
    <n v="3"/>
    <n v="10"/>
    <n v="10"/>
    <s v="Yes"/>
    <d v="2025-10-01T00:00:00"/>
    <n v="2025"/>
    <n v="4"/>
    <s v="Yes"/>
  </r>
  <r>
    <s v="SR-2025-00611"/>
    <x v="5"/>
    <s v="Grass Cutting"/>
    <s v="High"/>
    <x v="2"/>
    <s v="Ward 1"/>
    <x v="186"/>
    <m/>
    <s v="Phone"/>
    <m/>
    <m/>
    <n v="7"/>
    <s v="Pending"/>
    <d v="2025-04-01T00:00:00"/>
    <n v="2025"/>
    <n v="2"/>
    <s v="No"/>
  </r>
  <r>
    <s v="SR-2025-00612"/>
    <x v="0"/>
    <s v="Traffic Concern"/>
    <s v="Medium"/>
    <x v="0"/>
    <s v="Ward 2"/>
    <x v="75"/>
    <d v="2025-05-25T00:00:00"/>
    <s v="Web"/>
    <n v="4"/>
    <n v="3"/>
    <n v="10"/>
    <s v="Yes"/>
    <d v="2025-05-01T00:00:00"/>
    <n v="2025"/>
    <n v="2"/>
    <s v="Yes"/>
  </r>
  <r>
    <s v="SR-2025-00613"/>
    <x v="3"/>
    <s v="Snow Removal"/>
    <s v="Medium"/>
    <x v="0"/>
    <s v="Ward 1"/>
    <x v="179"/>
    <d v="2025-02-20T00:00:00"/>
    <s v="In Person"/>
    <n v="3"/>
    <n v="5"/>
    <n v="10"/>
    <s v="Yes"/>
    <d v="2025-02-01T00:00:00"/>
    <n v="2025"/>
    <n v="1"/>
    <s v="Yes"/>
  </r>
  <r>
    <s v="SR-2025-00614"/>
    <x v="2"/>
    <s v="Missed Garbage Pickup"/>
    <s v="Low"/>
    <x v="0"/>
    <s v="Ward 2"/>
    <x v="293"/>
    <d v="2026-01-06T00:00:00"/>
    <s v="Email"/>
    <n v="5"/>
    <n v="11"/>
    <n v="14"/>
    <s v="Yes"/>
    <d v="2025-12-01T00:00:00"/>
    <n v="2025"/>
    <n v="4"/>
    <s v="Yes"/>
  </r>
  <r>
    <s v="SR-2025-00615"/>
    <x v="5"/>
    <s v="Grass Cutting"/>
    <s v="Critical"/>
    <x v="1"/>
    <s v="Ward 4"/>
    <x v="190"/>
    <m/>
    <s v="Phone"/>
    <m/>
    <m/>
    <n v="3"/>
    <s v="Pending"/>
    <d v="2025-06-01T00:00:00"/>
    <n v="2025"/>
    <n v="2"/>
    <s v="No"/>
  </r>
  <r>
    <s v="SR-2025-00616"/>
    <x v="3"/>
    <s v="Snow Removal"/>
    <s v="Medium"/>
    <x v="0"/>
    <s v="Ward 5"/>
    <x v="39"/>
    <d v="2025-01-30T00:00:00"/>
    <s v="Mobile App"/>
    <n v="5"/>
    <n v="9"/>
    <n v="10"/>
    <s v="Yes"/>
    <d v="2025-01-01T00:00:00"/>
    <n v="2025"/>
    <n v="1"/>
    <s v="Yes"/>
  </r>
  <r>
    <s v="SR-2025-00617"/>
    <x v="1"/>
    <s v="Animal Complaint"/>
    <s v="Low"/>
    <x v="0"/>
    <s v="Ward 3"/>
    <x v="294"/>
    <d v="2025-07-06T00:00:00"/>
    <s v="In Person"/>
    <n v="5"/>
    <n v="8"/>
    <n v="14"/>
    <s v="Yes"/>
    <d v="2025-06-01T00:00:00"/>
    <n v="2025"/>
    <n v="2"/>
    <s v="Yes"/>
  </r>
  <r>
    <s v="SR-2025-00618"/>
    <x v="1"/>
    <s v="Property Standards"/>
    <s v="Low"/>
    <x v="0"/>
    <s v="Ward 4"/>
    <x v="137"/>
    <d v="2025-06-08T00:00:00"/>
    <s v="Web"/>
    <n v="4"/>
    <n v="7"/>
    <n v="14"/>
    <s v="Yes"/>
    <d v="2025-06-01T00:00:00"/>
    <n v="2025"/>
    <n v="2"/>
    <s v="Yes"/>
  </r>
  <r>
    <s v="SR-2025-00619"/>
    <x v="0"/>
    <s v="Traffic Concern"/>
    <s v="High"/>
    <x v="2"/>
    <s v="Ward 3"/>
    <x v="240"/>
    <m/>
    <s v="In Person"/>
    <m/>
    <m/>
    <n v="7"/>
    <s v="Pending"/>
    <d v="2025-11-01T00:00:00"/>
    <n v="2025"/>
    <n v="4"/>
    <s v="No"/>
  </r>
  <r>
    <s v="SR-2025-00620"/>
    <x v="5"/>
    <s v="Grass Cutting"/>
    <s v="High"/>
    <x v="0"/>
    <s v="Ward 5"/>
    <x v="46"/>
    <d v="2025-10-10T00:00:00"/>
    <s v="Email"/>
    <n v="4"/>
    <n v="7"/>
    <n v="7"/>
    <s v="Yes"/>
    <d v="2025-10-01T00:00:00"/>
    <n v="2025"/>
    <n v="4"/>
    <s v="Yes"/>
  </r>
  <r>
    <s v="SR-2025-00621"/>
    <x v="1"/>
    <s v="Property Standards"/>
    <s v="Medium"/>
    <x v="0"/>
    <s v="Ward 5"/>
    <x v="189"/>
    <d v="2025-12-02T00:00:00"/>
    <s v="Web"/>
    <n v="3"/>
    <n v="7"/>
    <n v="10"/>
    <s v="Yes"/>
    <d v="2025-11-01T00:00:00"/>
    <n v="2025"/>
    <n v="4"/>
    <s v="Yes"/>
  </r>
  <r>
    <s v="SR-2025-00622"/>
    <x v="3"/>
    <s v="Road Damage"/>
    <s v="Low"/>
    <x v="0"/>
    <s v="Ward 1"/>
    <x v="295"/>
    <d v="2025-03-06T00:00:00"/>
    <s v="In Person"/>
    <n v="3"/>
    <n v="10"/>
    <n v="14"/>
    <s v="Yes"/>
    <d v="2025-02-01T00:00:00"/>
    <n v="2025"/>
    <n v="1"/>
    <s v="Yes"/>
  </r>
  <r>
    <s v="SR-2025-00623"/>
    <x v="0"/>
    <s v="Traffic Concern"/>
    <s v="Medium"/>
    <x v="0"/>
    <s v="Ward 2"/>
    <x v="293"/>
    <d v="2026-01-01T00:00:00"/>
    <s v="In Person"/>
    <n v="2"/>
    <n v="6"/>
    <n v="10"/>
    <s v="Yes"/>
    <d v="2025-12-01T00:00:00"/>
    <n v="2025"/>
    <n v="4"/>
    <s v="Yes"/>
  </r>
  <r>
    <s v="SR-2025-00624"/>
    <x v="0"/>
    <s v="Streetlight Repair"/>
    <s v="Low"/>
    <x v="2"/>
    <s v="Ward 4"/>
    <x v="50"/>
    <m/>
    <s v="Web"/>
    <m/>
    <m/>
    <n v="14"/>
    <s v="Pending"/>
    <d v="2025-12-01T00:00:00"/>
    <n v="2025"/>
    <n v="4"/>
    <s v="No"/>
  </r>
  <r>
    <s v="SR-2025-00625"/>
    <x v="4"/>
    <s v="Water Leak"/>
    <s v="Medium"/>
    <x v="1"/>
    <s v="Ward 3"/>
    <x v="116"/>
    <m/>
    <s v="Web"/>
    <m/>
    <m/>
    <n v="10"/>
    <s v="Pending"/>
    <d v="2025-08-01T00:00:00"/>
    <n v="2025"/>
    <n v="3"/>
    <s v="No"/>
  </r>
  <r>
    <s v="SR-2025-00626"/>
    <x v="1"/>
    <s v="Parking Complaint"/>
    <s v="Medium"/>
    <x v="0"/>
    <s v="Ward 5"/>
    <x v="81"/>
    <d v="2025-06-08T00:00:00"/>
    <s v="Web"/>
    <n v="5"/>
    <n v="3"/>
    <n v="10"/>
    <s v="Yes"/>
    <d v="2025-06-01T00:00:00"/>
    <n v="2025"/>
    <n v="2"/>
    <s v="Yes"/>
  </r>
  <r>
    <s v="SR-2025-00627"/>
    <x v="3"/>
    <s v="Road Damage"/>
    <s v="Medium"/>
    <x v="0"/>
    <s v="Ward 2"/>
    <x v="144"/>
    <d v="2025-10-02T00:00:00"/>
    <s v="In Person"/>
    <n v="4"/>
    <n v="5"/>
    <n v="10"/>
    <s v="Yes"/>
    <d v="2025-09-01T00:00:00"/>
    <n v="2025"/>
    <n v="3"/>
    <s v="Yes"/>
  </r>
  <r>
    <s v="SR-2025-00628"/>
    <x v="0"/>
    <s v="Traffic Concern"/>
    <s v="High"/>
    <x v="1"/>
    <s v="Ward 3"/>
    <x v="249"/>
    <m/>
    <s v="Email"/>
    <m/>
    <m/>
    <n v="7"/>
    <s v="Pending"/>
    <d v="2025-10-01T00:00:00"/>
    <n v="2025"/>
    <n v="4"/>
    <s v="No"/>
  </r>
  <r>
    <s v="SR-2025-00629"/>
    <x v="0"/>
    <s v="Traffic Concern"/>
    <s v="High"/>
    <x v="0"/>
    <s v="Ward 3"/>
    <x v="149"/>
    <d v="2025-04-08T00:00:00"/>
    <s v="Phone"/>
    <n v="4"/>
    <n v="5"/>
    <n v="7"/>
    <s v="Yes"/>
    <d v="2025-04-01T00:00:00"/>
    <n v="2025"/>
    <n v="2"/>
    <s v="Yes"/>
  </r>
  <r>
    <s v="SR-2025-00630"/>
    <x v="1"/>
    <s v="Animal Complaint"/>
    <s v="High"/>
    <x v="2"/>
    <s v="Ward 3"/>
    <x v="19"/>
    <m/>
    <s v="Mobile App"/>
    <m/>
    <m/>
    <n v="7"/>
    <s v="Pending"/>
    <d v="2025-10-01T00:00:00"/>
    <n v="2025"/>
    <n v="4"/>
    <s v="No"/>
  </r>
  <r>
    <s v="SR-2025-00631"/>
    <x v="4"/>
    <s v="Water Quality Concern"/>
    <s v="High"/>
    <x v="0"/>
    <s v="Ward 4"/>
    <x v="272"/>
    <d v="2025-05-09T00:00:00"/>
    <s v="In Person"/>
    <n v="4"/>
    <n v="5"/>
    <n v="7"/>
    <s v="Yes"/>
    <d v="2025-05-01T00:00:00"/>
    <n v="2025"/>
    <n v="2"/>
    <s v="Yes"/>
  </r>
  <r>
    <s v="SR-2025-00632"/>
    <x v="0"/>
    <s v="Road Sign Damage"/>
    <s v="Medium"/>
    <x v="0"/>
    <s v="Ward 3"/>
    <x v="180"/>
    <d v="2025-07-25T00:00:00"/>
    <s v="In Person"/>
    <n v="5"/>
    <n v="2"/>
    <n v="10"/>
    <s v="Yes"/>
    <d v="2025-07-01T00:00:00"/>
    <n v="2025"/>
    <n v="3"/>
    <s v="Yes"/>
  </r>
  <r>
    <s v="SR-2025-00633"/>
    <x v="3"/>
    <s v="Road Damage"/>
    <s v="Critical"/>
    <x v="0"/>
    <s v="Ward 3"/>
    <x v="156"/>
    <d v="2025-06-04T00:00:00"/>
    <s v="Web"/>
    <n v="3"/>
    <n v="1"/>
    <n v="3"/>
    <s v="Yes"/>
    <d v="2025-06-01T00:00:00"/>
    <n v="2025"/>
    <n v="2"/>
    <s v="Yes"/>
  </r>
  <r>
    <s v="SR-2025-00634"/>
    <x v="0"/>
    <s v="Road Sign Damage"/>
    <s v="High"/>
    <x v="0"/>
    <s v="Ward 1"/>
    <x v="296"/>
    <d v="2025-10-25T00:00:00"/>
    <s v="Email"/>
    <n v="3"/>
    <n v="5"/>
    <n v="7"/>
    <s v="Yes"/>
    <d v="2025-10-01T00:00:00"/>
    <n v="2025"/>
    <n v="4"/>
    <s v="Yes"/>
  </r>
  <r>
    <s v="SR-2025-00635"/>
    <x v="2"/>
    <s v="Recycling Issue"/>
    <s v="Low"/>
    <x v="0"/>
    <s v="Ward 3"/>
    <x v="38"/>
    <d v="2025-11-01T00:00:00"/>
    <s v="Web"/>
    <n v="3"/>
    <n v="6"/>
    <n v="14"/>
    <s v="Yes"/>
    <d v="2025-10-01T00:00:00"/>
    <n v="2025"/>
    <n v="4"/>
    <s v="Yes"/>
  </r>
  <r>
    <s v="SR-2025-00636"/>
    <x v="1"/>
    <s v="Animal Complaint"/>
    <s v="Medium"/>
    <x v="0"/>
    <s v="Ward 2"/>
    <x v="153"/>
    <d v="2025-02-16T00:00:00"/>
    <s v="Email"/>
    <n v="5"/>
    <n v="7"/>
    <n v="10"/>
    <s v="Yes"/>
    <d v="2025-02-01T00:00:00"/>
    <n v="2025"/>
    <n v="1"/>
    <s v="Yes"/>
  </r>
  <r>
    <s v="SR-2025-00637"/>
    <x v="0"/>
    <s v="Streetlight Repair"/>
    <s v="Medium"/>
    <x v="0"/>
    <s v="Ward 1"/>
    <x v="249"/>
    <d v="2025-10-31T00:00:00"/>
    <s v="Mobile App"/>
    <n v="2"/>
    <n v="8"/>
    <n v="10"/>
    <s v="Yes"/>
    <d v="2025-10-01T00:00:00"/>
    <n v="2025"/>
    <n v="4"/>
    <s v="Yes"/>
  </r>
  <r>
    <s v="SR-2025-00638"/>
    <x v="2"/>
    <s v="Green Bin Issue"/>
    <s v="Medium"/>
    <x v="2"/>
    <s v="Ward 5"/>
    <x v="297"/>
    <m/>
    <s v="Web"/>
    <m/>
    <m/>
    <n v="10"/>
    <s v="Pending"/>
    <d v="2025-04-01T00:00:00"/>
    <n v="2025"/>
    <n v="2"/>
    <s v="No"/>
  </r>
  <r>
    <s v="SR-2025-00639"/>
    <x v="0"/>
    <s v="Traffic Concern"/>
    <s v="Low"/>
    <x v="0"/>
    <s v="Ward 3"/>
    <x v="165"/>
    <d v="2025-06-24T00:00:00"/>
    <s v="In Person"/>
    <n v="4"/>
    <n v="11"/>
    <n v="14"/>
    <s v="Yes"/>
    <d v="2025-06-01T00:00:00"/>
    <n v="2025"/>
    <n v="2"/>
    <s v="Yes"/>
  </r>
  <r>
    <s v="SR-2025-00640"/>
    <x v="0"/>
    <s v="Traffic Signal Issue"/>
    <s v="Low"/>
    <x v="0"/>
    <s v="Ward 5"/>
    <x v="60"/>
    <d v="2025-07-31T00:00:00"/>
    <s v="In Person"/>
    <n v="5"/>
    <n v="10"/>
    <n v="14"/>
    <s v="Yes"/>
    <d v="2025-07-01T00:00:00"/>
    <n v="2025"/>
    <n v="3"/>
    <s v="Yes"/>
  </r>
  <r>
    <s v="SR-2025-00641"/>
    <x v="3"/>
    <s v="Road Damage"/>
    <s v="Medium"/>
    <x v="1"/>
    <s v="Ward 2"/>
    <x v="110"/>
    <m/>
    <s v="Mobile App"/>
    <m/>
    <m/>
    <n v="10"/>
    <s v="Pending"/>
    <d v="2025-03-01T00:00:00"/>
    <n v="2025"/>
    <n v="1"/>
    <s v="No"/>
  </r>
  <r>
    <s v="SR-2025-00642"/>
    <x v="3"/>
    <s v="Snow Removal"/>
    <s v="Medium"/>
    <x v="0"/>
    <s v="Ward 5"/>
    <x v="43"/>
    <d v="2025-07-30T00:00:00"/>
    <s v="Email"/>
    <n v="2"/>
    <n v="6"/>
    <n v="10"/>
    <s v="Yes"/>
    <d v="2025-07-01T00:00:00"/>
    <n v="2025"/>
    <n v="3"/>
    <s v="Yes"/>
  </r>
  <r>
    <s v="SR-2025-00643"/>
    <x v="0"/>
    <s v="Traffic Signal Issue"/>
    <s v="High"/>
    <x v="0"/>
    <s v="Ward 5"/>
    <x v="129"/>
    <d v="2025-04-16T00:00:00"/>
    <s v="Phone"/>
    <n v="4"/>
    <n v="4"/>
    <n v="7"/>
    <s v="Yes"/>
    <d v="2025-04-01T00:00:00"/>
    <n v="2025"/>
    <n v="2"/>
    <s v="Yes"/>
  </r>
  <r>
    <s v="SR-2025-00644"/>
    <x v="1"/>
    <s v="Property Standards"/>
    <s v="Low"/>
    <x v="0"/>
    <s v="Ward 5"/>
    <x v="124"/>
    <d v="2025-08-17T00:00:00"/>
    <s v="Web"/>
    <n v="5"/>
    <n v="8"/>
    <n v="14"/>
    <s v="Yes"/>
    <d v="2025-08-01T00:00:00"/>
    <n v="2025"/>
    <n v="3"/>
    <s v="Yes"/>
  </r>
  <r>
    <s v="SR-2025-00645"/>
    <x v="3"/>
    <s v="Snow Removal"/>
    <s v="Medium"/>
    <x v="0"/>
    <s v="Ward 1"/>
    <x v="256"/>
    <d v="2025-06-21T00:00:00"/>
    <s v="Mobile App"/>
    <n v="4"/>
    <n v="7"/>
    <n v="10"/>
    <s v="Yes"/>
    <d v="2025-06-01T00:00:00"/>
    <n v="2025"/>
    <n v="2"/>
    <s v="Yes"/>
  </r>
  <r>
    <s v="SR-2025-00646"/>
    <x v="5"/>
    <s v="Grass Cutting"/>
    <s v="Medium"/>
    <x v="2"/>
    <s v="Ward 5"/>
    <x v="131"/>
    <m/>
    <s v="Phone"/>
    <m/>
    <m/>
    <n v="10"/>
    <s v="Pending"/>
    <d v="2025-08-01T00:00:00"/>
    <n v="2025"/>
    <n v="3"/>
    <s v="No"/>
  </r>
  <r>
    <s v="SR-2025-00647"/>
    <x v="4"/>
    <s v="Water Leak"/>
    <s v="High"/>
    <x v="0"/>
    <s v="Ward 1"/>
    <x v="255"/>
    <d v="2025-12-20T00:00:00"/>
    <s v="Web"/>
    <n v="3"/>
    <n v="3"/>
    <n v="7"/>
    <s v="Yes"/>
    <d v="2025-12-01T00:00:00"/>
    <n v="2025"/>
    <n v="4"/>
    <s v="Yes"/>
  </r>
  <r>
    <s v="SR-2025-00648"/>
    <x v="0"/>
    <s v="Streetlight Repair"/>
    <s v="Low"/>
    <x v="0"/>
    <s v="Ward 1"/>
    <x v="110"/>
    <d v="2025-03-24T00:00:00"/>
    <s v="Mobile App"/>
    <n v="1"/>
    <n v="7"/>
    <n v="14"/>
    <s v="Yes"/>
    <d v="2025-03-01T00:00:00"/>
    <n v="2025"/>
    <n v="1"/>
    <s v="Yes"/>
  </r>
  <r>
    <s v="SR-2025-00649"/>
    <x v="4"/>
    <s v="Water Quality Concern"/>
    <s v="Low"/>
    <x v="0"/>
    <s v="Ward 5"/>
    <x v="46"/>
    <d v="2025-10-09T00:00:00"/>
    <s v="Mobile App"/>
    <n v="3"/>
    <n v="6"/>
    <n v="14"/>
    <s v="Yes"/>
    <d v="2025-10-01T00:00:00"/>
    <n v="2025"/>
    <n v="4"/>
    <s v="Yes"/>
  </r>
  <r>
    <s v="SR-2025-00650"/>
    <x v="1"/>
    <s v="Animal Complaint"/>
    <s v="Medium"/>
    <x v="2"/>
    <s v="Ward 1"/>
    <x v="118"/>
    <m/>
    <s v="Email"/>
    <m/>
    <m/>
    <n v="10"/>
    <s v="Pending"/>
    <d v="2025-12-01T00:00:00"/>
    <n v="2025"/>
    <n v="4"/>
    <s v="No"/>
  </r>
  <r>
    <s v="SR-2025-00651"/>
    <x v="1"/>
    <s v="Noise Complaint"/>
    <s v="Medium"/>
    <x v="0"/>
    <s v="Ward 1"/>
    <x v="283"/>
    <d v="2025-04-19T00:00:00"/>
    <s v="Web"/>
    <n v="2"/>
    <n v="6"/>
    <n v="10"/>
    <s v="Yes"/>
    <d v="2025-04-01T00:00:00"/>
    <n v="2025"/>
    <n v="2"/>
    <s v="Yes"/>
  </r>
  <r>
    <s v="SR-2025-00652"/>
    <x v="4"/>
    <s v="Sewer Backup"/>
    <s v="Medium"/>
    <x v="2"/>
    <s v="Ward 1"/>
    <x v="76"/>
    <m/>
    <s v="Web"/>
    <m/>
    <m/>
    <n v="10"/>
    <s v="Pending"/>
    <d v="2025-07-01T00:00:00"/>
    <n v="2025"/>
    <n v="3"/>
    <s v="No"/>
  </r>
  <r>
    <s v="SR-2025-00653"/>
    <x v="2"/>
    <s v="Green Bin Issue"/>
    <s v="Low"/>
    <x v="0"/>
    <s v="Ward 4"/>
    <x v="160"/>
    <d v="2026-01-03T00:00:00"/>
    <s v="In Person"/>
    <n v="5"/>
    <n v="4"/>
    <n v="14"/>
    <s v="Yes"/>
    <d v="2025-12-01T00:00:00"/>
    <n v="2025"/>
    <n v="4"/>
    <s v="Yes"/>
  </r>
  <r>
    <s v="SR-2025-00654"/>
    <x v="1"/>
    <s v="Noise Complaint"/>
    <s v="Low"/>
    <x v="0"/>
    <s v="Ward 1"/>
    <x v="10"/>
    <d v="2025-09-03T00:00:00"/>
    <s v="Web"/>
    <n v="5"/>
    <n v="11"/>
    <n v="14"/>
    <s v="Yes"/>
    <d v="2025-08-01T00:00:00"/>
    <n v="2025"/>
    <n v="3"/>
    <s v="Yes"/>
  </r>
  <r>
    <s v="SR-2025-00655"/>
    <x v="5"/>
    <s v="Grass Cutting"/>
    <s v="Medium"/>
    <x v="0"/>
    <s v="Ward 3"/>
    <x v="298"/>
    <d v="2025-03-24T00:00:00"/>
    <s v="Mobile App"/>
    <n v="4"/>
    <n v="2"/>
    <n v="10"/>
    <s v="Yes"/>
    <d v="2025-03-01T00:00:00"/>
    <n v="2025"/>
    <n v="1"/>
    <s v="Yes"/>
  </r>
  <r>
    <s v="SR-2025-00656"/>
    <x v="0"/>
    <s v="Road Sign Damage"/>
    <s v="Low"/>
    <x v="2"/>
    <s v="Ward 3"/>
    <x v="299"/>
    <m/>
    <s v="Web"/>
    <m/>
    <m/>
    <n v="14"/>
    <s v="Pending"/>
    <d v="2025-09-01T00:00:00"/>
    <n v="2025"/>
    <n v="3"/>
    <s v="No"/>
  </r>
  <r>
    <s v="SR-2025-00657"/>
    <x v="0"/>
    <s v="Road Sign Damage"/>
    <s v="High"/>
    <x v="2"/>
    <s v="Ward 5"/>
    <x v="63"/>
    <m/>
    <s v="Mobile App"/>
    <m/>
    <m/>
    <n v="7"/>
    <s v="Pending"/>
    <d v="2025-01-01T00:00:00"/>
    <n v="2025"/>
    <n v="1"/>
    <s v="No"/>
  </r>
  <r>
    <s v="SR-2025-00658"/>
    <x v="5"/>
    <s v="Park Equipment Damage"/>
    <s v="Medium"/>
    <x v="0"/>
    <s v="Ward 5"/>
    <x v="241"/>
    <d v="2025-03-15T00:00:00"/>
    <s v="In Person"/>
    <n v="5"/>
    <n v="3"/>
    <n v="10"/>
    <s v="Yes"/>
    <d v="2025-03-01T00:00:00"/>
    <n v="2025"/>
    <n v="1"/>
    <s v="Yes"/>
  </r>
  <r>
    <s v="SR-2025-00659"/>
    <x v="0"/>
    <s v="Traffic Signal Issue"/>
    <s v="Medium"/>
    <x v="0"/>
    <s v="Ward 3"/>
    <x v="150"/>
    <d v="2025-08-13T00:00:00"/>
    <s v="Email"/>
    <n v="5"/>
    <n v="6"/>
    <n v="10"/>
    <s v="Yes"/>
    <d v="2025-08-01T00:00:00"/>
    <n v="2025"/>
    <n v="3"/>
    <s v="Yes"/>
  </r>
  <r>
    <s v="SR-2025-00660"/>
    <x v="1"/>
    <s v="Property Standards"/>
    <s v="Low"/>
    <x v="0"/>
    <s v="Ward 2"/>
    <x v="300"/>
    <d v="2025-10-18T00:00:00"/>
    <s v="Mobile App"/>
    <n v="5"/>
    <n v="13"/>
    <n v="14"/>
    <s v="Yes"/>
    <d v="2025-10-01T00:00:00"/>
    <n v="2025"/>
    <n v="4"/>
    <s v="Yes"/>
  </r>
  <r>
    <s v="SR-2025-00661"/>
    <x v="0"/>
    <s v="Traffic Signal Issue"/>
    <s v="Medium"/>
    <x v="2"/>
    <s v="Ward 5"/>
    <x v="140"/>
    <m/>
    <s v="Phone"/>
    <m/>
    <m/>
    <n v="10"/>
    <s v="Pending"/>
    <d v="2025-03-01T00:00:00"/>
    <n v="2025"/>
    <n v="1"/>
    <s v="No"/>
  </r>
  <r>
    <s v="SR-2025-00662"/>
    <x v="2"/>
    <s v="Missed Garbage Pickup"/>
    <s v="Medium"/>
    <x v="2"/>
    <s v="Ward 2"/>
    <x v="220"/>
    <m/>
    <s v="Mobile App"/>
    <m/>
    <m/>
    <n v="10"/>
    <s v="Pending"/>
    <d v="2025-03-01T00:00:00"/>
    <n v="2025"/>
    <n v="1"/>
    <s v="No"/>
  </r>
  <r>
    <s v="SR-2025-00663"/>
    <x v="5"/>
    <s v="Tree Maintenance"/>
    <s v="High"/>
    <x v="2"/>
    <s v="Ward 4"/>
    <x v="86"/>
    <m/>
    <s v="Mobile App"/>
    <m/>
    <m/>
    <n v="7"/>
    <s v="Pending"/>
    <d v="2025-07-01T00:00:00"/>
    <n v="2025"/>
    <n v="3"/>
    <s v="No"/>
  </r>
  <r>
    <s v="SR-2025-00664"/>
    <x v="4"/>
    <s v="Sewer Backup"/>
    <s v="Low"/>
    <x v="0"/>
    <s v="Ward 5"/>
    <x v="23"/>
    <d v="2025-03-14T00:00:00"/>
    <s v="In Person"/>
    <n v="1"/>
    <n v="5"/>
    <n v="14"/>
    <s v="Yes"/>
    <d v="2025-03-01T00:00:00"/>
    <n v="2025"/>
    <n v="1"/>
    <s v="Yes"/>
  </r>
  <r>
    <s v="SR-2025-00665"/>
    <x v="2"/>
    <s v="Recycling Issue"/>
    <s v="Medium"/>
    <x v="0"/>
    <s v="Ward 4"/>
    <x v="301"/>
    <d v="2025-01-21T00:00:00"/>
    <s v="Phone"/>
    <n v="2"/>
    <n v="7"/>
    <n v="10"/>
    <s v="Yes"/>
    <d v="2025-01-01T00:00:00"/>
    <n v="2025"/>
    <n v="1"/>
    <s v="Yes"/>
  </r>
  <r>
    <s v="SR-2025-00666"/>
    <x v="1"/>
    <s v="Animal Complaint"/>
    <s v="High"/>
    <x v="0"/>
    <s v="Ward 2"/>
    <x v="145"/>
    <d v="2025-07-22T00:00:00"/>
    <s v="Phone"/>
    <n v="4"/>
    <n v="4"/>
    <n v="7"/>
    <s v="Yes"/>
    <d v="2025-07-01T00:00:00"/>
    <n v="2025"/>
    <n v="3"/>
    <s v="Yes"/>
  </r>
  <r>
    <s v="SR-2025-00667"/>
    <x v="5"/>
    <s v="Tree Maintenance"/>
    <s v="Medium"/>
    <x v="2"/>
    <s v="Ward 4"/>
    <x v="67"/>
    <m/>
    <s v="Phone"/>
    <m/>
    <m/>
    <n v="10"/>
    <s v="Pending"/>
    <d v="2025-05-01T00:00:00"/>
    <n v="2025"/>
    <n v="2"/>
    <s v="No"/>
  </r>
  <r>
    <s v="SR-2025-00668"/>
    <x v="0"/>
    <s v="Traffic Signal Issue"/>
    <s v="High"/>
    <x v="0"/>
    <s v="Ward 3"/>
    <x v="134"/>
    <d v="2025-08-20T00:00:00"/>
    <s v="Email"/>
    <n v="4"/>
    <n v="7"/>
    <n v="7"/>
    <s v="Yes"/>
    <d v="2025-08-01T00:00:00"/>
    <n v="2025"/>
    <n v="3"/>
    <s v="Yes"/>
  </r>
  <r>
    <s v="SR-2025-00669"/>
    <x v="5"/>
    <s v="Trail Maintenance"/>
    <s v="Medium"/>
    <x v="0"/>
    <s v="Ward 5"/>
    <x v="203"/>
    <d v="2025-07-21T00:00:00"/>
    <s v="In Person"/>
    <n v="4"/>
    <n v="7"/>
    <n v="10"/>
    <s v="Yes"/>
    <d v="2025-07-01T00:00:00"/>
    <n v="2025"/>
    <n v="3"/>
    <s v="Yes"/>
  </r>
  <r>
    <s v="SR-2025-00670"/>
    <x v="1"/>
    <s v="Noise Complaint"/>
    <s v="Medium"/>
    <x v="0"/>
    <s v="Ward 4"/>
    <x v="125"/>
    <d v="2025-01-27T00:00:00"/>
    <s v="Web"/>
    <n v="4"/>
    <n v="5"/>
    <n v="10"/>
    <s v="Yes"/>
    <d v="2025-01-01T00:00:00"/>
    <n v="2025"/>
    <n v="1"/>
    <s v="Yes"/>
  </r>
  <r>
    <s v="SR-2025-00671"/>
    <x v="1"/>
    <s v="Animal Complaint"/>
    <s v="Medium"/>
    <x v="0"/>
    <s v="Ward 4"/>
    <x v="239"/>
    <d v="2025-01-31T00:00:00"/>
    <s v="Mobile App"/>
    <n v="4"/>
    <n v="5"/>
    <n v="10"/>
    <s v="Yes"/>
    <d v="2025-01-01T00:00:00"/>
    <n v="2025"/>
    <n v="1"/>
    <s v="Yes"/>
  </r>
  <r>
    <s v="SR-2025-00672"/>
    <x v="2"/>
    <s v="Green Bin Issue"/>
    <s v="Low"/>
    <x v="0"/>
    <s v="Ward 2"/>
    <x v="216"/>
    <d v="2025-02-11T00:00:00"/>
    <s v="Email"/>
    <n v="4"/>
    <n v="14"/>
    <n v="14"/>
    <s v="Yes"/>
    <d v="2025-01-01T00:00:00"/>
    <n v="2025"/>
    <n v="1"/>
    <s v="Yes"/>
  </r>
  <r>
    <s v="SR-2025-00673"/>
    <x v="0"/>
    <s v="Traffic Concern"/>
    <s v="Low"/>
    <x v="0"/>
    <s v="Ward 5"/>
    <x v="149"/>
    <d v="2025-04-18T00:00:00"/>
    <s v="Phone"/>
    <n v="4"/>
    <n v="15"/>
    <n v="14"/>
    <s v="No"/>
    <d v="2025-04-01T00:00:00"/>
    <n v="2025"/>
    <n v="2"/>
    <s v="Yes"/>
  </r>
  <r>
    <s v="SR-2025-00674"/>
    <x v="4"/>
    <s v="Water Quality Concern"/>
    <s v="Medium"/>
    <x v="0"/>
    <s v="Ward 1"/>
    <x v="85"/>
    <d v="2025-08-26T00:00:00"/>
    <s v="Mobile App"/>
    <n v="5"/>
    <n v="5"/>
    <n v="10"/>
    <s v="Yes"/>
    <d v="2025-08-01T00:00:00"/>
    <n v="2025"/>
    <n v="3"/>
    <s v="Yes"/>
  </r>
  <r>
    <s v="SR-2025-00675"/>
    <x v="2"/>
    <s v="Recycling Issue"/>
    <s v="High"/>
    <x v="0"/>
    <s v="Ward 3"/>
    <x v="87"/>
    <d v="2025-03-06T00:00:00"/>
    <s v="Web"/>
    <n v="4"/>
    <n v="6"/>
    <n v="7"/>
    <s v="Yes"/>
    <d v="2025-02-01T00:00:00"/>
    <n v="2025"/>
    <n v="1"/>
    <s v="Yes"/>
  </r>
  <r>
    <s v="SR-2025-00676"/>
    <x v="1"/>
    <s v="Animal Complaint"/>
    <s v="High"/>
    <x v="2"/>
    <s v="Ward 2"/>
    <x v="34"/>
    <m/>
    <s v="Email"/>
    <m/>
    <m/>
    <n v="7"/>
    <s v="Pending"/>
    <d v="2025-11-01T00:00:00"/>
    <n v="2025"/>
    <n v="4"/>
    <s v="No"/>
  </r>
  <r>
    <s v="SR-2025-00677"/>
    <x v="1"/>
    <s v="Animal Complaint"/>
    <s v="Low"/>
    <x v="0"/>
    <s v="Ward 2"/>
    <x v="181"/>
    <d v="2025-07-03T00:00:00"/>
    <s v="Phone"/>
    <n v="5"/>
    <n v="12"/>
    <n v="14"/>
    <s v="Yes"/>
    <d v="2025-06-01T00:00:00"/>
    <n v="2025"/>
    <n v="2"/>
    <s v="Yes"/>
  </r>
  <r>
    <s v="SR-2025-00678"/>
    <x v="5"/>
    <s v="Park Equipment Damage"/>
    <s v="High"/>
    <x v="0"/>
    <s v="Ward 4"/>
    <x v="188"/>
    <d v="2025-06-10T00:00:00"/>
    <s v="Mobile App"/>
    <n v="5"/>
    <n v="3"/>
    <n v="7"/>
    <s v="Yes"/>
    <d v="2025-06-01T00:00:00"/>
    <n v="2025"/>
    <n v="2"/>
    <s v="Yes"/>
  </r>
  <r>
    <s v="SR-2025-00679"/>
    <x v="0"/>
    <s v="Traffic Signal Issue"/>
    <s v="Low"/>
    <x v="0"/>
    <s v="Ward 3"/>
    <x v="265"/>
    <d v="2025-04-17T00:00:00"/>
    <s v="Web"/>
    <n v="4"/>
    <n v="3"/>
    <n v="14"/>
    <s v="Yes"/>
    <d v="2025-04-01T00:00:00"/>
    <n v="2025"/>
    <n v="2"/>
    <s v="Yes"/>
  </r>
  <r>
    <s v="SR-2025-00680"/>
    <x v="4"/>
    <s v="Water Quality Concern"/>
    <s v="High"/>
    <x v="0"/>
    <s v="Ward 2"/>
    <x v="214"/>
    <d v="2025-01-08T00:00:00"/>
    <s v="Phone"/>
    <n v="5"/>
    <n v="5"/>
    <n v="7"/>
    <s v="Yes"/>
    <d v="2025-01-01T00:00:00"/>
    <n v="2025"/>
    <n v="1"/>
    <s v="Yes"/>
  </r>
  <r>
    <s v="SR-2025-00681"/>
    <x v="1"/>
    <s v="Animal Complaint"/>
    <s v="Medium"/>
    <x v="0"/>
    <s v="Ward 5"/>
    <x v="225"/>
    <d v="2025-11-06T00:00:00"/>
    <s v="Mobile App"/>
    <n v="3"/>
    <n v="2"/>
    <n v="10"/>
    <s v="Yes"/>
    <d v="2025-11-01T00:00:00"/>
    <n v="2025"/>
    <n v="4"/>
    <s v="Yes"/>
  </r>
  <r>
    <s v="SR-2025-00682"/>
    <x v="1"/>
    <s v="Property Standards"/>
    <s v="Low"/>
    <x v="0"/>
    <s v="Ward 1"/>
    <x v="251"/>
    <d v="2025-12-09T00:00:00"/>
    <s v="In Person"/>
    <n v="1"/>
    <n v="8"/>
    <n v="14"/>
    <s v="Yes"/>
    <d v="2025-12-01T00:00:00"/>
    <n v="2025"/>
    <n v="4"/>
    <s v="Yes"/>
  </r>
  <r>
    <s v="SR-2025-00683"/>
    <x v="1"/>
    <s v="Parking Complaint"/>
    <s v="Medium"/>
    <x v="0"/>
    <s v="Ward 2"/>
    <x v="25"/>
    <d v="2025-03-05T00:00:00"/>
    <s v="Mobile App"/>
    <n v="5"/>
    <n v="8"/>
    <n v="10"/>
    <s v="Yes"/>
    <d v="2025-02-01T00:00:00"/>
    <n v="2025"/>
    <n v="1"/>
    <s v="Yes"/>
  </r>
  <r>
    <s v="SR-2025-00684"/>
    <x v="1"/>
    <s v="Property Standards"/>
    <s v="Critical"/>
    <x v="1"/>
    <s v="Ward 1"/>
    <x v="76"/>
    <m/>
    <s v="Web"/>
    <m/>
    <m/>
    <n v="3"/>
    <s v="Pending"/>
    <d v="2025-07-01T00:00:00"/>
    <n v="2025"/>
    <n v="3"/>
    <s v="No"/>
  </r>
  <r>
    <s v="SR-2025-00685"/>
    <x v="2"/>
    <s v="Illegal Dumping"/>
    <s v="Medium"/>
    <x v="0"/>
    <s v="Ward 1"/>
    <x v="29"/>
    <d v="2025-02-12T00:00:00"/>
    <s v="Mobile App"/>
    <n v="5"/>
    <n v="8"/>
    <n v="10"/>
    <s v="Yes"/>
    <d v="2025-02-01T00:00:00"/>
    <n v="2025"/>
    <n v="1"/>
    <s v="Yes"/>
  </r>
  <r>
    <s v="SR-2025-00686"/>
    <x v="4"/>
    <s v="Low Water Pressure"/>
    <s v="Low"/>
    <x v="1"/>
    <s v="Ward 5"/>
    <x v="117"/>
    <m/>
    <s v="Email"/>
    <m/>
    <m/>
    <n v="14"/>
    <s v="Pending"/>
    <d v="2025-06-01T00:00:00"/>
    <n v="2025"/>
    <n v="2"/>
    <s v="No"/>
  </r>
  <r>
    <s v="SR-2025-00687"/>
    <x v="1"/>
    <s v="Property Standards"/>
    <s v="Medium"/>
    <x v="0"/>
    <s v="Ward 4"/>
    <x v="25"/>
    <d v="2025-03-07T00:00:00"/>
    <s v="In Person"/>
    <n v="5"/>
    <n v="10"/>
    <n v="10"/>
    <s v="Yes"/>
    <d v="2025-02-01T00:00:00"/>
    <n v="2025"/>
    <n v="1"/>
    <s v="Yes"/>
  </r>
  <r>
    <s v="SR-2025-00688"/>
    <x v="0"/>
    <s v="Road Sign Damage"/>
    <s v="Medium"/>
    <x v="1"/>
    <s v="Ward 5"/>
    <x v="229"/>
    <m/>
    <s v="In Person"/>
    <m/>
    <m/>
    <n v="10"/>
    <s v="Pending"/>
    <d v="2025-05-01T00:00:00"/>
    <n v="2025"/>
    <n v="2"/>
    <s v="No"/>
  </r>
  <r>
    <s v="SR-2025-00689"/>
    <x v="1"/>
    <s v="Parking Complaint"/>
    <s v="High"/>
    <x v="0"/>
    <s v="Ward 4"/>
    <x v="148"/>
    <d v="2025-09-17T00:00:00"/>
    <s v="Email"/>
    <n v="5"/>
    <n v="5"/>
    <n v="7"/>
    <s v="Yes"/>
    <d v="2025-09-01T00:00:00"/>
    <n v="2025"/>
    <n v="3"/>
    <s v="Yes"/>
  </r>
  <r>
    <s v="SR-2025-00690"/>
    <x v="5"/>
    <s v="Park Equipment Damage"/>
    <s v="High"/>
    <x v="2"/>
    <s v="Ward 1"/>
    <x v="143"/>
    <m/>
    <s v="Web"/>
    <m/>
    <m/>
    <n v="7"/>
    <s v="Pending"/>
    <d v="2025-01-01T00:00:00"/>
    <n v="2025"/>
    <n v="1"/>
    <s v="No"/>
  </r>
  <r>
    <s v="SR-2025-00691"/>
    <x v="4"/>
    <s v="Water Leak"/>
    <s v="High"/>
    <x v="0"/>
    <s v="Ward 3"/>
    <x v="205"/>
    <d v="2025-11-16T00:00:00"/>
    <s v="Mobile App"/>
    <n v="4"/>
    <n v="4"/>
    <n v="7"/>
    <s v="Yes"/>
    <d v="2025-11-01T00:00:00"/>
    <n v="2025"/>
    <n v="4"/>
    <s v="Yes"/>
  </r>
  <r>
    <s v="SR-2025-00692"/>
    <x v="1"/>
    <s v="Property Standards"/>
    <s v="Low"/>
    <x v="0"/>
    <s v="Ward 3"/>
    <x v="264"/>
    <d v="2025-06-01T00:00:00"/>
    <s v="Mobile App"/>
    <n v="5"/>
    <n v="7"/>
    <n v="14"/>
    <s v="Yes"/>
    <d v="2025-05-01T00:00:00"/>
    <n v="2025"/>
    <n v="2"/>
    <s v="Yes"/>
  </r>
  <r>
    <s v="SR-2025-00693"/>
    <x v="1"/>
    <s v="Parking Complaint"/>
    <s v="High"/>
    <x v="0"/>
    <s v="Ward 5"/>
    <x v="170"/>
    <d v="2025-06-23T00:00:00"/>
    <s v="In Person"/>
    <n v="4"/>
    <n v="3"/>
    <n v="7"/>
    <s v="Yes"/>
    <d v="2025-06-01T00:00:00"/>
    <n v="2025"/>
    <n v="2"/>
    <s v="Yes"/>
  </r>
  <r>
    <s v="SR-2025-00694"/>
    <x v="3"/>
    <s v="Road Damage"/>
    <s v="Low"/>
    <x v="1"/>
    <s v="Ward 4"/>
    <x v="191"/>
    <m/>
    <s v="Email"/>
    <m/>
    <m/>
    <n v="14"/>
    <s v="Pending"/>
    <d v="2025-12-01T00:00:00"/>
    <n v="2025"/>
    <n v="4"/>
    <s v="No"/>
  </r>
  <r>
    <s v="SR-2025-00695"/>
    <x v="3"/>
    <s v="Road Damage"/>
    <s v="Medium"/>
    <x v="0"/>
    <s v="Ward 4"/>
    <x v="302"/>
    <d v="2025-10-09T00:00:00"/>
    <s v="Web"/>
    <n v="4"/>
    <n v="7"/>
    <n v="10"/>
    <s v="Yes"/>
    <d v="2025-10-01T00:00:00"/>
    <n v="2025"/>
    <n v="4"/>
    <s v="Yes"/>
  </r>
  <r>
    <s v="SR-2025-00696"/>
    <x v="1"/>
    <s v="Parking Complaint"/>
    <s v="Medium"/>
    <x v="0"/>
    <s v="Ward 5"/>
    <x v="28"/>
    <d v="2025-10-22T00:00:00"/>
    <s v="Mobile App"/>
    <n v="1"/>
    <n v="10"/>
    <n v="10"/>
    <s v="Yes"/>
    <d v="2025-10-01T00:00:00"/>
    <n v="2025"/>
    <n v="4"/>
    <s v="Yes"/>
  </r>
  <r>
    <s v="SR-2025-00697"/>
    <x v="2"/>
    <s v="Missed Garbage Pickup"/>
    <s v="Critical"/>
    <x v="0"/>
    <s v="Ward 5"/>
    <x v="63"/>
    <d v="2025-01-18T00:00:00"/>
    <s v="Phone"/>
    <n v="5"/>
    <n v="2"/>
    <n v="3"/>
    <s v="Yes"/>
    <d v="2025-01-01T00:00:00"/>
    <n v="2025"/>
    <n v="1"/>
    <s v="Yes"/>
  </r>
  <r>
    <s v="SR-2025-00698"/>
    <x v="1"/>
    <s v="Animal Complaint"/>
    <s v="Low"/>
    <x v="0"/>
    <s v="Ward 1"/>
    <x v="188"/>
    <d v="2025-06-21T00:00:00"/>
    <s v="Mobile App"/>
    <n v="5"/>
    <n v="14"/>
    <n v="14"/>
    <s v="Yes"/>
    <d v="2025-06-01T00:00:00"/>
    <n v="2025"/>
    <n v="2"/>
    <s v="Yes"/>
  </r>
  <r>
    <s v="SR-2025-00699"/>
    <x v="4"/>
    <s v="Water Leak"/>
    <s v="Medium"/>
    <x v="0"/>
    <s v="Ward 3"/>
    <x v="132"/>
    <d v="2025-08-26T00:00:00"/>
    <s v="Phone"/>
    <n v="3"/>
    <n v="6"/>
    <n v="10"/>
    <s v="Yes"/>
    <d v="2025-08-01T00:00:00"/>
    <n v="2025"/>
    <n v="3"/>
    <s v="Yes"/>
  </r>
  <r>
    <s v="SR-2025-00700"/>
    <x v="3"/>
    <s v="Sidewalk Damage"/>
    <s v="High"/>
    <x v="1"/>
    <s v="Ward 4"/>
    <x v="222"/>
    <m/>
    <s v="In Person"/>
    <m/>
    <m/>
    <n v="7"/>
    <s v="Pending"/>
    <d v="2025-02-01T00:00:00"/>
    <n v="2025"/>
    <n v="1"/>
    <s v="No"/>
  </r>
  <r>
    <s v="SR-2025-00701"/>
    <x v="3"/>
    <s v="Snow Removal"/>
    <s v="High"/>
    <x v="0"/>
    <s v="Ward 5"/>
    <x v="70"/>
    <d v="2025-06-28T00:00:00"/>
    <s v="Mobile App"/>
    <n v="5"/>
    <n v="4"/>
    <n v="7"/>
    <s v="Yes"/>
    <d v="2025-06-01T00:00:00"/>
    <n v="2025"/>
    <n v="2"/>
    <s v="Yes"/>
  </r>
  <r>
    <s v="SR-2025-00702"/>
    <x v="2"/>
    <s v="Recycling Issue"/>
    <s v="High"/>
    <x v="0"/>
    <s v="Ward 2"/>
    <x v="303"/>
    <d v="2025-09-28T00:00:00"/>
    <s v="Web"/>
    <n v="5"/>
    <n v="6"/>
    <n v="7"/>
    <s v="Yes"/>
    <d v="2025-09-01T00:00:00"/>
    <n v="2025"/>
    <n v="3"/>
    <s v="Yes"/>
  </r>
  <r>
    <s v="SR-2025-00703"/>
    <x v="4"/>
    <s v="Water Quality Concern"/>
    <s v="High"/>
    <x v="0"/>
    <s v="Ward 5"/>
    <x v="214"/>
    <d v="2025-01-06T00:00:00"/>
    <s v="Web"/>
    <n v="5"/>
    <n v="3"/>
    <n v="7"/>
    <s v="Yes"/>
    <d v="2025-01-01T00:00:00"/>
    <n v="2025"/>
    <n v="1"/>
    <s v="Yes"/>
  </r>
  <r>
    <s v="SR-2025-00704"/>
    <x v="2"/>
    <s v="Green Bin Issue"/>
    <s v="High"/>
    <x v="0"/>
    <s v="Ward 5"/>
    <x v="90"/>
    <d v="2025-12-10T00:00:00"/>
    <s v="Mobile App"/>
    <n v="4"/>
    <n v="6"/>
    <n v="7"/>
    <s v="Yes"/>
    <d v="2025-12-01T00:00:00"/>
    <n v="2025"/>
    <n v="4"/>
    <s v="Yes"/>
  </r>
  <r>
    <s v="SR-2025-00705"/>
    <x v="0"/>
    <s v="Traffic Signal Issue"/>
    <s v="Medium"/>
    <x v="0"/>
    <s v="Ward 4"/>
    <x v="75"/>
    <d v="2025-06-01T00:00:00"/>
    <s v="Web"/>
    <n v="4"/>
    <n v="10"/>
    <n v="10"/>
    <s v="Yes"/>
    <d v="2025-05-01T00:00:00"/>
    <n v="2025"/>
    <n v="2"/>
    <s v="Yes"/>
  </r>
  <r>
    <s v="SR-2025-00706"/>
    <x v="2"/>
    <s v="Recycling Issue"/>
    <s v="Low"/>
    <x v="0"/>
    <s v="Ward 2"/>
    <x v="266"/>
    <d v="2025-11-26T00:00:00"/>
    <s v="In Person"/>
    <n v="4"/>
    <n v="11"/>
    <n v="14"/>
    <s v="Yes"/>
    <d v="2025-11-01T00:00:00"/>
    <n v="2025"/>
    <n v="4"/>
    <s v="Yes"/>
  </r>
  <r>
    <s v="SR-2025-00707"/>
    <x v="2"/>
    <s v="Illegal Dumping"/>
    <s v="Medium"/>
    <x v="2"/>
    <s v="Ward 5"/>
    <x v="304"/>
    <m/>
    <s v="Phone"/>
    <m/>
    <m/>
    <n v="10"/>
    <s v="Pending"/>
    <d v="2025-05-01T00:00:00"/>
    <n v="2025"/>
    <n v="2"/>
    <s v="No"/>
  </r>
  <r>
    <s v="SR-2025-00708"/>
    <x v="5"/>
    <s v="Tree Maintenance"/>
    <s v="Medium"/>
    <x v="2"/>
    <s v="Ward 4"/>
    <x v="62"/>
    <m/>
    <s v="Web"/>
    <m/>
    <m/>
    <n v="10"/>
    <s v="Pending"/>
    <d v="2025-10-01T00:00:00"/>
    <n v="2025"/>
    <n v="4"/>
    <s v="No"/>
  </r>
  <r>
    <s v="SR-2025-00709"/>
    <x v="5"/>
    <s v="Tree Maintenance"/>
    <s v="Medium"/>
    <x v="0"/>
    <s v="Ward 4"/>
    <x v="295"/>
    <d v="2025-03-04T00:00:00"/>
    <s v="Email"/>
    <n v="2"/>
    <n v="8"/>
    <n v="10"/>
    <s v="Yes"/>
    <d v="2025-02-01T00:00:00"/>
    <n v="2025"/>
    <n v="1"/>
    <s v="Yes"/>
  </r>
  <r>
    <s v="SR-2025-00710"/>
    <x v="5"/>
    <s v="Trail Maintenance"/>
    <s v="Medium"/>
    <x v="0"/>
    <s v="Ward 4"/>
    <x v="129"/>
    <d v="2025-04-22T00:00:00"/>
    <s v="In Person"/>
    <n v="2"/>
    <n v="10"/>
    <n v="10"/>
    <s v="Yes"/>
    <d v="2025-04-01T00:00:00"/>
    <n v="2025"/>
    <n v="2"/>
    <s v="Yes"/>
  </r>
  <r>
    <s v="SR-2025-00711"/>
    <x v="5"/>
    <s v="Tree Maintenance"/>
    <s v="High"/>
    <x v="2"/>
    <s v="Ward 1"/>
    <x v="13"/>
    <m/>
    <s v="Email"/>
    <m/>
    <m/>
    <n v="7"/>
    <s v="Pending"/>
    <d v="2025-08-01T00:00:00"/>
    <n v="2025"/>
    <n v="3"/>
    <s v="No"/>
  </r>
  <r>
    <s v="SR-2025-00712"/>
    <x v="2"/>
    <s v="Green Bin Issue"/>
    <s v="Medium"/>
    <x v="2"/>
    <s v="Ward 5"/>
    <x v="305"/>
    <m/>
    <s v="Mobile App"/>
    <m/>
    <m/>
    <n v="10"/>
    <s v="Pending"/>
    <d v="2025-03-01T00:00:00"/>
    <n v="2025"/>
    <n v="1"/>
    <s v="No"/>
  </r>
  <r>
    <s v="SR-2025-00713"/>
    <x v="2"/>
    <s v="Green Bin Issue"/>
    <s v="Low"/>
    <x v="2"/>
    <s v="Ward 3"/>
    <x v="22"/>
    <m/>
    <s v="Email"/>
    <m/>
    <m/>
    <n v="14"/>
    <s v="Pending"/>
    <d v="2025-06-01T00:00:00"/>
    <n v="2025"/>
    <n v="2"/>
    <s v="No"/>
  </r>
  <r>
    <s v="SR-2025-00714"/>
    <x v="4"/>
    <s v="Water Leak"/>
    <s v="Low"/>
    <x v="0"/>
    <s v="Ward 3"/>
    <x v="159"/>
    <d v="2025-09-13T00:00:00"/>
    <s v="Mobile App"/>
    <n v="5"/>
    <n v="10"/>
    <n v="14"/>
    <s v="Yes"/>
    <d v="2025-09-01T00:00:00"/>
    <n v="2025"/>
    <n v="3"/>
    <s v="Yes"/>
  </r>
  <r>
    <s v="SR-2025-00715"/>
    <x v="1"/>
    <s v="Property Standards"/>
    <s v="Medium"/>
    <x v="0"/>
    <s v="Ward 1"/>
    <x v="295"/>
    <d v="2025-03-03T00:00:00"/>
    <s v="Mobile App"/>
    <n v="4"/>
    <n v="7"/>
    <n v="10"/>
    <s v="Yes"/>
    <d v="2025-02-01T00:00:00"/>
    <n v="2025"/>
    <n v="1"/>
    <s v="Yes"/>
  </r>
  <r>
    <s v="SR-2025-00716"/>
    <x v="1"/>
    <s v="Animal Complaint"/>
    <s v="Medium"/>
    <x v="0"/>
    <s v="Ward 4"/>
    <x v="240"/>
    <d v="2025-11-19T00:00:00"/>
    <s v="Email"/>
    <n v="4"/>
    <n v="5"/>
    <n v="10"/>
    <s v="Yes"/>
    <d v="2025-11-01T00:00:00"/>
    <n v="2025"/>
    <n v="4"/>
    <s v="Yes"/>
  </r>
  <r>
    <s v="SR-2025-00717"/>
    <x v="3"/>
    <s v="Sidewalk Damage"/>
    <s v="Low"/>
    <x v="0"/>
    <s v="Ward 5"/>
    <x v="124"/>
    <d v="2025-08-24T00:00:00"/>
    <s v="Mobile App"/>
    <n v="5"/>
    <n v="15"/>
    <n v="14"/>
    <s v="No"/>
    <d v="2025-08-01T00:00:00"/>
    <n v="2025"/>
    <n v="3"/>
    <s v="Yes"/>
  </r>
  <r>
    <s v="SR-2025-00718"/>
    <x v="1"/>
    <s v="Property Standards"/>
    <s v="Low"/>
    <x v="0"/>
    <s v="Ward 1"/>
    <x v="200"/>
    <d v="2026-01-12T00:00:00"/>
    <s v="In Person"/>
    <n v="5"/>
    <n v="12"/>
    <n v="14"/>
    <s v="Yes"/>
    <d v="2025-12-01T00:00:00"/>
    <n v="2025"/>
    <n v="4"/>
    <s v="Yes"/>
  </r>
  <r>
    <s v="SR-2025-00719"/>
    <x v="1"/>
    <s v="Animal Complaint"/>
    <s v="Medium"/>
    <x v="0"/>
    <s v="Ward 4"/>
    <x v="155"/>
    <d v="2025-08-20T00:00:00"/>
    <s v="Web"/>
    <n v="4"/>
    <n v="4"/>
    <n v="10"/>
    <s v="Yes"/>
    <d v="2025-08-01T00:00:00"/>
    <n v="2025"/>
    <n v="3"/>
    <s v="Yes"/>
  </r>
  <r>
    <s v="SR-2025-00720"/>
    <x v="1"/>
    <s v="Noise Complaint"/>
    <s v="Medium"/>
    <x v="0"/>
    <s v="Ward 1"/>
    <x v="203"/>
    <d v="2025-07-21T00:00:00"/>
    <s v="Web"/>
    <n v="4"/>
    <n v="7"/>
    <n v="10"/>
    <s v="Yes"/>
    <d v="2025-07-01T00:00:00"/>
    <n v="2025"/>
    <n v="3"/>
    <s v="Yes"/>
  </r>
  <r>
    <s v="SR-2025-00721"/>
    <x v="5"/>
    <s v="Park Equipment Damage"/>
    <s v="High"/>
    <x v="2"/>
    <s v="Ward 1"/>
    <x v="66"/>
    <m/>
    <s v="Phone"/>
    <m/>
    <m/>
    <n v="7"/>
    <s v="Pending"/>
    <d v="2025-11-01T00:00:00"/>
    <n v="2025"/>
    <n v="4"/>
    <s v="No"/>
  </r>
  <r>
    <s v="SR-2025-00722"/>
    <x v="0"/>
    <s v="Traffic Signal Issue"/>
    <s v="Medium"/>
    <x v="0"/>
    <s v="Ward 3"/>
    <x v="205"/>
    <d v="2025-11-21T00:00:00"/>
    <s v="Mobile App"/>
    <n v="3"/>
    <n v="9"/>
    <n v="10"/>
    <s v="Yes"/>
    <d v="2025-11-01T00:00:00"/>
    <n v="2025"/>
    <n v="4"/>
    <s v="Yes"/>
  </r>
  <r>
    <s v="SR-2025-00723"/>
    <x v="1"/>
    <s v="Parking Complaint"/>
    <s v="High"/>
    <x v="2"/>
    <s v="Ward 1"/>
    <x v="176"/>
    <m/>
    <s v="In Person"/>
    <m/>
    <m/>
    <n v="7"/>
    <s v="Pending"/>
    <d v="2025-06-01T00:00:00"/>
    <n v="2025"/>
    <n v="2"/>
    <s v="No"/>
  </r>
  <r>
    <s v="SR-2025-00724"/>
    <x v="3"/>
    <s v="Snow Removal"/>
    <s v="High"/>
    <x v="1"/>
    <s v="Ward 3"/>
    <x v="306"/>
    <m/>
    <s v="In Person"/>
    <m/>
    <m/>
    <n v="7"/>
    <s v="Pending"/>
    <d v="2025-02-01T00:00:00"/>
    <n v="2025"/>
    <n v="1"/>
    <s v="No"/>
  </r>
  <r>
    <s v="SR-2025-00725"/>
    <x v="3"/>
    <s v="Pothole Repair"/>
    <s v="High"/>
    <x v="1"/>
    <s v="Ward 1"/>
    <x v="242"/>
    <m/>
    <s v="Mobile App"/>
    <m/>
    <m/>
    <n v="7"/>
    <s v="Pending"/>
    <d v="2025-07-01T00:00:00"/>
    <n v="2025"/>
    <n v="3"/>
    <s v="No"/>
  </r>
  <r>
    <s v="SR-2025-00726"/>
    <x v="3"/>
    <s v="Road Damage"/>
    <s v="Medium"/>
    <x v="0"/>
    <s v="Ward 4"/>
    <x v="56"/>
    <d v="2025-11-24T00:00:00"/>
    <s v="Email"/>
    <n v="5"/>
    <n v="7"/>
    <n v="10"/>
    <s v="Yes"/>
    <d v="2025-11-01T00:00:00"/>
    <n v="2025"/>
    <n v="4"/>
    <s v="Yes"/>
  </r>
  <r>
    <s v="SR-2025-00727"/>
    <x v="4"/>
    <s v="Low Water Pressure"/>
    <s v="Medium"/>
    <x v="0"/>
    <s v="Ward 3"/>
    <x v="290"/>
    <d v="2025-04-17T00:00:00"/>
    <s v="Email"/>
    <n v="4"/>
    <n v="10"/>
    <n v="10"/>
    <s v="Yes"/>
    <d v="2025-04-01T00:00:00"/>
    <n v="2025"/>
    <n v="2"/>
    <s v="Yes"/>
  </r>
  <r>
    <s v="SR-2025-00728"/>
    <x v="5"/>
    <s v="Grass Cutting"/>
    <s v="Critical"/>
    <x v="0"/>
    <s v="Ward 1"/>
    <x v="55"/>
    <d v="2025-03-10T00:00:00"/>
    <s v="Phone"/>
    <n v="2"/>
    <n v="0"/>
    <n v="3"/>
    <s v="Yes"/>
    <d v="2025-03-01T00:00:00"/>
    <n v="2025"/>
    <n v="1"/>
    <s v="Yes"/>
  </r>
  <r>
    <s v="SR-2025-00729"/>
    <x v="0"/>
    <s v="Traffic Concern"/>
    <s v="Medium"/>
    <x v="2"/>
    <s v="Ward 1"/>
    <x v="275"/>
    <m/>
    <s v="Phone"/>
    <m/>
    <m/>
    <n v="10"/>
    <s v="Pending"/>
    <d v="2025-03-01T00:00:00"/>
    <n v="2025"/>
    <n v="1"/>
    <s v="No"/>
  </r>
  <r>
    <s v="SR-2025-00730"/>
    <x v="0"/>
    <s v="Traffic Concern"/>
    <s v="High"/>
    <x v="2"/>
    <s v="Ward 5"/>
    <x v="197"/>
    <m/>
    <s v="Email"/>
    <m/>
    <m/>
    <n v="7"/>
    <s v="Pending"/>
    <d v="2025-12-01T00:00:00"/>
    <n v="2025"/>
    <n v="4"/>
    <s v="No"/>
  </r>
  <r>
    <s v="SR-2025-00731"/>
    <x v="1"/>
    <s v="Property Standards"/>
    <s v="Medium"/>
    <x v="0"/>
    <s v="Ward 2"/>
    <x v="139"/>
    <d v="2025-08-27T00:00:00"/>
    <s v="Email"/>
    <n v="4"/>
    <n v="8"/>
    <n v="10"/>
    <s v="Yes"/>
    <d v="2025-08-01T00:00:00"/>
    <n v="2025"/>
    <n v="3"/>
    <s v="Yes"/>
  </r>
  <r>
    <s v="SR-2025-00732"/>
    <x v="1"/>
    <s v="Noise Complaint"/>
    <s v="Medium"/>
    <x v="1"/>
    <s v="Ward 5"/>
    <x v="40"/>
    <m/>
    <s v="Mobile App"/>
    <m/>
    <m/>
    <n v="10"/>
    <s v="Pending"/>
    <d v="2025-05-01T00:00:00"/>
    <n v="2025"/>
    <n v="2"/>
    <s v="No"/>
  </r>
  <r>
    <s v="SR-2025-00733"/>
    <x v="4"/>
    <s v="Sewer Backup"/>
    <s v="Low"/>
    <x v="0"/>
    <s v="Ward 5"/>
    <x v="211"/>
    <d v="2025-09-19T00:00:00"/>
    <s v="Email"/>
    <n v="4"/>
    <n v="14"/>
    <n v="14"/>
    <s v="Yes"/>
    <d v="2025-09-01T00:00:00"/>
    <n v="2025"/>
    <n v="3"/>
    <s v="Yes"/>
  </r>
  <r>
    <s v="SR-2025-00734"/>
    <x v="0"/>
    <s v="Streetlight Repair"/>
    <s v="Low"/>
    <x v="0"/>
    <s v="Ward 5"/>
    <x v="233"/>
    <d v="2025-06-03T00:00:00"/>
    <s v="In Person"/>
    <n v="4"/>
    <n v="10"/>
    <n v="14"/>
    <s v="Yes"/>
    <d v="2025-05-01T00:00:00"/>
    <n v="2025"/>
    <n v="2"/>
    <s v="Yes"/>
  </r>
  <r>
    <s v="SR-2025-00735"/>
    <x v="3"/>
    <s v="Road Damage"/>
    <s v="Medium"/>
    <x v="1"/>
    <s v="Ward 1"/>
    <x v="69"/>
    <m/>
    <s v="In Person"/>
    <m/>
    <m/>
    <n v="10"/>
    <s v="Pending"/>
    <d v="2025-12-01T00:00:00"/>
    <n v="2025"/>
    <n v="4"/>
    <s v="No"/>
  </r>
  <r>
    <s v="SR-2025-00736"/>
    <x v="1"/>
    <s v="Parking Complaint"/>
    <s v="Medium"/>
    <x v="2"/>
    <s v="Ward 1"/>
    <x v="194"/>
    <m/>
    <s v="Email"/>
    <m/>
    <m/>
    <n v="10"/>
    <s v="Pending"/>
    <d v="2025-10-01T00:00:00"/>
    <n v="2025"/>
    <n v="4"/>
    <s v="No"/>
  </r>
  <r>
    <s v="SR-2025-00737"/>
    <x v="4"/>
    <s v="Water Quality Concern"/>
    <s v="Medium"/>
    <x v="0"/>
    <s v="Ward 1"/>
    <x v="168"/>
    <d v="2025-07-06T00:00:00"/>
    <s v="In Person"/>
    <n v="3"/>
    <n v="6"/>
    <n v="10"/>
    <s v="Yes"/>
    <d v="2025-06-01T00:00:00"/>
    <n v="2025"/>
    <n v="2"/>
    <s v="Yes"/>
  </r>
  <r>
    <s v="SR-2025-00738"/>
    <x v="0"/>
    <s v="Road Sign Damage"/>
    <s v="High"/>
    <x v="0"/>
    <s v="Ward 2"/>
    <x v="306"/>
    <d v="2025-02-07T00:00:00"/>
    <s v="In Person"/>
    <n v="4"/>
    <n v="6"/>
    <n v="7"/>
    <s v="Yes"/>
    <d v="2025-02-01T00:00:00"/>
    <n v="2025"/>
    <n v="1"/>
    <s v="Yes"/>
  </r>
  <r>
    <s v="SR-2025-00739"/>
    <x v="3"/>
    <s v="Sidewalk Damage"/>
    <s v="High"/>
    <x v="0"/>
    <s v="Ward 5"/>
    <x v="307"/>
    <d v="2025-05-31T00:00:00"/>
    <s v="Web"/>
    <n v="2"/>
    <n v="4"/>
    <n v="7"/>
    <s v="Yes"/>
    <d v="2025-05-01T00:00:00"/>
    <n v="2025"/>
    <n v="2"/>
    <s v="Yes"/>
  </r>
  <r>
    <s v="SR-2025-00740"/>
    <x v="2"/>
    <s v="Illegal Dumping"/>
    <s v="Low"/>
    <x v="0"/>
    <s v="Ward 5"/>
    <x v="177"/>
    <d v="2025-05-15T00:00:00"/>
    <s v="Phone"/>
    <n v="5"/>
    <n v="3"/>
    <n v="14"/>
    <s v="Yes"/>
    <d v="2025-05-01T00:00:00"/>
    <n v="2025"/>
    <n v="2"/>
    <s v="Yes"/>
  </r>
  <r>
    <s v="SR-2025-00741"/>
    <x v="1"/>
    <s v="Property Standards"/>
    <s v="Medium"/>
    <x v="0"/>
    <s v="Ward 2"/>
    <x v="49"/>
    <d v="2025-04-06T00:00:00"/>
    <s v="Email"/>
    <n v="5"/>
    <n v="6"/>
    <n v="10"/>
    <s v="Yes"/>
    <d v="2025-03-01T00:00:00"/>
    <n v="2025"/>
    <n v="1"/>
    <s v="Yes"/>
  </r>
  <r>
    <s v="SR-2025-00742"/>
    <x v="5"/>
    <s v="Tree Maintenance"/>
    <s v="Medium"/>
    <x v="0"/>
    <s v="Ward 4"/>
    <x v="140"/>
    <d v="2025-03-20T00:00:00"/>
    <s v="Email"/>
    <n v="5"/>
    <n v="4"/>
    <n v="10"/>
    <s v="Yes"/>
    <d v="2025-03-01T00:00:00"/>
    <n v="2025"/>
    <n v="1"/>
    <s v="Yes"/>
  </r>
  <r>
    <s v="SR-2025-00743"/>
    <x v="5"/>
    <s v="Trail Maintenance"/>
    <s v="High"/>
    <x v="0"/>
    <s v="Ward 1"/>
    <x v="249"/>
    <d v="2025-10-29T00:00:00"/>
    <s v="Mobile App"/>
    <n v="5"/>
    <n v="6"/>
    <n v="7"/>
    <s v="Yes"/>
    <d v="2025-10-01T00:00:00"/>
    <n v="2025"/>
    <n v="4"/>
    <s v="Yes"/>
  </r>
  <r>
    <s v="SR-2025-00744"/>
    <x v="3"/>
    <s v="Pothole Repair"/>
    <s v="Low"/>
    <x v="0"/>
    <s v="Ward 5"/>
    <x v="142"/>
    <d v="2025-06-14T00:00:00"/>
    <s v="Phone"/>
    <n v="5"/>
    <n v="10"/>
    <n v="14"/>
    <s v="Yes"/>
    <d v="2025-06-01T00:00:00"/>
    <n v="2025"/>
    <n v="2"/>
    <s v="Yes"/>
  </r>
  <r>
    <s v="SR-2025-00745"/>
    <x v="4"/>
    <s v="Water Quality Concern"/>
    <s v="Medium"/>
    <x v="0"/>
    <s v="Ward 4"/>
    <x v="234"/>
    <d v="2025-08-13T00:00:00"/>
    <s v="Email"/>
    <n v="3"/>
    <n v="2"/>
    <n v="10"/>
    <s v="Yes"/>
    <d v="2025-08-01T00:00:00"/>
    <n v="2025"/>
    <n v="3"/>
    <s v="Yes"/>
  </r>
  <r>
    <s v="SR-2025-00746"/>
    <x v="0"/>
    <s v="Road Sign Damage"/>
    <s v="Critical"/>
    <x v="0"/>
    <s v="Ward 3"/>
    <x v="125"/>
    <d v="2025-01-22T00:00:00"/>
    <s v="Email"/>
    <n v="5"/>
    <n v="0"/>
    <n v="3"/>
    <s v="Yes"/>
    <d v="2025-01-01T00:00:00"/>
    <n v="2025"/>
    <n v="1"/>
    <s v="Yes"/>
  </r>
  <r>
    <s v="SR-2025-00747"/>
    <x v="1"/>
    <s v="Parking Complaint"/>
    <s v="Medium"/>
    <x v="0"/>
    <s v="Ward 4"/>
    <x v="308"/>
    <d v="2025-02-26T00:00:00"/>
    <s v="Email"/>
    <n v="4"/>
    <n v="6"/>
    <n v="10"/>
    <s v="Yes"/>
    <d v="2025-02-01T00:00:00"/>
    <n v="2025"/>
    <n v="1"/>
    <s v="Yes"/>
  </r>
  <r>
    <s v="SR-2025-00748"/>
    <x v="0"/>
    <s v="Traffic Signal Issue"/>
    <s v="High"/>
    <x v="0"/>
    <s v="Ward 2"/>
    <x v="309"/>
    <d v="2025-04-15T00:00:00"/>
    <s v="Mobile App"/>
    <n v="4"/>
    <n v="5"/>
    <n v="7"/>
    <s v="Yes"/>
    <d v="2025-04-01T00:00:00"/>
    <n v="2025"/>
    <n v="2"/>
    <s v="Yes"/>
  </r>
  <r>
    <s v="SR-2025-00749"/>
    <x v="1"/>
    <s v="Noise Complaint"/>
    <s v="Medium"/>
    <x v="1"/>
    <s v="Ward 4"/>
    <x v="310"/>
    <m/>
    <s v="Web"/>
    <m/>
    <m/>
    <n v="10"/>
    <s v="Pending"/>
    <d v="2025-01-01T00:00:00"/>
    <n v="2025"/>
    <n v="1"/>
    <s v="No"/>
  </r>
  <r>
    <s v="SR-2025-00750"/>
    <x v="1"/>
    <s v="Noise Complaint"/>
    <s v="Medium"/>
    <x v="0"/>
    <s v="Ward 1"/>
    <x v="304"/>
    <d v="2025-06-01T00:00:00"/>
    <s v="In Person"/>
    <n v="3"/>
    <n v="6"/>
    <n v="10"/>
    <s v="Yes"/>
    <d v="2025-05-01T00:00:00"/>
    <n v="2025"/>
    <n v="2"/>
    <s v="Yes"/>
  </r>
  <r>
    <s v="SR-2025-00751"/>
    <x v="3"/>
    <s v="Pothole Repair"/>
    <s v="High"/>
    <x v="0"/>
    <s v="Ward 1"/>
    <x v="186"/>
    <d v="2025-04-27T00:00:00"/>
    <s v="Web"/>
    <n v="4"/>
    <n v="5"/>
    <n v="7"/>
    <s v="Yes"/>
    <d v="2025-04-01T00:00:00"/>
    <n v="2025"/>
    <n v="2"/>
    <s v="Yes"/>
  </r>
  <r>
    <s v="SR-2025-00752"/>
    <x v="1"/>
    <s v="Property Standards"/>
    <s v="Medium"/>
    <x v="1"/>
    <s v="Ward 5"/>
    <x v="276"/>
    <m/>
    <s v="Phone"/>
    <m/>
    <m/>
    <n v="10"/>
    <s v="Pending"/>
    <d v="2025-11-01T00:00:00"/>
    <n v="2025"/>
    <n v="4"/>
    <s v="No"/>
  </r>
  <r>
    <s v="SR-2025-00753"/>
    <x v="3"/>
    <s v="Road Damage"/>
    <s v="Medium"/>
    <x v="0"/>
    <s v="Ward 3"/>
    <x v="65"/>
    <d v="2025-02-17T00:00:00"/>
    <s v="Email"/>
    <n v="5"/>
    <n v="9"/>
    <n v="10"/>
    <s v="Yes"/>
    <d v="2025-02-01T00:00:00"/>
    <n v="2025"/>
    <n v="1"/>
    <s v="Yes"/>
  </r>
  <r>
    <s v="SR-2025-00754"/>
    <x v="0"/>
    <s v="Road Sign Damage"/>
    <s v="Medium"/>
    <x v="1"/>
    <s v="Ward 1"/>
    <x v="75"/>
    <m/>
    <s v="Email"/>
    <m/>
    <m/>
    <n v="10"/>
    <s v="Pending"/>
    <d v="2025-05-01T00:00:00"/>
    <n v="2025"/>
    <n v="2"/>
    <s v="No"/>
  </r>
  <r>
    <s v="SR-2025-00755"/>
    <x v="4"/>
    <s v="Sewer Backup"/>
    <s v="Critical"/>
    <x v="0"/>
    <s v="Ward 4"/>
    <x v="284"/>
    <d v="2025-05-17T00:00:00"/>
    <s v="Phone"/>
    <n v="4"/>
    <n v="1"/>
    <n v="3"/>
    <s v="Yes"/>
    <d v="2025-05-01T00:00:00"/>
    <n v="2025"/>
    <n v="2"/>
    <s v="Yes"/>
  </r>
  <r>
    <s v="SR-2025-00756"/>
    <x v="1"/>
    <s v="Animal Complaint"/>
    <s v="Low"/>
    <x v="0"/>
    <s v="Ward 2"/>
    <x v="305"/>
    <d v="2025-03-26T00:00:00"/>
    <s v="In Person"/>
    <n v="5"/>
    <n v="11"/>
    <n v="14"/>
    <s v="Yes"/>
    <d v="2025-03-01T00:00:00"/>
    <n v="2025"/>
    <n v="1"/>
    <s v="Yes"/>
  </r>
  <r>
    <s v="SR-2025-00757"/>
    <x v="0"/>
    <s v="Streetlight Repair"/>
    <s v="High"/>
    <x v="0"/>
    <s v="Ward 5"/>
    <x v="3"/>
    <d v="2025-02-23T00:00:00"/>
    <s v="Mobile App"/>
    <n v="2"/>
    <n v="1"/>
    <n v="7"/>
    <s v="Yes"/>
    <d v="2025-02-01T00:00:00"/>
    <n v="2025"/>
    <n v="1"/>
    <s v="Yes"/>
  </r>
  <r>
    <s v="SR-2025-00758"/>
    <x v="4"/>
    <s v="Water Leak"/>
    <s v="High"/>
    <x v="0"/>
    <s v="Ward 4"/>
    <x v="16"/>
    <d v="2025-11-25T00:00:00"/>
    <s v="Mobile App"/>
    <n v="5"/>
    <n v="1"/>
    <n v="7"/>
    <s v="Yes"/>
    <d v="2025-11-01T00:00:00"/>
    <n v="2025"/>
    <n v="4"/>
    <s v="Yes"/>
  </r>
  <r>
    <s v="SR-2025-00759"/>
    <x v="5"/>
    <s v="Grass Cutting"/>
    <s v="High"/>
    <x v="0"/>
    <s v="Ward 4"/>
    <x v="271"/>
    <d v="2025-09-27T00:00:00"/>
    <s v="Email"/>
    <n v="5"/>
    <n v="6"/>
    <n v="7"/>
    <s v="Yes"/>
    <d v="2025-09-01T00:00:00"/>
    <n v="2025"/>
    <n v="3"/>
    <s v="Yes"/>
  </r>
  <r>
    <s v="SR-2025-00760"/>
    <x v="4"/>
    <s v="Water Quality Concern"/>
    <s v="High"/>
    <x v="1"/>
    <s v="Ward 5"/>
    <x v="94"/>
    <m/>
    <s v="Phone"/>
    <m/>
    <m/>
    <n v="7"/>
    <s v="Pending"/>
    <d v="2025-02-01T00:00:00"/>
    <n v="2025"/>
    <n v="1"/>
    <s v="No"/>
  </r>
  <r>
    <s v="SR-2025-00761"/>
    <x v="3"/>
    <s v="Snow Removal"/>
    <s v="Critical"/>
    <x v="1"/>
    <s v="Ward 1"/>
    <x v="102"/>
    <m/>
    <s v="In Person"/>
    <m/>
    <m/>
    <n v="3"/>
    <s v="Pending"/>
    <d v="2025-09-01T00:00:00"/>
    <n v="2025"/>
    <n v="3"/>
    <s v="No"/>
  </r>
  <r>
    <s v="SR-2025-00762"/>
    <x v="1"/>
    <s v="Parking Complaint"/>
    <s v="Medium"/>
    <x v="0"/>
    <s v="Ward 3"/>
    <x v="187"/>
    <d v="2025-02-01T00:00:00"/>
    <s v="Web"/>
    <n v="4"/>
    <n v="3"/>
    <n v="10"/>
    <s v="Yes"/>
    <d v="2025-01-01T00:00:00"/>
    <n v="2025"/>
    <n v="1"/>
    <s v="Yes"/>
  </r>
  <r>
    <s v="SR-2025-00763"/>
    <x v="4"/>
    <s v="Sewer Backup"/>
    <s v="Medium"/>
    <x v="0"/>
    <s v="Ward 3"/>
    <x v="39"/>
    <d v="2025-01-29T00:00:00"/>
    <s v="Email"/>
    <n v="5"/>
    <n v="8"/>
    <n v="10"/>
    <s v="Yes"/>
    <d v="2025-01-01T00:00:00"/>
    <n v="2025"/>
    <n v="1"/>
    <s v="Yes"/>
  </r>
  <r>
    <s v="SR-2025-00764"/>
    <x v="3"/>
    <s v="Sidewalk Damage"/>
    <s v="Medium"/>
    <x v="2"/>
    <s v="Ward 2"/>
    <x v="134"/>
    <m/>
    <s v="Phone"/>
    <m/>
    <m/>
    <n v="10"/>
    <s v="Pending"/>
    <d v="2025-08-01T00:00:00"/>
    <n v="2025"/>
    <n v="3"/>
    <s v="No"/>
  </r>
  <r>
    <s v="SR-2025-00765"/>
    <x v="3"/>
    <s v="Road Damage"/>
    <s v="Low"/>
    <x v="2"/>
    <s v="Ward 4"/>
    <x v="31"/>
    <m/>
    <s v="Email"/>
    <m/>
    <m/>
    <n v="14"/>
    <s v="Pending"/>
    <d v="2025-05-01T00:00:00"/>
    <n v="2025"/>
    <n v="2"/>
    <s v="No"/>
  </r>
  <r>
    <s v="SR-2025-00766"/>
    <x v="3"/>
    <s v="Sidewalk Damage"/>
    <s v="Medium"/>
    <x v="2"/>
    <s v="Ward 1"/>
    <x v="139"/>
    <m/>
    <s v="Web"/>
    <m/>
    <m/>
    <n v="10"/>
    <s v="Pending"/>
    <d v="2025-08-01T00:00:00"/>
    <n v="2025"/>
    <n v="3"/>
    <s v="No"/>
  </r>
  <r>
    <s v="SR-2025-00767"/>
    <x v="2"/>
    <s v="Missed Garbage Pickup"/>
    <s v="Medium"/>
    <x v="0"/>
    <s v="Ward 5"/>
    <x v="213"/>
    <d v="2025-07-30T00:00:00"/>
    <s v="Email"/>
    <n v="3"/>
    <n v="3"/>
    <n v="10"/>
    <s v="Yes"/>
    <d v="2025-07-01T00:00:00"/>
    <n v="2025"/>
    <n v="3"/>
    <s v="Yes"/>
  </r>
  <r>
    <s v="SR-2025-00768"/>
    <x v="0"/>
    <s v="Traffic Signal Issue"/>
    <s v="High"/>
    <x v="0"/>
    <s v="Ward 4"/>
    <x v="226"/>
    <d v="2025-02-07T00:00:00"/>
    <s v="Web"/>
    <n v="5"/>
    <n v="1"/>
    <n v="7"/>
    <s v="Yes"/>
    <d v="2025-02-01T00:00:00"/>
    <n v="2025"/>
    <n v="1"/>
    <s v="Yes"/>
  </r>
  <r>
    <s v="SR-2025-00769"/>
    <x v="4"/>
    <s v="Water Leak"/>
    <s v="Low"/>
    <x v="0"/>
    <s v="Ward 3"/>
    <x v="26"/>
    <d v="2025-01-13T00:00:00"/>
    <s v="Web"/>
    <n v="4"/>
    <n v="5"/>
    <n v="14"/>
    <s v="Yes"/>
    <d v="2025-01-01T00:00:00"/>
    <n v="2025"/>
    <n v="1"/>
    <s v="Yes"/>
  </r>
  <r>
    <s v="SR-2025-00770"/>
    <x v="4"/>
    <s v="Low Water Pressure"/>
    <s v="High"/>
    <x v="0"/>
    <s v="Ward 5"/>
    <x v="295"/>
    <d v="2025-02-25T00:00:00"/>
    <s v="Phone"/>
    <n v="4"/>
    <n v="1"/>
    <n v="7"/>
    <s v="Yes"/>
    <d v="2025-02-01T00:00:00"/>
    <n v="2025"/>
    <n v="1"/>
    <s v="Yes"/>
  </r>
  <r>
    <s v="SR-2025-00771"/>
    <x v="3"/>
    <s v="Road Damage"/>
    <s v="Medium"/>
    <x v="1"/>
    <s v="Ward 4"/>
    <x v="122"/>
    <m/>
    <s v="Mobile App"/>
    <m/>
    <m/>
    <n v="10"/>
    <s v="Pending"/>
    <d v="2025-12-01T00:00:00"/>
    <n v="2025"/>
    <n v="4"/>
    <s v="No"/>
  </r>
  <r>
    <s v="SR-2025-00772"/>
    <x v="3"/>
    <s v="Road Damage"/>
    <s v="Medium"/>
    <x v="2"/>
    <s v="Ward 1"/>
    <x v="258"/>
    <m/>
    <s v="In Person"/>
    <m/>
    <m/>
    <n v="10"/>
    <s v="Pending"/>
    <d v="2025-04-01T00:00:00"/>
    <n v="2025"/>
    <n v="2"/>
    <s v="No"/>
  </r>
  <r>
    <s v="SR-2025-00773"/>
    <x v="5"/>
    <s v="Grass Cutting"/>
    <s v="Low"/>
    <x v="0"/>
    <s v="Ward 5"/>
    <x v="116"/>
    <d v="2025-08-06T00:00:00"/>
    <s v="Phone"/>
    <n v="5"/>
    <n v="5"/>
    <n v="14"/>
    <s v="Yes"/>
    <d v="2025-08-01T00:00:00"/>
    <n v="2025"/>
    <n v="3"/>
    <s v="Yes"/>
  </r>
  <r>
    <s v="SR-2025-00774"/>
    <x v="4"/>
    <s v="Low Water Pressure"/>
    <s v="High"/>
    <x v="0"/>
    <s v="Ward 5"/>
    <x v="311"/>
    <d v="2025-02-28T00:00:00"/>
    <s v="Email"/>
    <n v="5"/>
    <n v="7"/>
    <n v="7"/>
    <s v="Yes"/>
    <d v="2025-02-01T00:00:00"/>
    <n v="2025"/>
    <n v="1"/>
    <s v="Yes"/>
  </r>
  <r>
    <s v="SR-2025-00775"/>
    <x v="5"/>
    <s v="Tree Maintenance"/>
    <s v="High"/>
    <x v="0"/>
    <s v="Ward 5"/>
    <x v="2"/>
    <d v="2025-01-06T00:00:00"/>
    <s v="Mobile App"/>
    <n v="5"/>
    <n v="2"/>
    <n v="7"/>
    <s v="Yes"/>
    <d v="2025-01-01T00:00:00"/>
    <n v="2025"/>
    <n v="1"/>
    <s v="Yes"/>
  </r>
  <r>
    <s v="SR-2025-00776"/>
    <x v="4"/>
    <s v="Water Quality Concern"/>
    <s v="Medium"/>
    <x v="0"/>
    <s v="Ward 4"/>
    <x v="16"/>
    <d v="2025-11-30T00:00:00"/>
    <s v="Phone"/>
    <n v="4"/>
    <n v="6"/>
    <n v="10"/>
    <s v="Yes"/>
    <d v="2025-11-01T00:00:00"/>
    <n v="2025"/>
    <n v="4"/>
    <s v="Yes"/>
  </r>
  <r>
    <s v="SR-2025-00777"/>
    <x v="5"/>
    <s v="Tree Maintenance"/>
    <s v="Medium"/>
    <x v="0"/>
    <s v="Ward 3"/>
    <x v="34"/>
    <d v="2025-11-13T00:00:00"/>
    <s v="Mobile App"/>
    <n v="4"/>
    <n v="3"/>
    <n v="10"/>
    <s v="Yes"/>
    <d v="2025-11-01T00:00:00"/>
    <n v="2025"/>
    <n v="4"/>
    <s v="Yes"/>
  </r>
  <r>
    <s v="SR-2025-00778"/>
    <x v="4"/>
    <s v="Water Leak"/>
    <s v="Medium"/>
    <x v="0"/>
    <s v="Ward 5"/>
    <x v="312"/>
    <d v="2025-10-02T00:00:00"/>
    <s v="In Person"/>
    <n v="4"/>
    <n v="3"/>
    <n v="10"/>
    <s v="Yes"/>
    <d v="2025-09-01T00:00:00"/>
    <n v="2025"/>
    <n v="3"/>
    <s v="Yes"/>
  </r>
  <r>
    <s v="SR-2025-00779"/>
    <x v="5"/>
    <s v="Trail Maintenance"/>
    <s v="High"/>
    <x v="0"/>
    <s v="Ward 2"/>
    <x v="75"/>
    <d v="2025-05-23T00:00:00"/>
    <s v="Email"/>
    <n v="3"/>
    <n v="1"/>
    <n v="7"/>
    <s v="Yes"/>
    <d v="2025-05-01T00:00:00"/>
    <n v="2025"/>
    <n v="2"/>
    <s v="Yes"/>
  </r>
  <r>
    <s v="SR-2025-00780"/>
    <x v="4"/>
    <s v="Low Water Pressure"/>
    <s v="Low"/>
    <x v="2"/>
    <s v="Ward 3"/>
    <x v="216"/>
    <m/>
    <s v="Mobile App"/>
    <m/>
    <m/>
    <n v="14"/>
    <s v="Pending"/>
    <d v="2025-01-01T00:00:00"/>
    <n v="2025"/>
    <n v="1"/>
    <s v="No"/>
  </r>
  <r>
    <s v="SR-2025-00781"/>
    <x v="5"/>
    <s v="Trail Maintenance"/>
    <s v="Medium"/>
    <x v="0"/>
    <s v="Ward 1"/>
    <x v="85"/>
    <d v="2025-08-23T00:00:00"/>
    <s v="In Person"/>
    <n v="2"/>
    <n v="2"/>
    <n v="10"/>
    <s v="Yes"/>
    <d v="2025-08-01T00:00:00"/>
    <n v="2025"/>
    <n v="3"/>
    <s v="Yes"/>
  </r>
  <r>
    <s v="SR-2025-00782"/>
    <x v="5"/>
    <s v="Park Equipment Damage"/>
    <s v="High"/>
    <x v="0"/>
    <s v="Ward 4"/>
    <x v="35"/>
    <d v="2025-03-02T00:00:00"/>
    <s v="In Person"/>
    <n v="5"/>
    <n v="1"/>
    <n v="7"/>
    <s v="Yes"/>
    <d v="2025-03-01T00:00:00"/>
    <n v="2025"/>
    <n v="1"/>
    <s v="Yes"/>
  </r>
  <r>
    <s v="SR-2025-00783"/>
    <x v="1"/>
    <s v="Parking Complaint"/>
    <s v="Medium"/>
    <x v="1"/>
    <s v="Ward 2"/>
    <x v="202"/>
    <m/>
    <s v="Web"/>
    <m/>
    <m/>
    <n v="10"/>
    <s v="Pending"/>
    <d v="2025-06-01T00:00:00"/>
    <n v="2025"/>
    <n v="2"/>
    <s v="No"/>
  </r>
  <r>
    <s v="SR-2025-00784"/>
    <x v="2"/>
    <s v="Recycling Issue"/>
    <s v="Low"/>
    <x v="0"/>
    <s v="Ward 1"/>
    <x v="283"/>
    <d v="2025-04-22T00:00:00"/>
    <s v="Email"/>
    <n v="5"/>
    <n v="9"/>
    <n v="14"/>
    <s v="Yes"/>
    <d v="2025-04-01T00:00:00"/>
    <n v="2025"/>
    <n v="2"/>
    <s v="Yes"/>
  </r>
  <r>
    <s v="SR-2025-00785"/>
    <x v="1"/>
    <s v="Animal Complaint"/>
    <s v="Low"/>
    <x v="0"/>
    <s v="Ward 4"/>
    <x v="313"/>
    <d v="2025-05-03T00:00:00"/>
    <s v="Mobile App"/>
    <n v="4"/>
    <n v="12"/>
    <n v="14"/>
    <s v="Yes"/>
    <d v="2025-04-01T00:00:00"/>
    <n v="2025"/>
    <n v="2"/>
    <s v="Yes"/>
  </r>
  <r>
    <s v="SR-2025-00786"/>
    <x v="5"/>
    <s v="Trail Maintenance"/>
    <s v="High"/>
    <x v="0"/>
    <s v="Ward 1"/>
    <x v="67"/>
    <d v="2025-05-21T00:00:00"/>
    <s v="In Person"/>
    <n v="4"/>
    <n v="2"/>
    <n v="7"/>
    <s v="Yes"/>
    <d v="2025-05-01T00:00:00"/>
    <n v="2025"/>
    <n v="2"/>
    <s v="Yes"/>
  </r>
  <r>
    <s v="SR-2025-00787"/>
    <x v="3"/>
    <s v="Sidewalk Damage"/>
    <s v="Low"/>
    <x v="1"/>
    <s v="Ward 4"/>
    <x v="10"/>
    <m/>
    <s v="Phone"/>
    <m/>
    <m/>
    <n v="14"/>
    <s v="Pending"/>
    <d v="2025-08-01T00:00:00"/>
    <n v="2025"/>
    <n v="3"/>
    <s v="No"/>
  </r>
  <r>
    <s v="SR-2025-00788"/>
    <x v="2"/>
    <s v="Recycling Issue"/>
    <s v="High"/>
    <x v="0"/>
    <s v="Ward 5"/>
    <x v="314"/>
    <d v="2025-11-28T00:00:00"/>
    <s v="In Person"/>
    <n v="5"/>
    <n v="5"/>
    <n v="7"/>
    <s v="Yes"/>
    <d v="2025-11-01T00:00:00"/>
    <n v="2025"/>
    <n v="4"/>
    <s v="Yes"/>
  </r>
  <r>
    <s v="SR-2025-00789"/>
    <x v="5"/>
    <s v="Tree Maintenance"/>
    <s v="Medium"/>
    <x v="0"/>
    <s v="Ward 3"/>
    <x v="313"/>
    <d v="2025-04-30T00:00:00"/>
    <s v="Web"/>
    <n v="5"/>
    <n v="9"/>
    <n v="10"/>
    <s v="Yes"/>
    <d v="2025-04-01T00:00:00"/>
    <n v="2025"/>
    <n v="2"/>
    <s v="Yes"/>
  </r>
  <r>
    <s v="SR-2025-00790"/>
    <x v="0"/>
    <s v="Traffic Concern"/>
    <s v="High"/>
    <x v="0"/>
    <s v="Ward 5"/>
    <x v="48"/>
    <d v="2025-06-21T00:00:00"/>
    <s v="Phone"/>
    <n v="4"/>
    <n v="4"/>
    <n v="7"/>
    <s v="Yes"/>
    <d v="2025-06-01T00:00:00"/>
    <n v="2025"/>
    <n v="2"/>
    <s v="Yes"/>
  </r>
  <r>
    <s v="SR-2025-00791"/>
    <x v="1"/>
    <s v="Noise Complaint"/>
    <s v="Medium"/>
    <x v="0"/>
    <s v="Ward 5"/>
    <x v="42"/>
    <d v="2025-09-08T00:00:00"/>
    <s v="Email"/>
    <n v="1"/>
    <n v="10"/>
    <n v="10"/>
    <s v="Yes"/>
    <d v="2025-08-01T00:00:00"/>
    <n v="2025"/>
    <n v="3"/>
    <s v="Yes"/>
  </r>
  <r>
    <s v="SR-2025-00792"/>
    <x v="4"/>
    <s v="Water Leak"/>
    <s v="Medium"/>
    <x v="0"/>
    <s v="Ward 4"/>
    <x v="201"/>
    <d v="2025-10-15T00:00:00"/>
    <s v="Phone"/>
    <n v="5"/>
    <n v="2"/>
    <n v="10"/>
    <s v="Yes"/>
    <d v="2025-10-01T00:00:00"/>
    <n v="2025"/>
    <n v="4"/>
    <s v="Yes"/>
  </r>
  <r>
    <s v="SR-2025-00793"/>
    <x v="5"/>
    <s v="Grass Cutting"/>
    <s v="Medium"/>
    <x v="0"/>
    <s v="Ward 3"/>
    <x v="100"/>
    <d v="2025-02-18T00:00:00"/>
    <s v="Phone"/>
    <n v="4"/>
    <n v="2"/>
    <n v="10"/>
    <s v="Yes"/>
    <d v="2025-02-01T00:00:00"/>
    <n v="2025"/>
    <n v="1"/>
    <s v="Yes"/>
  </r>
  <r>
    <s v="SR-2025-00794"/>
    <x v="0"/>
    <s v="Traffic Concern"/>
    <s v="High"/>
    <x v="1"/>
    <s v="Ward 4"/>
    <x v="104"/>
    <m/>
    <s v="Email"/>
    <m/>
    <m/>
    <n v="7"/>
    <s v="Pending"/>
    <d v="2025-01-01T00:00:00"/>
    <n v="2025"/>
    <n v="1"/>
    <s v="No"/>
  </r>
  <r>
    <s v="SR-2025-00795"/>
    <x v="5"/>
    <s v="Trail Maintenance"/>
    <s v="Low"/>
    <x v="2"/>
    <s v="Ward 4"/>
    <x v="56"/>
    <m/>
    <s v="Web"/>
    <m/>
    <m/>
    <n v="14"/>
    <s v="Pending"/>
    <d v="2025-11-01T00:00:00"/>
    <n v="2025"/>
    <n v="4"/>
    <s v="No"/>
  </r>
  <r>
    <s v="SR-2025-00796"/>
    <x v="0"/>
    <s v="Streetlight Repair"/>
    <s v="Medium"/>
    <x v="0"/>
    <s v="Ward 3"/>
    <x v="312"/>
    <d v="2025-10-01T00:00:00"/>
    <s v="In Person"/>
    <n v="4"/>
    <n v="2"/>
    <n v="10"/>
    <s v="Yes"/>
    <d v="2025-09-01T00:00:00"/>
    <n v="2025"/>
    <n v="3"/>
    <s v="Yes"/>
  </r>
  <r>
    <s v="SR-2025-00797"/>
    <x v="1"/>
    <s v="Property Standards"/>
    <s v="High"/>
    <x v="0"/>
    <s v="Ward 5"/>
    <x v="181"/>
    <d v="2025-06-27T00:00:00"/>
    <s v="Mobile App"/>
    <n v="5"/>
    <n v="6"/>
    <n v="7"/>
    <s v="Yes"/>
    <d v="2025-06-01T00:00:00"/>
    <n v="2025"/>
    <n v="2"/>
    <s v="Yes"/>
  </r>
  <r>
    <s v="SR-2025-00798"/>
    <x v="3"/>
    <s v="Pothole Repair"/>
    <s v="Medium"/>
    <x v="0"/>
    <s v="Ward 5"/>
    <x v="39"/>
    <d v="2025-01-28T00:00:00"/>
    <s v="Web"/>
    <n v="4"/>
    <n v="7"/>
    <n v="10"/>
    <s v="Yes"/>
    <d v="2025-01-01T00:00:00"/>
    <n v="2025"/>
    <n v="1"/>
    <s v="Yes"/>
  </r>
  <r>
    <s v="SR-2025-00799"/>
    <x v="1"/>
    <s v="Property Standards"/>
    <s v="Low"/>
    <x v="0"/>
    <s v="Ward 5"/>
    <x v="62"/>
    <d v="2025-10-08T00:00:00"/>
    <s v="Phone"/>
    <n v="4"/>
    <n v="4"/>
    <n v="14"/>
    <s v="Yes"/>
    <d v="2025-10-01T00:00:00"/>
    <n v="2025"/>
    <n v="4"/>
    <s v="Yes"/>
  </r>
  <r>
    <s v="SR-2025-00800"/>
    <x v="0"/>
    <s v="Traffic Signal Issue"/>
    <s v="Medium"/>
    <x v="2"/>
    <s v="Ward 4"/>
    <x v="92"/>
    <m/>
    <s v="Mobile App"/>
    <m/>
    <m/>
    <n v="10"/>
    <s v="Pending"/>
    <d v="2025-09-01T00:00:00"/>
    <n v="2025"/>
    <n v="3"/>
    <s v="No"/>
  </r>
  <r>
    <s v="SR-2025-00801"/>
    <x v="3"/>
    <s v="Pothole Repair"/>
    <s v="Medium"/>
    <x v="0"/>
    <s v="Ward 4"/>
    <x v="299"/>
    <d v="2025-09-24T00:00:00"/>
    <s v="In Person"/>
    <n v="5"/>
    <n v="10"/>
    <n v="10"/>
    <s v="Yes"/>
    <d v="2025-09-01T00:00:00"/>
    <n v="2025"/>
    <n v="3"/>
    <s v="Yes"/>
  </r>
  <r>
    <s v="SR-2025-00802"/>
    <x v="0"/>
    <s v="Road Sign Damage"/>
    <s v="Medium"/>
    <x v="0"/>
    <s v="Ward 4"/>
    <x v="191"/>
    <d v="2025-12-14T00:00:00"/>
    <s v="Web"/>
    <n v="3"/>
    <n v="3"/>
    <n v="10"/>
    <s v="Yes"/>
    <d v="2025-12-01T00:00:00"/>
    <n v="2025"/>
    <n v="4"/>
    <s v="Yes"/>
  </r>
  <r>
    <s v="SR-2025-00803"/>
    <x v="3"/>
    <s v="Snow Removal"/>
    <s v="High"/>
    <x v="0"/>
    <s v="Ward 1"/>
    <x v="153"/>
    <d v="2025-02-10T00:00:00"/>
    <s v="Phone"/>
    <n v="3"/>
    <n v="1"/>
    <n v="7"/>
    <s v="Yes"/>
    <d v="2025-02-01T00:00:00"/>
    <n v="2025"/>
    <n v="1"/>
    <s v="Yes"/>
  </r>
  <r>
    <s v="SR-2025-00804"/>
    <x v="4"/>
    <s v="Low Water Pressure"/>
    <s v="High"/>
    <x v="0"/>
    <s v="Ward 5"/>
    <x v="163"/>
    <d v="2025-11-19T00:00:00"/>
    <s v="Phone"/>
    <n v="4"/>
    <n v="1"/>
    <n v="7"/>
    <s v="Yes"/>
    <d v="2025-11-01T00:00:00"/>
    <n v="2025"/>
    <n v="4"/>
    <s v="Yes"/>
  </r>
  <r>
    <s v="SR-2025-00805"/>
    <x v="4"/>
    <s v="Sewer Backup"/>
    <s v="Medium"/>
    <x v="0"/>
    <s v="Ward 1"/>
    <x v="250"/>
    <d v="2025-01-17T00:00:00"/>
    <s v="Phone"/>
    <n v="3"/>
    <n v="6"/>
    <n v="10"/>
    <s v="Yes"/>
    <d v="2025-01-01T00:00:00"/>
    <n v="2025"/>
    <n v="1"/>
    <s v="Yes"/>
  </r>
  <r>
    <s v="SR-2025-00806"/>
    <x v="1"/>
    <s v="Parking Complaint"/>
    <s v="Medium"/>
    <x v="0"/>
    <s v="Ward 5"/>
    <x v="215"/>
    <d v="2025-12-04T00:00:00"/>
    <s v="In Person"/>
    <n v="4"/>
    <n v="7"/>
    <n v="10"/>
    <s v="Yes"/>
    <d v="2025-11-01T00:00:00"/>
    <n v="2025"/>
    <n v="4"/>
    <s v="Yes"/>
  </r>
  <r>
    <s v="SR-2025-00807"/>
    <x v="4"/>
    <s v="Water Quality Concern"/>
    <s v="Medium"/>
    <x v="0"/>
    <s v="Ward 2"/>
    <x v="74"/>
    <d v="2025-06-10T00:00:00"/>
    <s v="Email"/>
    <n v="5"/>
    <n v="4"/>
    <n v="10"/>
    <s v="Yes"/>
    <d v="2025-06-01T00:00:00"/>
    <n v="2025"/>
    <n v="2"/>
    <s v="Yes"/>
  </r>
  <r>
    <s v="SR-2025-00808"/>
    <x v="2"/>
    <s v="Illegal Dumping"/>
    <s v="High"/>
    <x v="0"/>
    <s v="Ward 2"/>
    <x v="168"/>
    <d v="2025-07-03T00:00:00"/>
    <s v="In Person"/>
    <n v="4"/>
    <n v="3"/>
    <n v="7"/>
    <s v="Yes"/>
    <d v="2025-06-01T00:00:00"/>
    <n v="2025"/>
    <n v="2"/>
    <s v="Yes"/>
  </r>
  <r>
    <s v="SR-2025-00809"/>
    <x v="5"/>
    <s v="Grass Cutting"/>
    <s v="Low"/>
    <x v="0"/>
    <s v="Ward 2"/>
    <x v="315"/>
    <d v="2026-01-12T00:00:00"/>
    <s v="Phone"/>
    <n v="5"/>
    <n v="14"/>
    <n v="14"/>
    <s v="Yes"/>
    <d v="2025-12-01T00:00:00"/>
    <n v="2025"/>
    <n v="4"/>
    <s v="Yes"/>
  </r>
  <r>
    <s v="SR-2025-00810"/>
    <x v="5"/>
    <s v="Tree Maintenance"/>
    <s v="Low"/>
    <x v="0"/>
    <s v="Ward 2"/>
    <x v="109"/>
    <d v="2025-03-16T00:00:00"/>
    <s v="Phone"/>
    <n v="3"/>
    <n v="10"/>
    <n v="14"/>
    <s v="Yes"/>
    <d v="2025-03-01T00:00:00"/>
    <n v="2025"/>
    <n v="1"/>
    <s v="Yes"/>
  </r>
  <r>
    <s v="SR-2025-00811"/>
    <x v="1"/>
    <s v="Noise Complaint"/>
    <s v="Medium"/>
    <x v="2"/>
    <s v="Ward 3"/>
    <x v="110"/>
    <m/>
    <s v="Email"/>
    <m/>
    <m/>
    <n v="10"/>
    <s v="Pending"/>
    <d v="2025-03-01T00:00:00"/>
    <n v="2025"/>
    <n v="1"/>
    <s v="No"/>
  </r>
  <r>
    <s v="SR-2025-00812"/>
    <x v="1"/>
    <s v="Property Standards"/>
    <s v="Medium"/>
    <x v="0"/>
    <s v="Ward 2"/>
    <x v="104"/>
    <d v="2025-01-21T00:00:00"/>
    <s v="Email"/>
    <n v="5"/>
    <n v="8"/>
    <n v="10"/>
    <s v="Yes"/>
    <d v="2025-01-01T00:00:00"/>
    <n v="2025"/>
    <n v="1"/>
    <s v="Yes"/>
  </r>
  <r>
    <s v="SR-2025-00813"/>
    <x v="2"/>
    <s v="Recycling Issue"/>
    <s v="Low"/>
    <x v="0"/>
    <s v="Ward 3"/>
    <x v="278"/>
    <d v="2025-09-25T00:00:00"/>
    <s v="Email"/>
    <n v="4"/>
    <n v="8"/>
    <n v="14"/>
    <s v="Yes"/>
    <d v="2025-09-01T00:00:00"/>
    <n v="2025"/>
    <n v="3"/>
    <s v="Yes"/>
  </r>
  <r>
    <s v="SR-2025-00814"/>
    <x v="2"/>
    <s v="Recycling Issue"/>
    <s v="High"/>
    <x v="0"/>
    <s v="Ward 4"/>
    <x v="131"/>
    <d v="2025-08-18T00:00:00"/>
    <s v="Web"/>
    <n v="5"/>
    <n v="3"/>
    <n v="7"/>
    <s v="Yes"/>
    <d v="2025-08-01T00:00:00"/>
    <n v="2025"/>
    <n v="3"/>
    <s v="Yes"/>
  </r>
  <r>
    <s v="SR-2025-00815"/>
    <x v="5"/>
    <s v="Tree Maintenance"/>
    <s v="Medium"/>
    <x v="0"/>
    <s v="Ward 3"/>
    <x v="217"/>
    <d v="2025-05-02T00:00:00"/>
    <s v="Web"/>
    <n v="4"/>
    <n v="9"/>
    <n v="10"/>
    <s v="Yes"/>
    <d v="2025-04-01T00:00:00"/>
    <n v="2025"/>
    <n v="2"/>
    <s v="Yes"/>
  </r>
  <r>
    <s v="SR-2025-00816"/>
    <x v="1"/>
    <s v="Property Standards"/>
    <s v="Medium"/>
    <x v="0"/>
    <s v="Ward 5"/>
    <x v="316"/>
    <d v="2025-05-28T00:00:00"/>
    <s v="Email"/>
    <n v="1"/>
    <n v="5"/>
    <n v="10"/>
    <s v="Yes"/>
    <d v="2025-05-01T00:00:00"/>
    <n v="2025"/>
    <n v="2"/>
    <s v="Yes"/>
  </r>
  <r>
    <s v="SR-2025-00817"/>
    <x v="0"/>
    <s v="Streetlight Repair"/>
    <s v="Critical"/>
    <x v="0"/>
    <s v="Ward 5"/>
    <x v="72"/>
    <d v="2025-09-11T00:00:00"/>
    <s v="Web"/>
    <n v="4"/>
    <n v="2"/>
    <n v="3"/>
    <s v="Yes"/>
    <d v="2025-09-01T00:00:00"/>
    <n v="2025"/>
    <n v="3"/>
    <s v="Yes"/>
  </r>
  <r>
    <s v="SR-2025-00818"/>
    <x v="0"/>
    <s v="Road Sign Damage"/>
    <s v="Medium"/>
    <x v="0"/>
    <s v="Ward 1"/>
    <x v="150"/>
    <d v="2025-08-14T00:00:00"/>
    <s v="Mobile App"/>
    <n v="4"/>
    <n v="7"/>
    <n v="10"/>
    <s v="Yes"/>
    <d v="2025-08-01T00:00:00"/>
    <n v="2025"/>
    <n v="3"/>
    <s v="Yes"/>
  </r>
  <r>
    <s v="SR-2025-00819"/>
    <x v="2"/>
    <s v="Illegal Dumping"/>
    <s v="Medium"/>
    <x v="0"/>
    <s v="Ward 4"/>
    <x v="169"/>
    <d v="2025-10-18T00:00:00"/>
    <s v="Email"/>
    <n v="3"/>
    <n v="3"/>
    <n v="10"/>
    <s v="Yes"/>
    <d v="2025-10-01T00:00:00"/>
    <n v="2025"/>
    <n v="4"/>
    <s v="Yes"/>
  </r>
  <r>
    <s v="SR-2025-00820"/>
    <x v="4"/>
    <s v="Sewer Backup"/>
    <s v="Low"/>
    <x v="0"/>
    <s v="Ward 2"/>
    <x v="317"/>
    <d v="2025-08-20T00:00:00"/>
    <s v="In Person"/>
    <n v="5"/>
    <n v="14"/>
    <n v="14"/>
    <s v="Yes"/>
    <d v="2025-08-01T00:00:00"/>
    <n v="2025"/>
    <n v="3"/>
    <s v="Yes"/>
  </r>
  <r>
    <s v="SR-2025-00821"/>
    <x v="1"/>
    <s v="Noise Complaint"/>
    <s v="Low"/>
    <x v="0"/>
    <s v="Ward 5"/>
    <x v="128"/>
    <d v="2025-10-04T00:00:00"/>
    <s v="Email"/>
    <n v="2"/>
    <n v="8"/>
    <n v="14"/>
    <s v="Yes"/>
    <d v="2025-09-01T00:00:00"/>
    <n v="2025"/>
    <n v="3"/>
    <s v="Yes"/>
  </r>
  <r>
    <s v="SR-2025-00822"/>
    <x v="3"/>
    <s v="Pothole Repair"/>
    <s v="Medium"/>
    <x v="2"/>
    <s v="Ward 2"/>
    <x v="116"/>
    <m/>
    <s v="In Person"/>
    <m/>
    <m/>
    <n v="10"/>
    <s v="Pending"/>
    <d v="2025-08-01T00:00:00"/>
    <n v="2025"/>
    <n v="3"/>
    <s v="No"/>
  </r>
  <r>
    <s v="SR-2025-00823"/>
    <x v="4"/>
    <s v="Low Water Pressure"/>
    <s v="Low"/>
    <x v="1"/>
    <s v="Ward 5"/>
    <x v="270"/>
    <m/>
    <s v="Email"/>
    <m/>
    <m/>
    <n v="14"/>
    <s v="Pending"/>
    <d v="2025-05-01T00:00:00"/>
    <n v="2025"/>
    <n v="2"/>
    <s v="No"/>
  </r>
  <r>
    <s v="SR-2025-00824"/>
    <x v="3"/>
    <s v="Sidewalk Damage"/>
    <s v="High"/>
    <x v="0"/>
    <s v="Ward 1"/>
    <x v="260"/>
    <d v="2025-10-20T00:00:00"/>
    <s v="Web"/>
    <n v="4"/>
    <n v="6"/>
    <n v="7"/>
    <s v="Yes"/>
    <d v="2025-10-01T00:00:00"/>
    <n v="2025"/>
    <n v="4"/>
    <s v="Yes"/>
  </r>
  <r>
    <s v="SR-2025-00825"/>
    <x v="5"/>
    <s v="Grass Cutting"/>
    <s v="Medium"/>
    <x v="0"/>
    <s v="Ward 3"/>
    <x v="66"/>
    <d v="2025-12-01T00:00:00"/>
    <s v="Email"/>
    <n v="3"/>
    <n v="9"/>
    <n v="10"/>
    <s v="Yes"/>
    <d v="2025-11-01T00:00:00"/>
    <n v="2025"/>
    <n v="4"/>
    <s v="Yes"/>
  </r>
  <r>
    <s v="SR-2025-00826"/>
    <x v="5"/>
    <s v="Trail Maintenance"/>
    <s v="High"/>
    <x v="0"/>
    <s v="Ward 4"/>
    <x v="59"/>
    <d v="2025-01-16T00:00:00"/>
    <s v="Web"/>
    <n v="5"/>
    <n v="1"/>
    <n v="7"/>
    <s v="Yes"/>
    <d v="2025-01-01T00:00:00"/>
    <n v="2025"/>
    <n v="1"/>
    <s v="Yes"/>
  </r>
  <r>
    <s v="SR-2025-00827"/>
    <x v="1"/>
    <s v="Parking Complaint"/>
    <s v="Medium"/>
    <x v="0"/>
    <s v="Ward 1"/>
    <x v="229"/>
    <d v="2025-05-22T00:00:00"/>
    <s v="Mobile App"/>
    <n v="5"/>
    <n v="9"/>
    <n v="10"/>
    <s v="Yes"/>
    <d v="2025-05-01T00:00:00"/>
    <n v="2025"/>
    <n v="2"/>
    <s v="Yes"/>
  </r>
  <r>
    <s v="SR-2025-00828"/>
    <x v="1"/>
    <s v="Noise Complaint"/>
    <s v="High"/>
    <x v="0"/>
    <s v="Ward 2"/>
    <x v="228"/>
    <d v="2025-02-01T00:00:00"/>
    <s v="Mobile App"/>
    <n v="4"/>
    <n v="2"/>
    <n v="7"/>
    <s v="Yes"/>
    <d v="2025-01-01T00:00:00"/>
    <n v="2025"/>
    <n v="1"/>
    <s v="Yes"/>
  </r>
  <r>
    <s v="SR-2025-00829"/>
    <x v="5"/>
    <s v="Tree Maintenance"/>
    <s v="Medium"/>
    <x v="0"/>
    <s v="Ward 5"/>
    <x v="237"/>
    <d v="2025-07-04T00:00:00"/>
    <s v="Web"/>
    <n v="3"/>
    <n v="2"/>
    <n v="10"/>
    <s v="Yes"/>
    <d v="2025-07-01T00:00:00"/>
    <n v="2025"/>
    <n v="3"/>
    <s v="Yes"/>
  </r>
  <r>
    <s v="SR-2025-00830"/>
    <x v="1"/>
    <s v="Property Standards"/>
    <s v="High"/>
    <x v="0"/>
    <s v="Ward 5"/>
    <x v="198"/>
    <d v="2025-02-23T00:00:00"/>
    <s v="Mobile App"/>
    <n v="5"/>
    <n v="5"/>
    <n v="7"/>
    <s v="Yes"/>
    <d v="2025-02-01T00:00:00"/>
    <n v="2025"/>
    <n v="1"/>
    <s v="Yes"/>
  </r>
  <r>
    <s v="SR-2025-00831"/>
    <x v="2"/>
    <s v="Illegal Dumping"/>
    <s v="Medium"/>
    <x v="0"/>
    <s v="Ward 3"/>
    <x v="5"/>
    <d v="2025-07-08T00:00:00"/>
    <s v="Phone"/>
    <n v="4"/>
    <n v="3"/>
    <n v="10"/>
    <s v="Yes"/>
    <d v="2025-07-01T00:00:00"/>
    <n v="2025"/>
    <n v="3"/>
    <s v="Yes"/>
  </r>
  <r>
    <s v="SR-2025-00832"/>
    <x v="3"/>
    <s v="Road Damage"/>
    <s v="Medium"/>
    <x v="0"/>
    <s v="Ward 2"/>
    <x v="121"/>
    <d v="2025-09-14T00:00:00"/>
    <s v="Web"/>
    <n v="4"/>
    <n v="8"/>
    <n v="10"/>
    <s v="Yes"/>
    <d v="2025-09-01T00:00:00"/>
    <n v="2025"/>
    <n v="3"/>
    <s v="Yes"/>
  </r>
  <r>
    <s v="SR-2025-00833"/>
    <x v="5"/>
    <s v="Park Equipment Damage"/>
    <s v="Medium"/>
    <x v="1"/>
    <s v="Ward 5"/>
    <x v="260"/>
    <m/>
    <s v="In Person"/>
    <m/>
    <m/>
    <n v="10"/>
    <s v="Pending"/>
    <d v="2025-10-01T00:00:00"/>
    <n v="2025"/>
    <n v="4"/>
    <s v="No"/>
  </r>
  <r>
    <s v="SR-2025-00834"/>
    <x v="1"/>
    <s v="Noise Complaint"/>
    <s v="Medium"/>
    <x v="2"/>
    <s v="Ward 2"/>
    <x v="35"/>
    <m/>
    <s v="Web"/>
    <m/>
    <m/>
    <n v="10"/>
    <s v="Pending"/>
    <d v="2025-03-01T00:00:00"/>
    <n v="2025"/>
    <n v="1"/>
    <s v="No"/>
  </r>
  <r>
    <s v="SR-2025-00835"/>
    <x v="4"/>
    <s v="Sewer Backup"/>
    <s v="Medium"/>
    <x v="0"/>
    <s v="Ward 3"/>
    <x v="131"/>
    <d v="2025-08-25T00:00:00"/>
    <s v="Phone"/>
    <n v="5"/>
    <n v="10"/>
    <n v="10"/>
    <s v="Yes"/>
    <d v="2025-08-01T00:00:00"/>
    <n v="2025"/>
    <n v="3"/>
    <s v="Yes"/>
  </r>
  <r>
    <s v="SR-2025-00836"/>
    <x v="0"/>
    <s v="Road Sign Damage"/>
    <s v="Low"/>
    <x v="1"/>
    <s v="Ward 2"/>
    <x v="195"/>
    <m/>
    <s v="Phone"/>
    <m/>
    <m/>
    <n v="14"/>
    <s v="Pending"/>
    <d v="2025-04-01T00:00:00"/>
    <n v="2025"/>
    <n v="2"/>
    <s v="No"/>
  </r>
  <r>
    <s v="SR-2025-00837"/>
    <x v="0"/>
    <s v="Traffic Signal Issue"/>
    <s v="Medium"/>
    <x v="0"/>
    <s v="Ward 1"/>
    <x v="141"/>
    <d v="2025-02-18T00:00:00"/>
    <s v="Web"/>
    <n v="5"/>
    <n v="8"/>
    <n v="10"/>
    <s v="Yes"/>
    <d v="2025-02-01T00:00:00"/>
    <n v="2025"/>
    <n v="1"/>
    <s v="Yes"/>
  </r>
  <r>
    <s v="SR-2025-00838"/>
    <x v="3"/>
    <s v="Snow Removal"/>
    <s v="High"/>
    <x v="0"/>
    <s v="Ward 5"/>
    <x v="25"/>
    <d v="2025-02-26T00:00:00"/>
    <s v="In Person"/>
    <n v="5"/>
    <n v="1"/>
    <n v="7"/>
    <s v="Yes"/>
    <d v="2025-02-01T00:00:00"/>
    <n v="2025"/>
    <n v="1"/>
    <s v="Yes"/>
  </r>
  <r>
    <s v="SR-2025-00839"/>
    <x v="3"/>
    <s v="Snow Removal"/>
    <s v="Low"/>
    <x v="0"/>
    <s v="Ward 1"/>
    <x v="238"/>
    <d v="2025-02-10T00:00:00"/>
    <s v="Web"/>
    <n v="5"/>
    <n v="7"/>
    <n v="14"/>
    <s v="Yes"/>
    <d v="2025-02-01T00:00:00"/>
    <n v="2025"/>
    <n v="1"/>
    <s v="Yes"/>
  </r>
  <r>
    <s v="SR-2025-00840"/>
    <x v="1"/>
    <s v="Property Standards"/>
    <s v="Medium"/>
    <x v="0"/>
    <s v="Ward 2"/>
    <x v="20"/>
    <d v="2025-12-17T00:00:00"/>
    <s v="Mobile App"/>
    <n v="1"/>
    <n v="7"/>
    <n v="10"/>
    <s v="Yes"/>
    <d v="2025-12-01T00:00:00"/>
    <n v="2025"/>
    <n v="4"/>
    <s v="Yes"/>
  </r>
  <r>
    <s v="SR-2025-00841"/>
    <x v="1"/>
    <s v="Parking Complaint"/>
    <s v="Medium"/>
    <x v="1"/>
    <s v="Ward 2"/>
    <x v="34"/>
    <m/>
    <s v="In Person"/>
    <m/>
    <m/>
    <n v="10"/>
    <s v="Pending"/>
    <d v="2025-11-01T00:00:00"/>
    <n v="2025"/>
    <n v="4"/>
    <s v="No"/>
  </r>
  <r>
    <s v="SR-2025-00842"/>
    <x v="1"/>
    <s v="Noise Complaint"/>
    <s v="Low"/>
    <x v="0"/>
    <s v="Ward 2"/>
    <x v="26"/>
    <d v="2025-01-19T00:00:00"/>
    <s v="Mobile App"/>
    <n v="3"/>
    <n v="11"/>
    <n v="14"/>
    <s v="Yes"/>
    <d v="2025-01-01T00:00:00"/>
    <n v="2025"/>
    <n v="1"/>
    <s v="Yes"/>
  </r>
  <r>
    <s v="SR-2025-00843"/>
    <x v="5"/>
    <s v="Tree Maintenance"/>
    <s v="Critical"/>
    <x v="0"/>
    <s v="Ward 5"/>
    <x v="258"/>
    <d v="2025-04-23T00:00:00"/>
    <s v="Phone"/>
    <n v="4"/>
    <n v="3"/>
    <n v="3"/>
    <s v="Yes"/>
    <d v="2025-04-01T00:00:00"/>
    <n v="2025"/>
    <n v="2"/>
    <s v="Yes"/>
  </r>
  <r>
    <s v="SR-2025-00844"/>
    <x v="4"/>
    <s v="Water Leak"/>
    <s v="Low"/>
    <x v="0"/>
    <s v="Ward 2"/>
    <x v="203"/>
    <d v="2025-07-23T00:00:00"/>
    <s v="Email"/>
    <n v="3"/>
    <n v="9"/>
    <n v="14"/>
    <s v="Yes"/>
    <d v="2025-07-01T00:00:00"/>
    <n v="2025"/>
    <n v="3"/>
    <s v="Yes"/>
  </r>
  <r>
    <s v="SR-2025-00845"/>
    <x v="3"/>
    <s v="Sidewalk Damage"/>
    <s v="Low"/>
    <x v="0"/>
    <s v="Ward 3"/>
    <x v="275"/>
    <d v="2025-03-21T00:00:00"/>
    <s v="In Person"/>
    <n v="5"/>
    <n v="10"/>
    <n v="14"/>
    <s v="Yes"/>
    <d v="2025-03-01T00:00:00"/>
    <n v="2025"/>
    <n v="1"/>
    <s v="Yes"/>
  </r>
  <r>
    <s v="SR-2025-00846"/>
    <x v="0"/>
    <s v="Streetlight Repair"/>
    <s v="Low"/>
    <x v="0"/>
    <s v="Ward 3"/>
    <x v="318"/>
    <d v="2025-07-24T00:00:00"/>
    <s v="Email"/>
    <n v="4"/>
    <n v="7"/>
    <n v="14"/>
    <s v="Yes"/>
    <d v="2025-07-01T00:00:00"/>
    <n v="2025"/>
    <n v="3"/>
    <s v="Yes"/>
  </r>
  <r>
    <s v="SR-2025-00847"/>
    <x v="5"/>
    <s v="Trail Maintenance"/>
    <s v="Medium"/>
    <x v="1"/>
    <s v="Ward 1"/>
    <x v="290"/>
    <m/>
    <s v="Email"/>
    <m/>
    <m/>
    <n v="10"/>
    <s v="Pending"/>
    <d v="2025-04-01T00:00:00"/>
    <n v="2025"/>
    <n v="2"/>
    <s v="No"/>
  </r>
  <r>
    <s v="SR-2025-00848"/>
    <x v="0"/>
    <s v="Road Sign Damage"/>
    <s v="Low"/>
    <x v="2"/>
    <s v="Ward 1"/>
    <x v="72"/>
    <m/>
    <s v="Email"/>
    <m/>
    <m/>
    <n v="14"/>
    <s v="Pending"/>
    <d v="2025-09-01T00:00:00"/>
    <n v="2025"/>
    <n v="3"/>
    <s v="No"/>
  </r>
  <r>
    <s v="SR-2025-00849"/>
    <x v="4"/>
    <s v="Water Leak"/>
    <s v="Low"/>
    <x v="0"/>
    <s v="Ward 2"/>
    <x v="118"/>
    <d v="2026-01-03T00:00:00"/>
    <s v="Web"/>
    <n v="5"/>
    <n v="12"/>
    <n v="14"/>
    <s v="Yes"/>
    <d v="2025-12-01T00:00:00"/>
    <n v="2025"/>
    <n v="4"/>
    <s v="Yes"/>
  </r>
  <r>
    <s v="SR-2025-00850"/>
    <x v="2"/>
    <s v="Recycling Issue"/>
    <s v="Medium"/>
    <x v="0"/>
    <s v="Ward 4"/>
    <x v="257"/>
    <d v="2025-07-29T00:00:00"/>
    <s v="Email"/>
    <n v="3"/>
    <n v="3"/>
    <n v="10"/>
    <s v="Yes"/>
    <d v="2025-07-01T00:00:00"/>
    <n v="2025"/>
    <n v="3"/>
    <s v="Yes"/>
  </r>
  <r>
    <s v="SR-2025-00851"/>
    <x v="2"/>
    <s v="Illegal Dumping"/>
    <s v="High"/>
    <x v="1"/>
    <s v="Ward 3"/>
    <x v="43"/>
    <m/>
    <s v="Email"/>
    <m/>
    <m/>
    <n v="7"/>
    <s v="Pending"/>
    <d v="2025-07-01T00:00:00"/>
    <n v="2025"/>
    <n v="3"/>
    <s v="No"/>
  </r>
  <r>
    <s v="SR-2025-00852"/>
    <x v="0"/>
    <s v="Traffic Concern"/>
    <s v="Critical"/>
    <x v="0"/>
    <s v="Ward 3"/>
    <x v="110"/>
    <d v="2025-03-20T00:00:00"/>
    <s v="Email"/>
    <n v="2"/>
    <n v="3"/>
    <n v="3"/>
    <s v="Yes"/>
    <d v="2025-03-01T00:00:00"/>
    <n v="2025"/>
    <n v="1"/>
    <s v="Yes"/>
  </r>
  <r>
    <s v="SR-2025-00853"/>
    <x v="4"/>
    <s v="Low Water Pressure"/>
    <s v="Medium"/>
    <x v="0"/>
    <s v="Ward 4"/>
    <x v="308"/>
    <d v="2025-02-22T00:00:00"/>
    <s v="Web"/>
    <n v="5"/>
    <n v="2"/>
    <n v="10"/>
    <s v="Yes"/>
    <d v="2025-02-01T00:00:00"/>
    <n v="2025"/>
    <n v="1"/>
    <s v="Yes"/>
  </r>
  <r>
    <s v="SR-2025-00854"/>
    <x v="5"/>
    <s v="Trail Maintenance"/>
    <s v="Medium"/>
    <x v="0"/>
    <s v="Ward 5"/>
    <x v="81"/>
    <d v="2025-06-08T00:00:00"/>
    <s v="Email"/>
    <n v="5"/>
    <n v="3"/>
    <n v="10"/>
    <s v="Yes"/>
    <d v="2025-06-01T00:00:00"/>
    <n v="2025"/>
    <n v="2"/>
    <s v="Yes"/>
  </r>
  <r>
    <s v="SR-2025-00855"/>
    <x v="4"/>
    <s v="Low Water Pressure"/>
    <s v="Medium"/>
    <x v="0"/>
    <s v="Ward 5"/>
    <x v="261"/>
    <d v="2025-09-22T00:00:00"/>
    <s v="In Person"/>
    <n v="4"/>
    <n v="6"/>
    <n v="10"/>
    <s v="Yes"/>
    <d v="2025-09-01T00:00:00"/>
    <n v="2025"/>
    <n v="3"/>
    <s v="Yes"/>
  </r>
  <r>
    <s v="SR-2025-00856"/>
    <x v="3"/>
    <s v="Pothole Repair"/>
    <s v="Critical"/>
    <x v="2"/>
    <s v="Ward 4"/>
    <x v="220"/>
    <m/>
    <s v="Email"/>
    <m/>
    <m/>
    <n v="3"/>
    <s v="Pending"/>
    <d v="2025-03-01T00:00:00"/>
    <n v="2025"/>
    <n v="1"/>
    <s v="No"/>
  </r>
  <r>
    <s v="SR-2025-00857"/>
    <x v="2"/>
    <s v="Green Bin Issue"/>
    <s v="Medium"/>
    <x v="0"/>
    <s v="Ward 3"/>
    <x v="319"/>
    <d v="2025-04-11T00:00:00"/>
    <s v="Phone"/>
    <n v="4"/>
    <n v="10"/>
    <n v="10"/>
    <s v="Yes"/>
    <d v="2025-04-01T00:00:00"/>
    <n v="2025"/>
    <n v="2"/>
    <s v="Yes"/>
  </r>
  <r>
    <s v="SR-2025-00858"/>
    <x v="4"/>
    <s v="Water Quality Concern"/>
    <s v="Low"/>
    <x v="0"/>
    <s v="Ward 4"/>
    <x v="320"/>
    <d v="2025-09-22T00:00:00"/>
    <s v="In Person"/>
    <n v="2"/>
    <n v="15"/>
    <n v="14"/>
    <s v="No"/>
    <d v="2025-09-01T00:00:00"/>
    <n v="2025"/>
    <n v="3"/>
    <s v="Yes"/>
  </r>
  <r>
    <s v="SR-2025-00859"/>
    <x v="0"/>
    <s v="Traffic Concern"/>
    <s v="Medium"/>
    <x v="1"/>
    <s v="Ward 1"/>
    <x v="278"/>
    <m/>
    <s v="Email"/>
    <m/>
    <m/>
    <n v="10"/>
    <s v="Pending"/>
    <d v="2025-09-01T00:00:00"/>
    <n v="2025"/>
    <n v="3"/>
    <s v="No"/>
  </r>
  <r>
    <s v="SR-2025-00860"/>
    <x v="2"/>
    <s v="Green Bin Issue"/>
    <s v="Medium"/>
    <x v="0"/>
    <s v="Ward 3"/>
    <x v="321"/>
    <d v="2025-12-20T00:00:00"/>
    <s v="Mobile App"/>
    <n v="5"/>
    <n v="7"/>
    <n v="10"/>
    <s v="Yes"/>
    <d v="2025-12-01T00:00:00"/>
    <n v="2025"/>
    <n v="4"/>
    <s v="Yes"/>
  </r>
  <r>
    <s v="SR-2025-00861"/>
    <x v="3"/>
    <s v="Pothole Repair"/>
    <s v="Medium"/>
    <x v="0"/>
    <s v="Ward 5"/>
    <x v="101"/>
    <d v="2025-07-14T00:00:00"/>
    <s v="Web"/>
    <n v="5"/>
    <n v="7"/>
    <n v="10"/>
    <s v="Yes"/>
    <d v="2025-07-01T00:00:00"/>
    <n v="2025"/>
    <n v="3"/>
    <s v="Yes"/>
  </r>
  <r>
    <s v="SR-2025-00862"/>
    <x v="0"/>
    <s v="Road Sign Damage"/>
    <s v="Medium"/>
    <x v="0"/>
    <s v="Ward 2"/>
    <x v="237"/>
    <d v="2025-07-10T00:00:00"/>
    <s v="Phone"/>
    <n v="4"/>
    <n v="8"/>
    <n v="10"/>
    <s v="Yes"/>
    <d v="2025-07-01T00:00:00"/>
    <n v="2025"/>
    <n v="3"/>
    <s v="Yes"/>
  </r>
  <r>
    <s v="SR-2025-00863"/>
    <x v="5"/>
    <s v="Grass Cutting"/>
    <s v="Medium"/>
    <x v="2"/>
    <s v="Ward 3"/>
    <x v="238"/>
    <m/>
    <s v="Web"/>
    <m/>
    <m/>
    <n v="10"/>
    <s v="Pending"/>
    <d v="2025-02-01T00:00:00"/>
    <n v="2025"/>
    <n v="1"/>
    <s v="No"/>
  </r>
  <r>
    <s v="SR-2025-00864"/>
    <x v="2"/>
    <s v="Recycling Issue"/>
    <s v="Low"/>
    <x v="0"/>
    <s v="Ward 5"/>
    <x v="322"/>
    <d v="2025-09-06T00:00:00"/>
    <s v="In Person"/>
    <n v="5"/>
    <n v="13"/>
    <n v="14"/>
    <s v="Yes"/>
    <d v="2025-08-01T00:00:00"/>
    <n v="2025"/>
    <n v="3"/>
    <s v="Yes"/>
  </r>
  <r>
    <s v="SR-2025-00865"/>
    <x v="4"/>
    <s v="Sewer Backup"/>
    <s v="Low"/>
    <x v="0"/>
    <s v="Ward 4"/>
    <x v="286"/>
    <d v="2025-01-20T00:00:00"/>
    <s v="Mobile App"/>
    <n v="4"/>
    <n v="8"/>
    <n v="14"/>
    <s v="Yes"/>
    <d v="2025-01-01T00:00:00"/>
    <n v="2025"/>
    <n v="1"/>
    <s v="Yes"/>
  </r>
  <r>
    <s v="SR-2025-00866"/>
    <x v="1"/>
    <s v="Noise Complaint"/>
    <s v="High"/>
    <x v="0"/>
    <s v="Ward 5"/>
    <x v="93"/>
    <d v="2025-12-14T00:00:00"/>
    <s v="Mobile App"/>
    <n v="4"/>
    <n v="2"/>
    <n v="7"/>
    <s v="Yes"/>
    <d v="2025-12-01T00:00:00"/>
    <n v="2025"/>
    <n v="4"/>
    <s v="Yes"/>
  </r>
  <r>
    <s v="SR-2025-00867"/>
    <x v="5"/>
    <s v="Grass Cutting"/>
    <s v="Medium"/>
    <x v="0"/>
    <s v="Ward 5"/>
    <x v="148"/>
    <d v="2025-09-15T00:00:00"/>
    <s v="Phone"/>
    <n v="5"/>
    <n v="3"/>
    <n v="10"/>
    <s v="Yes"/>
    <d v="2025-09-01T00:00:00"/>
    <n v="2025"/>
    <n v="3"/>
    <s v="Yes"/>
  </r>
  <r>
    <s v="SR-2025-00868"/>
    <x v="2"/>
    <s v="Illegal Dumping"/>
    <s v="Low"/>
    <x v="2"/>
    <s v="Ward 2"/>
    <x v="27"/>
    <m/>
    <s v="In Person"/>
    <m/>
    <m/>
    <n v="14"/>
    <s v="Pending"/>
    <d v="2025-07-01T00:00:00"/>
    <n v="2025"/>
    <n v="3"/>
    <s v="No"/>
  </r>
  <r>
    <s v="SR-2025-00869"/>
    <x v="0"/>
    <s v="Streetlight Repair"/>
    <s v="High"/>
    <x v="0"/>
    <s v="Ward 5"/>
    <x v="206"/>
    <d v="2025-11-03T00:00:00"/>
    <s v="In Person"/>
    <n v="3"/>
    <n v="3"/>
    <n v="7"/>
    <s v="Yes"/>
    <d v="2025-10-01T00:00:00"/>
    <n v="2025"/>
    <n v="4"/>
    <s v="Yes"/>
  </r>
  <r>
    <s v="SR-2025-00870"/>
    <x v="4"/>
    <s v="Water Quality Concern"/>
    <s v="Low"/>
    <x v="1"/>
    <s v="Ward 3"/>
    <x v="323"/>
    <m/>
    <s v="In Person"/>
    <m/>
    <m/>
    <n v="14"/>
    <s v="Pending"/>
    <d v="2025-11-01T00:00:00"/>
    <n v="2025"/>
    <n v="4"/>
    <s v="No"/>
  </r>
  <r>
    <s v="SR-2025-00871"/>
    <x v="2"/>
    <s v="Green Bin Issue"/>
    <s v="Medium"/>
    <x v="0"/>
    <s v="Ward 5"/>
    <x v="116"/>
    <d v="2025-08-09T00:00:00"/>
    <s v="Email"/>
    <n v="3"/>
    <n v="8"/>
    <n v="10"/>
    <s v="Yes"/>
    <d v="2025-08-01T00:00:00"/>
    <n v="2025"/>
    <n v="3"/>
    <s v="Yes"/>
  </r>
  <r>
    <s v="SR-2025-00872"/>
    <x v="0"/>
    <s v="Traffic Signal Issue"/>
    <s v="High"/>
    <x v="0"/>
    <s v="Ward 4"/>
    <x v="303"/>
    <d v="2025-09-29T00:00:00"/>
    <s v="Phone"/>
    <n v="3"/>
    <n v="7"/>
    <n v="7"/>
    <s v="Yes"/>
    <d v="2025-09-01T00:00:00"/>
    <n v="2025"/>
    <n v="3"/>
    <s v="Yes"/>
  </r>
  <r>
    <s v="SR-2025-00873"/>
    <x v="0"/>
    <s v="Traffic Concern"/>
    <s v="Medium"/>
    <x v="0"/>
    <s v="Ward 1"/>
    <x v="113"/>
    <d v="2025-11-19T00:00:00"/>
    <s v="In Person"/>
    <n v="5"/>
    <n v="8"/>
    <n v="10"/>
    <s v="Yes"/>
    <d v="2025-11-01T00:00:00"/>
    <n v="2025"/>
    <n v="4"/>
    <s v="Yes"/>
  </r>
  <r>
    <s v="SR-2025-00874"/>
    <x v="5"/>
    <s v="Grass Cutting"/>
    <s v="Medium"/>
    <x v="0"/>
    <s v="Ward 4"/>
    <x v="255"/>
    <d v="2025-12-23T00:00:00"/>
    <s v="Mobile App"/>
    <n v="5"/>
    <n v="6"/>
    <n v="10"/>
    <s v="Yes"/>
    <d v="2025-12-01T00:00:00"/>
    <n v="2025"/>
    <n v="4"/>
    <s v="Yes"/>
  </r>
  <r>
    <s v="SR-2025-00875"/>
    <x v="3"/>
    <s v="Road Damage"/>
    <s v="High"/>
    <x v="0"/>
    <s v="Ward 5"/>
    <x v="307"/>
    <d v="2025-06-02T00:00:00"/>
    <s v="Phone"/>
    <n v="3"/>
    <n v="6"/>
    <n v="7"/>
    <s v="Yes"/>
    <d v="2025-05-01T00:00:00"/>
    <n v="2025"/>
    <n v="2"/>
    <s v="Yes"/>
  </r>
  <r>
    <s v="SR-2025-00876"/>
    <x v="4"/>
    <s v="Low Water Pressure"/>
    <s v="Low"/>
    <x v="0"/>
    <s v="Ward 4"/>
    <x v="33"/>
    <d v="2025-05-21T00:00:00"/>
    <s v="Email"/>
    <n v="5"/>
    <n v="15"/>
    <n v="14"/>
    <s v="No"/>
    <d v="2025-05-01T00:00:00"/>
    <n v="2025"/>
    <n v="2"/>
    <s v="Yes"/>
  </r>
  <r>
    <s v="SR-2025-00877"/>
    <x v="1"/>
    <s v="Animal Complaint"/>
    <s v="Medium"/>
    <x v="2"/>
    <s v="Ward 2"/>
    <x v="265"/>
    <m/>
    <s v="Mobile App"/>
    <m/>
    <m/>
    <n v="10"/>
    <s v="Pending"/>
    <d v="2025-04-01T00:00:00"/>
    <n v="2025"/>
    <n v="2"/>
    <s v="No"/>
  </r>
  <r>
    <s v="SR-2025-00878"/>
    <x v="5"/>
    <s v="Tree Maintenance"/>
    <s v="Medium"/>
    <x v="1"/>
    <s v="Ward 5"/>
    <x v="90"/>
    <m/>
    <s v="Phone"/>
    <m/>
    <m/>
    <n v="10"/>
    <s v="Pending"/>
    <d v="2025-12-01T00:00:00"/>
    <n v="2025"/>
    <n v="4"/>
    <s v="No"/>
  </r>
  <r>
    <s v="SR-2025-00879"/>
    <x v="0"/>
    <s v="Streetlight Repair"/>
    <s v="Critical"/>
    <x v="0"/>
    <s v="Ward 1"/>
    <x v="250"/>
    <d v="2025-01-11T00:00:00"/>
    <s v="Mobile App"/>
    <n v="5"/>
    <n v="0"/>
    <n v="3"/>
    <s v="Yes"/>
    <d v="2025-01-01T00:00:00"/>
    <n v="2025"/>
    <n v="1"/>
    <s v="Yes"/>
  </r>
  <r>
    <s v="SR-2025-00880"/>
    <x v="1"/>
    <s v="Parking Complaint"/>
    <s v="High"/>
    <x v="2"/>
    <s v="Ward 3"/>
    <x v="324"/>
    <m/>
    <s v="Web"/>
    <m/>
    <m/>
    <n v="7"/>
    <s v="Pending"/>
    <d v="2025-07-01T00:00:00"/>
    <n v="2025"/>
    <n v="3"/>
    <s v="No"/>
  </r>
  <r>
    <s v="SR-2025-00881"/>
    <x v="4"/>
    <s v="Low Water Pressure"/>
    <s v="Low"/>
    <x v="0"/>
    <s v="Ward 5"/>
    <x v="299"/>
    <d v="2025-09-18T00:00:00"/>
    <s v="In Person"/>
    <n v="4"/>
    <n v="4"/>
    <n v="14"/>
    <s v="Yes"/>
    <d v="2025-09-01T00:00:00"/>
    <n v="2025"/>
    <n v="3"/>
    <s v="Yes"/>
  </r>
  <r>
    <s v="SR-2025-00882"/>
    <x v="2"/>
    <s v="Green Bin Issue"/>
    <s v="High"/>
    <x v="0"/>
    <s v="Ward 3"/>
    <x v="108"/>
    <d v="2025-03-11T00:00:00"/>
    <s v="In Person"/>
    <n v="5"/>
    <n v="7"/>
    <n v="7"/>
    <s v="Yes"/>
    <d v="2025-03-01T00:00:00"/>
    <n v="2025"/>
    <n v="1"/>
    <s v="Yes"/>
  </r>
  <r>
    <s v="SR-2025-00883"/>
    <x v="0"/>
    <s v="Traffic Concern"/>
    <s v="High"/>
    <x v="1"/>
    <s v="Ward 2"/>
    <x v="24"/>
    <m/>
    <s v="Phone"/>
    <m/>
    <m/>
    <n v="7"/>
    <s v="Pending"/>
    <d v="2025-08-01T00:00:00"/>
    <n v="2025"/>
    <n v="3"/>
    <s v="No"/>
  </r>
  <r>
    <s v="SR-2025-00884"/>
    <x v="3"/>
    <s v="Road Damage"/>
    <s v="Low"/>
    <x v="0"/>
    <s v="Ward 1"/>
    <x v="252"/>
    <d v="2025-08-05T00:00:00"/>
    <s v="Email"/>
    <n v="5"/>
    <n v="7"/>
    <n v="14"/>
    <s v="Yes"/>
    <d v="2025-07-01T00:00:00"/>
    <n v="2025"/>
    <n v="3"/>
    <s v="Yes"/>
  </r>
  <r>
    <s v="SR-2025-00885"/>
    <x v="1"/>
    <s v="Parking Complaint"/>
    <s v="Medium"/>
    <x v="0"/>
    <s v="Ward 2"/>
    <x v="325"/>
    <d v="2025-10-15T00:00:00"/>
    <s v="Mobile App"/>
    <n v="4"/>
    <n v="8"/>
    <n v="10"/>
    <s v="Yes"/>
    <d v="2025-10-01T00:00:00"/>
    <n v="2025"/>
    <n v="4"/>
    <s v="Yes"/>
  </r>
  <r>
    <s v="SR-2025-00886"/>
    <x v="5"/>
    <s v="Grass Cutting"/>
    <s v="Medium"/>
    <x v="0"/>
    <s v="Ward 5"/>
    <x v="188"/>
    <d v="2025-06-09T00:00:00"/>
    <s v="Web"/>
    <n v="4"/>
    <n v="2"/>
    <n v="10"/>
    <s v="Yes"/>
    <d v="2025-06-01T00:00:00"/>
    <n v="2025"/>
    <n v="2"/>
    <s v="Yes"/>
  </r>
  <r>
    <s v="SR-2025-00887"/>
    <x v="0"/>
    <s v="Streetlight Repair"/>
    <s v="Medium"/>
    <x v="1"/>
    <s v="Ward 3"/>
    <x v="31"/>
    <m/>
    <s v="In Person"/>
    <m/>
    <m/>
    <n v="10"/>
    <s v="Pending"/>
    <d v="2025-05-01T00:00:00"/>
    <n v="2025"/>
    <n v="2"/>
    <s v="No"/>
  </r>
  <r>
    <s v="SR-2025-00888"/>
    <x v="4"/>
    <s v="Sewer Backup"/>
    <s v="Medium"/>
    <x v="0"/>
    <s v="Ward 2"/>
    <x v="255"/>
    <d v="2025-12-20T00:00:00"/>
    <s v="Email"/>
    <n v="4"/>
    <n v="3"/>
    <n v="10"/>
    <s v="Yes"/>
    <d v="2025-12-01T00:00:00"/>
    <n v="2025"/>
    <n v="4"/>
    <s v="Yes"/>
  </r>
  <r>
    <s v="SR-2025-00889"/>
    <x v="4"/>
    <s v="Water Leak"/>
    <s v="High"/>
    <x v="0"/>
    <s v="Ward 2"/>
    <x v="97"/>
    <d v="2025-05-14T00:00:00"/>
    <s v="Mobile App"/>
    <n v="2"/>
    <n v="3"/>
    <n v="7"/>
    <s v="Yes"/>
    <d v="2025-05-01T00:00:00"/>
    <n v="2025"/>
    <n v="2"/>
    <s v="Yes"/>
  </r>
  <r>
    <s v="SR-2025-00890"/>
    <x v="5"/>
    <s v="Park Equipment Damage"/>
    <s v="High"/>
    <x v="0"/>
    <s v="Ward 3"/>
    <x v="326"/>
    <d v="2025-11-30T00:00:00"/>
    <s v="Web"/>
    <n v="5"/>
    <n v="4"/>
    <n v="7"/>
    <s v="Yes"/>
    <d v="2025-11-01T00:00:00"/>
    <n v="2025"/>
    <n v="4"/>
    <s v="Yes"/>
  </r>
  <r>
    <s v="SR-2025-00891"/>
    <x v="4"/>
    <s v="Water Quality Concern"/>
    <s v="High"/>
    <x v="2"/>
    <s v="Ward 4"/>
    <x v="170"/>
    <m/>
    <s v="Web"/>
    <m/>
    <m/>
    <n v="7"/>
    <s v="Pending"/>
    <d v="2025-06-01T00:00:00"/>
    <n v="2025"/>
    <n v="2"/>
    <s v="No"/>
  </r>
  <r>
    <s v="SR-2025-00892"/>
    <x v="5"/>
    <s v="Grass Cutting"/>
    <s v="Medium"/>
    <x v="0"/>
    <s v="Ward 4"/>
    <x v="327"/>
    <d v="2025-11-15T00:00:00"/>
    <s v="Web"/>
    <n v="5"/>
    <n v="10"/>
    <n v="10"/>
    <s v="Yes"/>
    <d v="2025-11-01T00:00:00"/>
    <n v="2025"/>
    <n v="4"/>
    <s v="Yes"/>
  </r>
  <r>
    <s v="SR-2025-00893"/>
    <x v="3"/>
    <s v="Road Damage"/>
    <s v="Medium"/>
    <x v="1"/>
    <s v="Ward 1"/>
    <x v="275"/>
    <m/>
    <s v="Email"/>
    <m/>
    <m/>
    <n v="10"/>
    <s v="Pending"/>
    <d v="2025-03-01T00:00:00"/>
    <n v="2025"/>
    <n v="1"/>
    <s v="No"/>
  </r>
  <r>
    <s v="SR-2025-00894"/>
    <x v="5"/>
    <s v="Grass Cutting"/>
    <s v="Medium"/>
    <x v="0"/>
    <s v="Ward 2"/>
    <x v="298"/>
    <d v="2025-03-27T00:00:00"/>
    <s v="In Person"/>
    <n v="4"/>
    <n v="5"/>
    <n v="10"/>
    <s v="Yes"/>
    <d v="2025-03-01T00:00:00"/>
    <n v="2025"/>
    <n v="1"/>
    <s v="Yes"/>
  </r>
  <r>
    <s v="SR-2025-00895"/>
    <x v="0"/>
    <s v="Traffic Concern"/>
    <s v="High"/>
    <x v="0"/>
    <s v="Ward 3"/>
    <x v="285"/>
    <d v="2025-09-09T00:00:00"/>
    <s v="Phone"/>
    <n v="5"/>
    <n v="7"/>
    <n v="7"/>
    <s v="Yes"/>
    <d v="2025-09-01T00:00:00"/>
    <n v="2025"/>
    <n v="3"/>
    <s v="Yes"/>
  </r>
  <r>
    <s v="SR-2025-00896"/>
    <x v="0"/>
    <s v="Road Sign Damage"/>
    <s v="High"/>
    <x v="0"/>
    <s v="Ward 4"/>
    <x v="116"/>
    <d v="2025-08-04T00:00:00"/>
    <s v="In Person"/>
    <n v="3"/>
    <n v="3"/>
    <n v="7"/>
    <s v="Yes"/>
    <d v="2025-08-01T00:00:00"/>
    <n v="2025"/>
    <n v="3"/>
    <s v="Yes"/>
  </r>
  <r>
    <s v="SR-2025-00897"/>
    <x v="5"/>
    <s v="Tree Maintenance"/>
    <s v="Critical"/>
    <x v="2"/>
    <s v="Ward 5"/>
    <x v="276"/>
    <m/>
    <s v="Phone"/>
    <m/>
    <m/>
    <n v="3"/>
    <s v="Pending"/>
    <d v="2025-11-01T00:00:00"/>
    <n v="2025"/>
    <n v="4"/>
    <s v="No"/>
  </r>
  <r>
    <s v="SR-2025-00898"/>
    <x v="3"/>
    <s v="Snow Removal"/>
    <s v="Low"/>
    <x v="0"/>
    <s v="Ward 4"/>
    <x v="51"/>
    <d v="2025-03-31T00:00:00"/>
    <s v="In Person"/>
    <n v="4"/>
    <n v="3"/>
    <n v="14"/>
    <s v="Yes"/>
    <d v="2025-03-01T00:00:00"/>
    <n v="2025"/>
    <n v="1"/>
    <s v="Yes"/>
  </r>
  <r>
    <s v="SR-2025-00899"/>
    <x v="2"/>
    <s v="Recycling Issue"/>
    <s v="Low"/>
    <x v="0"/>
    <s v="Ward 5"/>
    <x v="9"/>
    <d v="2025-10-22T00:00:00"/>
    <s v="Email"/>
    <n v="1"/>
    <n v="4"/>
    <n v="14"/>
    <s v="Yes"/>
    <d v="2025-10-01T00:00:00"/>
    <n v="2025"/>
    <n v="4"/>
    <s v="Yes"/>
  </r>
  <r>
    <s v="SR-2025-00900"/>
    <x v="4"/>
    <s v="Water Quality Concern"/>
    <s v="Low"/>
    <x v="0"/>
    <s v="Ward 4"/>
    <x v="71"/>
    <d v="2025-04-23T00:00:00"/>
    <s v="Email"/>
    <n v="3"/>
    <n v="15"/>
    <n v="14"/>
    <s v="No"/>
    <d v="2025-04-01T00:00:00"/>
    <n v="2025"/>
    <n v="2"/>
    <s v="Yes"/>
  </r>
  <r>
    <s v="SR-2025-00901"/>
    <x v="5"/>
    <s v="Trail Maintenance"/>
    <s v="High"/>
    <x v="0"/>
    <s v="Ward 4"/>
    <x v="264"/>
    <d v="2025-05-31T00:00:00"/>
    <s v="Phone"/>
    <n v="5"/>
    <n v="6"/>
    <n v="7"/>
    <s v="Yes"/>
    <d v="2025-05-01T00:00:00"/>
    <n v="2025"/>
    <n v="2"/>
    <s v="Yes"/>
  </r>
  <r>
    <s v="SR-2025-00902"/>
    <x v="4"/>
    <s v="Low Water Pressure"/>
    <s v="Low"/>
    <x v="2"/>
    <s v="Ward 5"/>
    <x v="52"/>
    <m/>
    <s v="Email"/>
    <m/>
    <m/>
    <n v="14"/>
    <s v="Pending"/>
    <d v="2025-05-01T00:00:00"/>
    <n v="2025"/>
    <n v="2"/>
    <s v="No"/>
  </r>
  <r>
    <s v="SR-2025-00903"/>
    <x v="5"/>
    <s v="Grass Cutting"/>
    <s v="Medium"/>
    <x v="0"/>
    <s v="Ward 3"/>
    <x v="18"/>
    <d v="2025-02-15T00:00:00"/>
    <s v="Email"/>
    <n v="4"/>
    <n v="2"/>
    <n v="10"/>
    <s v="Yes"/>
    <d v="2025-02-01T00:00:00"/>
    <n v="2025"/>
    <n v="1"/>
    <s v="Yes"/>
  </r>
  <r>
    <s v="SR-2025-00904"/>
    <x v="0"/>
    <s v="Traffic Signal Issue"/>
    <s v="High"/>
    <x v="0"/>
    <s v="Ward 5"/>
    <x v="138"/>
    <d v="2025-11-05T00:00:00"/>
    <s v="Web"/>
    <n v="2"/>
    <n v="3"/>
    <n v="7"/>
    <s v="Yes"/>
    <d v="2025-11-01T00:00:00"/>
    <n v="2025"/>
    <n v="4"/>
    <s v="Yes"/>
  </r>
  <r>
    <s v="SR-2025-00905"/>
    <x v="3"/>
    <s v="Sidewalk Damage"/>
    <s v="High"/>
    <x v="0"/>
    <s v="Ward 5"/>
    <x v="328"/>
    <d v="2025-07-06T00:00:00"/>
    <s v="Web"/>
    <n v="5"/>
    <n v="5"/>
    <n v="7"/>
    <s v="Yes"/>
    <d v="2025-07-01T00:00:00"/>
    <n v="2025"/>
    <n v="3"/>
    <s v="Yes"/>
  </r>
  <r>
    <s v="SR-2025-00906"/>
    <x v="3"/>
    <s v="Sidewalk Damage"/>
    <s v="Medium"/>
    <x v="0"/>
    <s v="Ward 5"/>
    <x v="329"/>
    <d v="2025-07-29T00:00:00"/>
    <s v="Web"/>
    <n v="3"/>
    <n v="7"/>
    <n v="10"/>
    <s v="Yes"/>
    <d v="2025-07-01T00:00:00"/>
    <n v="2025"/>
    <n v="3"/>
    <s v="Yes"/>
  </r>
  <r>
    <s v="SR-2025-00907"/>
    <x v="1"/>
    <s v="Property Standards"/>
    <s v="Medium"/>
    <x v="0"/>
    <s v="Ward 3"/>
    <x v="268"/>
    <d v="2025-07-02T00:00:00"/>
    <s v="In Person"/>
    <n v="3"/>
    <n v="9"/>
    <n v="10"/>
    <s v="Yes"/>
    <d v="2025-06-01T00:00:00"/>
    <n v="2025"/>
    <n v="2"/>
    <s v="Yes"/>
  </r>
  <r>
    <s v="SR-2025-00908"/>
    <x v="4"/>
    <s v="Low Water Pressure"/>
    <s v="Medium"/>
    <x v="0"/>
    <s v="Ward 3"/>
    <x v="330"/>
    <d v="2025-03-16T00:00:00"/>
    <s v="Mobile App"/>
    <n v="5"/>
    <n v="9"/>
    <n v="10"/>
    <s v="Yes"/>
    <d v="2025-03-01T00:00:00"/>
    <n v="2025"/>
    <n v="1"/>
    <s v="Yes"/>
  </r>
  <r>
    <s v="SR-2025-00909"/>
    <x v="4"/>
    <s v="Sewer Backup"/>
    <s v="High"/>
    <x v="0"/>
    <s v="Ward 2"/>
    <x v="284"/>
    <d v="2025-05-21T00:00:00"/>
    <s v="Mobile App"/>
    <n v="4"/>
    <n v="5"/>
    <n v="7"/>
    <s v="Yes"/>
    <d v="2025-05-01T00:00:00"/>
    <n v="2025"/>
    <n v="2"/>
    <s v="Yes"/>
  </r>
  <r>
    <s v="SR-2025-00910"/>
    <x v="0"/>
    <s v="Traffic Concern"/>
    <s v="High"/>
    <x v="0"/>
    <s v="Ward 1"/>
    <x v="243"/>
    <d v="2025-12-09T00:00:00"/>
    <s v="Phone"/>
    <n v="5"/>
    <n v="6"/>
    <n v="7"/>
    <s v="Yes"/>
    <d v="2025-12-01T00:00:00"/>
    <n v="2025"/>
    <n v="4"/>
    <s v="Yes"/>
  </r>
  <r>
    <s v="SR-2025-00911"/>
    <x v="5"/>
    <s v="Tree Maintenance"/>
    <s v="Low"/>
    <x v="0"/>
    <s v="Ward 4"/>
    <x v="331"/>
    <d v="2025-05-19T00:00:00"/>
    <s v="Web"/>
    <n v="5"/>
    <n v="5"/>
    <n v="14"/>
    <s v="Yes"/>
    <d v="2025-05-01T00:00:00"/>
    <n v="2025"/>
    <n v="2"/>
    <s v="Yes"/>
  </r>
  <r>
    <s v="SR-2025-00912"/>
    <x v="4"/>
    <s v="Water Leak"/>
    <s v="Medium"/>
    <x v="2"/>
    <s v="Ward 4"/>
    <x v="169"/>
    <m/>
    <s v="Email"/>
    <m/>
    <m/>
    <n v="10"/>
    <s v="Pending"/>
    <d v="2025-10-01T00:00:00"/>
    <n v="2025"/>
    <n v="4"/>
    <s v="No"/>
  </r>
  <r>
    <s v="SR-2025-00913"/>
    <x v="4"/>
    <s v="Water Leak"/>
    <s v="High"/>
    <x v="2"/>
    <s v="Ward 3"/>
    <x v="147"/>
    <m/>
    <s v="Web"/>
    <m/>
    <m/>
    <n v="7"/>
    <s v="Pending"/>
    <d v="2025-03-01T00:00:00"/>
    <n v="2025"/>
    <n v="1"/>
    <s v="No"/>
  </r>
  <r>
    <s v="SR-2025-00914"/>
    <x v="5"/>
    <s v="Grass Cutting"/>
    <s v="Low"/>
    <x v="0"/>
    <s v="Ward 5"/>
    <x v="88"/>
    <d v="2025-09-25T00:00:00"/>
    <s v="Phone"/>
    <n v="4"/>
    <n v="7"/>
    <n v="14"/>
    <s v="Yes"/>
    <d v="2025-09-01T00:00:00"/>
    <n v="2025"/>
    <n v="3"/>
    <s v="Yes"/>
  </r>
  <r>
    <s v="SR-2025-00915"/>
    <x v="1"/>
    <s v="Noise Complaint"/>
    <s v="Medium"/>
    <x v="0"/>
    <s v="Ward 4"/>
    <x v="332"/>
    <d v="2025-08-05T00:00:00"/>
    <s v="Web"/>
    <n v="3"/>
    <n v="3"/>
    <n v="10"/>
    <s v="Yes"/>
    <d v="2025-08-01T00:00:00"/>
    <n v="2025"/>
    <n v="3"/>
    <s v="Yes"/>
  </r>
  <r>
    <s v="SR-2025-00916"/>
    <x v="2"/>
    <s v="Missed Garbage Pickup"/>
    <s v="Medium"/>
    <x v="2"/>
    <s v="Ward 4"/>
    <x v="108"/>
    <m/>
    <s v="Mobile App"/>
    <m/>
    <m/>
    <n v="10"/>
    <s v="Pending"/>
    <d v="2025-03-01T00:00:00"/>
    <n v="2025"/>
    <n v="1"/>
    <s v="No"/>
  </r>
  <r>
    <s v="SR-2025-00917"/>
    <x v="1"/>
    <s v="Noise Complaint"/>
    <s v="High"/>
    <x v="0"/>
    <s v="Ward 4"/>
    <x v="30"/>
    <d v="2025-02-15T00:00:00"/>
    <s v="Email"/>
    <n v="5"/>
    <n v="4"/>
    <n v="7"/>
    <s v="Yes"/>
    <d v="2025-02-01T00:00:00"/>
    <n v="2025"/>
    <n v="1"/>
    <s v="Yes"/>
  </r>
  <r>
    <s v="SR-2025-00918"/>
    <x v="0"/>
    <s v="Road Sign Damage"/>
    <s v="Medium"/>
    <x v="0"/>
    <s v="Ward 5"/>
    <x v="4"/>
    <d v="2025-02-01T00:00:00"/>
    <s v="Phone"/>
    <n v="4"/>
    <n v="9"/>
    <n v="10"/>
    <s v="Yes"/>
    <d v="2025-01-01T00:00:00"/>
    <n v="2025"/>
    <n v="1"/>
    <s v="Yes"/>
  </r>
  <r>
    <s v="SR-2025-00919"/>
    <x v="5"/>
    <s v="Tree Maintenance"/>
    <s v="High"/>
    <x v="0"/>
    <s v="Ward 5"/>
    <x v="187"/>
    <d v="2025-02-04T00:00:00"/>
    <s v="Email"/>
    <n v="2"/>
    <n v="6"/>
    <n v="7"/>
    <s v="Yes"/>
    <d v="2025-01-01T00:00:00"/>
    <n v="2025"/>
    <n v="1"/>
    <s v="Yes"/>
  </r>
  <r>
    <s v="SR-2025-00920"/>
    <x v="3"/>
    <s v="Snow Removal"/>
    <s v="Medium"/>
    <x v="0"/>
    <s v="Ward 2"/>
    <x v="43"/>
    <d v="2025-07-27T00:00:00"/>
    <s v="Phone"/>
    <n v="1"/>
    <n v="3"/>
    <n v="10"/>
    <s v="Yes"/>
    <d v="2025-07-01T00:00:00"/>
    <n v="2025"/>
    <n v="3"/>
    <s v="Yes"/>
  </r>
  <r>
    <s v="SR-2025-00921"/>
    <x v="4"/>
    <s v="Water Quality Concern"/>
    <s v="Medium"/>
    <x v="1"/>
    <s v="Ward 2"/>
    <x v="251"/>
    <m/>
    <s v="Web"/>
    <m/>
    <m/>
    <n v="10"/>
    <s v="Pending"/>
    <d v="2025-12-01T00:00:00"/>
    <n v="2025"/>
    <n v="4"/>
    <s v="No"/>
  </r>
  <r>
    <s v="SR-2025-00922"/>
    <x v="2"/>
    <s v="Green Bin Issue"/>
    <s v="High"/>
    <x v="0"/>
    <s v="Ward 3"/>
    <x v="136"/>
    <d v="2025-06-14T00:00:00"/>
    <s v="Web"/>
    <n v="4"/>
    <n v="6"/>
    <n v="7"/>
    <s v="Yes"/>
    <d v="2025-06-01T00:00:00"/>
    <n v="2025"/>
    <n v="2"/>
    <s v="Yes"/>
  </r>
  <r>
    <s v="SR-2025-00923"/>
    <x v="2"/>
    <s v="Recycling Issue"/>
    <s v="Medium"/>
    <x v="2"/>
    <s v="Ward 3"/>
    <x v="53"/>
    <m/>
    <s v="In Person"/>
    <m/>
    <m/>
    <n v="10"/>
    <s v="Pending"/>
    <d v="2025-09-01T00:00:00"/>
    <n v="2025"/>
    <n v="3"/>
    <s v="No"/>
  </r>
  <r>
    <s v="SR-2025-00924"/>
    <x v="1"/>
    <s v="Animal Complaint"/>
    <s v="Low"/>
    <x v="0"/>
    <s v="Ward 4"/>
    <x v="333"/>
    <d v="2025-07-20T00:00:00"/>
    <s v="Web"/>
    <n v="3"/>
    <n v="12"/>
    <n v="14"/>
    <s v="Yes"/>
    <d v="2025-07-01T00:00:00"/>
    <n v="2025"/>
    <n v="3"/>
    <s v="Yes"/>
  </r>
  <r>
    <s v="SR-2025-00925"/>
    <x v="3"/>
    <s v="Sidewalk Damage"/>
    <s v="Critical"/>
    <x v="0"/>
    <s v="Ward 5"/>
    <x v="276"/>
    <d v="2025-11-29T00:00:00"/>
    <s v="In Person"/>
    <n v="5"/>
    <n v="1"/>
    <n v="3"/>
    <s v="Yes"/>
    <d v="2025-11-01T00:00:00"/>
    <n v="2025"/>
    <n v="4"/>
    <s v="Yes"/>
  </r>
  <r>
    <s v="SR-2025-00926"/>
    <x v="3"/>
    <s v="Sidewalk Damage"/>
    <s v="Medium"/>
    <x v="0"/>
    <s v="Ward 2"/>
    <x v="285"/>
    <d v="2025-09-08T00:00:00"/>
    <s v="Mobile App"/>
    <n v="3"/>
    <n v="6"/>
    <n v="10"/>
    <s v="Yes"/>
    <d v="2025-09-01T00:00:00"/>
    <n v="2025"/>
    <n v="3"/>
    <s v="Yes"/>
  </r>
  <r>
    <s v="SR-2025-00927"/>
    <x v="5"/>
    <s v="Trail Maintenance"/>
    <s v="Medium"/>
    <x v="0"/>
    <s v="Ward 5"/>
    <x v="153"/>
    <d v="2025-02-11T00:00:00"/>
    <s v="Email"/>
    <n v="4"/>
    <n v="2"/>
    <n v="10"/>
    <s v="Yes"/>
    <d v="2025-02-01T00:00:00"/>
    <n v="2025"/>
    <n v="1"/>
    <s v="Yes"/>
  </r>
  <r>
    <s v="SR-2025-00928"/>
    <x v="4"/>
    <s v="Water Leak"/>
    <s v="Medium"/>
    <x v="0"/>
    <s v="Ward 1"/>
    <x v="196"/>
    <d v="2025-05-17T00:00:00"/>
    <s v="In Person"/>
    <n v="3"/>
    <n v="7"/>
    <n v="10"/>
    <s v="Yes"/>
    <d v="2025-05-01T00:00:00"/>
    <n v="2025"/>
    <n v="2"/>
    <s v="Yes"/>
  </r>
  <r>
    <s v="SR-2025-00929"/>
    <x v="3"/>
    <s v="Pothole Repair"/>
    <s v="High"/>
    <x v="0"/>
    <s v="Ward 1"/>
    <x v="334"/>
    <d v="2025-04-11T00:00:00"/>
    <s v="Email"/>
    <n v="4"/>
    <n v="7"/>
    <n v="7"/>
    <s v="Yes"/>
    <d v="2025-04-01T00:00:00"/>
    <n v="2025"/>
    <n v="2"/>
    <s v="Yes"/>
  </r>
  <r>
    <s v="SR-2025-00930"/>
    <x v="0"/>
    <s v="Road Sign Damage"/>
    <s v="Medium"/>
    <x v="0"/>
    <s v="Ward 3"/>
    <x v="20"/>
    <d v="2025-12-19T00:00:00"/>
    <s v="Mobile App"/>
    <n v="4"/>
    <n v="9"/>
    <n v="10"/>
    <s v="Yes"/>
    <d v="2025-12-01T00:00:00"/>
    <n v="2025"/>
    <n v="4"/>
    <s v="Yes"/>
  </r>
  <r>
    <s v="SR-2025-00931"/>
    <x v="5"/>
    <s v="Park Equipment Damage"/>
    <s v="Low"/>
    <x v="1"/>
    <s v="Ward 3"/>
    <x v="193"/>
    <m/>
    <s v="Web"/>
    <m/>
    <m/>
    <n v="14"/>
    <s v="Pending"/>
    <d v="2025-11-01T00:00:00"/>
    <n v="2025"/>
    <n v="4"/>
    <s v="No"/>
  </r>
  <r>
    <s v="SR-2025-00932"/>
    <x v="4"/>
    <s v="Water Leak"/>
    <s v="Low"/>
    <x v="0"/>
    <s v="Ward 4"/>
    <x v="173"/>
    <d v="2025-04-11T00:00:00"/>
    <s v="In Person"/>
    <n v="4"/>
    <n v="13"/>
    <n v="14"/>
    <s v="Yes"/>
    <d v="2025-03-01T00:00:00"/>
    <n v="2025"/>
    <n v="1"/>
    <s v="Yes"/>
  </r>
  <r>
    <s v="SR-2025-00933"/>
    <x v="0"/>
    <s v="Traffic Concern"/>
    <s v="Medium"/>
    <x v="1"/>
    <s v="Ward 3"/>
    <x v="205"/>
    <m/>
    <s v="Email"/>
    <m/>
    <m/>
    <n v="10"/>
    <s v="Pending"/>
    <d v="2025-11-01T00:00:00"/>
    <n v="2025"/>
    <n v="4"/>
    <s v="No"/>
  </r>
  <r>
    <s v="SR-2025-00934"/>
    <x v="2"/>
    <s v="Missed Garbage Pickup"/>
    <s v="Low"/>
    <x v="0"/>
    <s v="Ward 2"/>
    <x v="17"/>
    <d v="2025-03-02T00:00:00"/>
    <s v="Web"/>
    <n v="5"/>
    <n v="3"/>
    <n v="14"/>
    <s v="Yes"/>
    <d v="2025-02-01T00:00:00"/>
    <n v="2025"/>
    <n v="1"/>
    <s v="Yes"/>
  </r>
  <r>
    <s v="SR-2025-00935"/>
    <x v="5"/>
    <s v="Trail Maintenance"/>
    <s v="Medium"/>
    <x v="0"/>
    <s v="Ward 3"/>
    <x v="335"/>
    <d v="2025-08-22T00:00:00"/>
    <s v="Email"/>
    <n v="3"/>
    <n v="10"/>
    <n v="10"/>
    <s v="Yes"/>
    <d v="2025-08-01T00:00:00"/>
    <n v="2025"/>
    <n v="3"/>
    <s v="Yes"/>
  </r>
  <r>
    <s v="SR-2025-00936"/>
    <x v="5"/>
    <s v="Trail Maintenance"/>
    <s v="Medium"/>
    <x v="0"/>
    <s v="Ward 4"/>
    <x v="336"/>
    <d v="2025-03-29T00:00:00"/>
    <s v="Web"/>
    <n v="5"/>
    <n v="9"/>
    <n v="10"/>
    <s v="Yes"/>
    <d v="2025-03-01T00:00:00"/>
    <n v="2025"/>
    <n v="1"/>
    <s v="Yes"/>
  </r>
  <r>
    <s v="SR-2025-00937"/>
    <x v="4"/>
    <s v="Low Water Pressure"/>
    <s v="Low"/>
    <x v="0"/>
    <s v="Ward 1"/>
    <x v="337"/>
    <d v="2025-07-23T00:00:00"/>
    <s v="Email"/>
    <n v="4"/>
    <n v="3"/>
    <n v="14"/>
    <s v="Yes"/>
    <d v="2025-07-01T00:00:00"/>
    <n v="2025"/>
    <n v="3"/>
    <s v="Yes"/>
  </r>
  <r>
    <s v="SR-2025-00938"/>
    <x v="4"/>
    <s v="Water Quality Concern"/>
    <s v="High"/>
    <x v="0"/>
    <s v="Ward 4"/>
    <x v="338"/>
    <d v="2025-10-14T00:00:00"/>
    <s v="Email"/>
    <n v="1"/>
    <n v="3"/>
    <n v="7"/>
    <s v="Yes"/>
    <d v="2025-10-01T00:00:00"/>
    <n v="2025"/>
    <n v="4"/>
    <s v="Yes"/>
  </r>
  <r>
    <s v="SR-2025-00939"/>
    <x v="1"/>
    <s v="Animal Complaint"/>
    <s v="Low"/>
    <x v="0"/>
    <s v="Ward 5"/>
    <x v="281"/>
    <d v="2025-01-19T00:00:00"/>
    <s v="Web"/>
    <n v="4"/>
    <n v="9"/>
    <n v="14"/>
    <s v="Yes"/>
    <d v="2025-01-01T00:00:00"/>
    <n v="2025"/>
    <n v="1"/>
    <s v="Yes"/>
  </r>
  <r>
    <s v="SR-2025-00940"/>
    <x v="2"/>
    <s v="Green Bin Issue"/>
    <s v="High"/>
    <x v="0"/>
    <s v="Ward 4"/>
    <x v="266"/>
    <d v="2025-11-21T00:00:00"/>
    <s v="Web"/>
    <n v="4"/>
    <n v="6"/>
    <n v="7"/>
    <s v="Yes"/>
    <d v="2025-11-01T00:00:00"/>
    <n v="2025"/>
    <n v="4"/>
    <s v="Yes"/>
  </r>
  <r>
    <s v="SR-2025-00941"/>
    <x v="5"/>
    <s v="Grass Cutting"/>
    <s v="High"/>
    <x v="0"/>
    <s v="Ward 5"/>
    <x v="134"/>
    <d v="2025-08-15T00:00:00"/>
    <s v="Mobile App"/>
    <n v="4"/>
    <n v="2"/>
    <n v="7"/>
    <s v="Yes"/>
    <d v="2025-08-01T00:00:00"/>
    <n v="2025"/>
    <n v="3"/>
    <s v="Yes"/>
  </r>
  <r>
    <s v="SR-2025-00942"/>
    <x v="1"/>
    <s v="Animal Complaint"/>
    <s v="Low"/>
    <x v="0"/>
    <s v="Ward 3"/>
    <x v="200"/>
    <d v="2026-01-09T00:00:00"/>
    <s v="Email"/>
    <n v="5"/>
    <n v="9"/>
    <n v="14"/>
    <s v="Yes"/>
    <d v="2025-12-01T00:00:00"/>
    <n v="2025"/>
    <n v="4"/>
    <s v="Yes"/>
  </r>
  <r>
    <s v="SR-2025-00943"/>
    <x v="5"/>
    <s v="Park Equipment Damage"/>
    <s v="Medium"/>
    <x v="1"/>
    <s v="Ward 4"/>
    <x v="339"/>
    <m/>
    <s v="Phone"/>
    <m/>
    <m/>
    <n v="10"/>
    <s v="Pending"/>
    <d v="2025-12-01T00:00:00"/>
    <n v="2025"/>
    <n v="4"/>
    <s v="No"/>
  </r>
  <r>
    <s v="SR-2025-00944"/>
    <x v="5"/>
    <s v="Park Equipment Damage"/>
    <s v="Low"/>
    <x v="0"/>
    <s v="Ward 2"/>
    <x v="116"/>
    <d v="2025-08-11T00:00:00"/>
    <s v="In Person"/>
    <n v="4"/>
    <n v="10"/>
    <n v="14"/>
    <s v="Yes"/>
    <d v="2025-08-01T00:00:00"/>
    <n v="2025"/>
    <n v="3"/>
    <s v="Yes"/>
  </r>
  <r>
    <s v="SR-2025-00945"/>
    <x v="3"/>
    <s v="Pothole Repair"/>
    <s v="Medium"/>
    <x v="0"/>
    <s v="Ward 5"/>
    <x v="321"/>
    <d v="2025-12-17T00:00:00"/>
    <s v="Web"/>
    <n v="3"/>
    <n v="4"/>
    <n v="10"/>
    <s v="Yes"/>
    <d v="2025-12-01T00:00:00"/>
    <n v="2025"/>
    <n v="4"/>
    <s v="Yes"/>
  </r>
  <r>
    <s v="SR-2025-00946"/>
    <x v="3"/>
    <s v="Sidewalk Damage"/>
    <s v="Medium"/>
    <x v="0"/>
    <s v="Ward 3"/>
    <x v="340"/>
    <d v="2025-03-13T00:00:00"/>
    <s v="Mobile App"/>
    <n v="3"/>
    <n v="10"/>
    <n v="10"/>
    <s v="Yes"/>
    <d v="2025-03-01T00:00:00"/>
    <n v="2025"/>
    <n v="1"/>
    <s v="Yes"/>
  </r>
  <r>
    <s v="SR-2025-00947"/>
    <x v="2"/>
    <s v="Missed Garbage Pickup"/>
    <s v="High"/>
    <x v="0"/>
    <s v="Ward 5"/>
    <x v="133"/>
    <d v="2025-03-26T00:00:00"/>
    <s v="In Person"/>
    <n v="5"/>
    <n v="7"/>
    <n v="7"/>
    <s v="Yes"/>
    <d v="2025-03-01T00:00:00"/>
    <n v="2025"/>
    <n v="1"/>
    <s v="Yes"/>
  </r>
  <r>
    <s v="SR-2025-00948"/>
    <x v="0"/>
    <s v="Streetlight Repair"/>
    <s v="High"/>
    <x v="2"/>
    <s v="Ward 4"/>
    <x v="134"/>
    <m/>
    <s v="Web"/>
    <m/>
    <m/>
    <n v="7"/>
    <s v="Pending"/>
    <d v="2025-08-01T00:00:00"/>
    <n v="2025"/>
    <n v="3"/>
    <s v="No"/>
  </r>
  <r>
    <s v="SR-2025-00949"/>
    <x v="3"/>
    <s v="Pothole Repair"/>
    <s v="High"/>
    <x v="0"/>
    <s v="Ward 2"/>
    <x v="84"/>
    <d v="2025-02-25T00:00:00"/>
    <s v="Mobile App"/>
    <n v="4"/>
    <n v="2"/>
    <n v="7"/>
    <s v="Yes"/>
    <d v="2025-02-01T00:00:00"/>
    <n v="2025"/>
    <n v="1"/>
    <s v="Yes"/>
  </r>
  <r>
    <s v="SR-2025-00950"/>
    <x v="5"/>
    <s v="Grass Cutting"/>
    <s v="High"/>
    <x v="1"/>
    <s v="Ward 1"/>
    <x v="167"/>
    <m/>
    <s v="Phone"/>
    <m/>
    <m/>
    <n v="7"/>
    <s v="Pending"/>
    <d v="2025-09-01T00:00:00"/>
    <n v="2025"/>
    <n v="3"/>
    <s v="No"/>
  </r>
  <r>
    <s v="SR-2025-00951"/>
    <x v="0"/>
    <s v="Road Sign Damage"/>
    <s v="Medium"/>
    <x v="0"/>
    <s v="Ward 1"/>
    <x v="265"/>
    <d v="2025-04-23T00:00:00"/>
    <s v="Phone"/>
    <n v="5"/>
    <n v="9"/>
    <n v="10"/>
    <s v="Yes"/>
    <d v="2025-04-01T00:00:00"/>
    <n v="2025"/>
    <n v="2"/>
    <s v="Yes"/>
  </r>
  <r>
    <s v="SR-2025-00952"/>
    <x v="4"/>
    <s v="Sewer Backup"/>
    <s v="Medium"/>
    <x v="0"/>
    <s v="Ward 4"/>
    <x v="14"/>
    <d v="2025-05-24T00:00:00"/>
    <s v="Mobile App"/>
    <n v="5"/>
    <n v="7"/>
    <n v="10"/>
    <s v="Yes"/>
    <d v="2025-05-01T00:00:00"/>
    <n v="2025"/>
    <n v="2"/>
    <s v="Yes"/>
  </r>
  <r>
    <s v="SR-2025-00953"/>
    <x v="0"/>
    <s v="Traffic Signal Issue"/>
    <s v="Low"/>
    <x v="1"/>
    <s v="Ward 2"/>
    <x v="204"/>
    <m/>
    <s v="Phone"/>
    <m/>
    <m/>
    <n v="14"/>
    <s v="Pending"/>
    <d v="2025-08-01T00:00:00"/>
    <n v="2025"/>
    <n v="3"/>
    <s v="No"/>
  </r>
  <r>
    <s v="SR-2025-00954"/>
    <x v="4"/>
    <s v="Water Quality Concern"/>
    <s v="High"/>
    <x v="2"/>
    <s v="Ward 3"/>
    <x v="303"/>
    <m/>
    <s v="Web"/>
    <m/>
    <m/>
    <n v="7"/>
    <s v="Pending"/>
    <d v="2025-09-01T00:00:00"/>
    <n v="2025"/>
    <n v="3"/>
    <s v="No"/>
  </r>
  <r>
    <s v="SR-2025-00955"/>
    <x v="4"/>
    <s v="Low Water Pressure"/>
    <s v="High"/>
    <x v="0"/>
    <s v="Ward 3"/>
    <x v="303"/>
    <d v="2025-09-23T00:00:00"/>
    <s v="Email"/>
    <n v="2"/>
    <n v="1"/>
    <n v="7"/>
    <s v="Yes"/>
    <d v="2025-09-01T00:00:00"/>
    <n v="2025"/>
    <n v="3"/>
    <s v="Yes"/>
  </r>
  <r>
    <s v="SR-2025-00956"/>
    <x v="5"/>
    <s v="Trail Maintenance"/>
    <s v="Low"/>
    <x v="1"/>
    <s v="Ward 2"/>
    <x v="199"/>
    <m/>
    <s v="In Person"/>
    <m/>
    <m/>
    <n v="14"/>
    <s v="Pending"/>
    <d v="2025-12-01T00:00:00"/>
    <n v="2025"/>
    <n v="4"/>
    <s v="No"/>
  </r>
  <r>
    <s v="SR-2025-00957"/>
    <x v="3"/>
    <s v="Sidewalk Damage"/>
    <s v="Medium"/>
    <x v="2"/>
    <s v="Ward 5"/>
    <x v="341"/>
    <m/>
    <s v="Mobile App"/>
    <m/>
    <m/>
    <n v="10"/>
    <s v="Pending"/>
    <d v="2025-12-01T00:00:00"/>
    <n v="2025"/>
    <n v="4"/>
    <s v="No"/>
  </r>
  <r>
    <s v="SR-2025-00958"/>
    <x v="0"/>
    <s v="Road Sign Damage"/>
    <s v="High"/>
    <x v="0"/>
    <s v="Ward 2"/>
    <x v="233"/>
    <d v="2025-05-29T00:00:00"/>
    <s v="Email"/>
    <n v="4"/>
    <n v="5"/>
    <n v="7"/>
    <s v="Yes"/>
    <d v="2025-05-01T00:00:00"/>
    <n v="2025"/>
    <n v="2"/>
    <s v="Yes"/>
  </r>
  <r>
    <s v="SR-2025-00959"/>
    <x v="4"/>
    <s v="Low Water Pressure"/>
    <s v="High"/>
    <x v="0"/>
    <s v="Ward 3"/>
    <x v="127"/>
    <d v="2025-11-19T00:00:00"/>
    <s v="Email"/>
    <n v="4"/>
    <n v="6"/>
    <n v="7"/>
    <s v="Yes"/>
    <d v="2025-11-01T00:00:00"/>
    <n v="2025"/>
    <n v="4"/>
    <s v="Yes"/>
  </r>
  <r>
    <s v="SR-2025-00960"/>
    <x v="5"/>
    <s v="Grass Cutting"/>
    <s v="Low"/>
    <x v="0"/>
    <s v="Ward 2"/>
    <x v="58"/>
    <d v="2025-08-02T00:00:00"/>
    <s v="In Person"/>
    <n v="5"/>
    <n v="14"/>
    <n v="14"/>
    <s v="Yes"/>
    <d v="2025-07-01T00:00:00"/>
    <n v="2025"/>
    <n v="3"/>
    <s v="Yes"/>
  </r>
  <r>
    <s v="SR-2025-00961"/>
    <x v="1"/>
    <s v="Parking Complaint"/>
    <s v="Low"/>
    <x v="0"/>
    <s v="Ward 2"/>
    <x v="64"/>
    <d v="2025-06-20T00:00:00"/>
    <s v="Web"/>
    <n v="4"/>
    <n v="11"/>
    <n v="14"/>
    <s v="Yes"/>
    <d v="2025-06-01T00:00:00"/>
    <n v="2025"/>
    <n v="2"/>
    <s v="Yes"/>
  </r>
  <r>
    <s v="SR-2025-00962"/>
    <x v="3"/>
    <s v="Sidewalk Damage"/>
    <s v="Low"/>
    <x v="1"/>
    <s v="Ward 5"/>
    <x v="24"/>
    <m/>
    <s v="Web"/>
    <m/>
    <m/>
    <n v="14"/>
    <s v="Pending"/>
    <d v="2025-08-01T00:00:00"/>
    <n v="2025"/>
    <n v="3"/>
    <s v="No"/>
  </r>
  <r>
    <s v="SR-2025-00963"/>
    <x v="0"/>
    <s v="Streetlight Repair"/>
    <s v="High"/>
    <x v="0"/>
    <s v="Ward 1"/>
    <x v="278"/>
    <d v="2025-09-20T00:00:00"/>
    <s v="Email"/>
    <n v="3"/>
    <n v="3"/>
    <n v="7"/>
    <s v="Yes"/>
    <d v="2025-09-01T00:00:00"/>
    <n v="2025"/>
    <n v="3"/>
    <s v="Yes"/>
  </r>
  <r>
    <s v="SR-2025-00964"/>
    <x v="2"/>
    <s v="Missed Garbage Pickup"/>
    <s v="Medium"/>
    <x v="2"/>
    <s v="Ward 5"/>
    <x v="73"/>
    <m/>
    <s v="In Person"/>
    <m/>
    <m/>
    <n v="10"/>
    <s v="Pending"/>
    <d v="2025-10-01T00:00:00"/>
    <n v="2025"/>
    <n v="4"/>
    <s v="No"/>
  </r>
  <r>
    <s v="SR-2025-00965"/>
    <x v="1"/>
    <s v="Property Standards"/>
    <s v="Medium"/>
    <x v="0"/>
    <s v="Ward 5"/>
    <x v="126"/>
    <d v="2025-10-25T00:00:00"/>
    <s v="Phone"/>
    <n v="5"/>
    <n v="4"/>
    <n v="10"/>
    <s v="Yes"/>
    <d v="2025-10-01T00:00:00"/>
    <n v="2025"/>
    <n v="4"/>
    <s v="Yes"/>
  </r>
  <r>
    <s v="SR-2025-00966"/>
    <x v="3"/>
    <s v="Sidewalk Damage"/>
    <s v="Medium"/>
    <x v="0"/>
    <s v="Ward 4"/>
    <x v="76"/>
    <d v="2025-07-13T00:00:00"/>
    <s v="Email"/>
    <n v="2"/>
    <n v="9"/>
    <n v="10"/>
    <s v="Yes"/>
    <d v="2025-07-01T00:00:00"/>
    <n v="2025"/>
    <n v="3"/>
    <s v="Yes"/>
  </r>
  <r>
    <s v="SR-2025-00967"/>
    <x v="3"/>
    <s v="Pothole Repair"/>
    <s v="Low"/>
    <x v="2"/>
    <s v="Ward 2"/>
    <x v="53"/>
    <m/>
    <s v="Email"/>
    <m/>
    <m/>
    <n v="14"/>
    <s v="Pending"/>
    <d v="2025-09-01T00:00:00"/>
    <n v="2025"/>
    <n v="3"/>
    <s v="No"/>
  </r>
  <r>
    <s v="SR-2025-00968"/>
    <x v="3"/>
    <s v="Sidewalk Damage"/>
    <s v="Medium"/>
    <x v="0"/>
    <s v="Ward 3"/>
    <x v="260"/>
    <d v="2025-10-24T00:00:00"/>
    <s v="In Person"/>
    <n v="5"/>
    <n v="10"/>
    <n v="10"/>
    <s v="Yes"/>
    <d v="2025-10-01T00:00:00"/>
    <n v="2025"/>
    <n v="4"/>
    <s v="Yes"/>
  </r>
  <r>
    <s v="SR-2025-00969"/>
    <x v="4"/>
    <s v="Water Quality Concern"/>
    <s v="Critical"/>
    <x v="0"/>
    <s v="Ward 2"/>
    <x v="107"/>
    <d v="2025-09-11T00:00:00"/>
    <s v="In Person"/>
    <n v="5"/>
    <n v="3"/>
    <n v="3"/>
    <s v="Yes"/>
    <d v="2025-09-01T00:00:00"/>
    <n v="2025"/>
    <n v="3"/>
    <s v="Yes"/>
  </r>
  <r>
    <s v="SR-2025-00970"/>
    <x v="5"/>
    <s v="Trail Maintenance"/>
    <s v="High"/>
    <x v="0"/>
    <s v="Ward 1"/>
    <x v="185"/>
    <d v="2026-01-01T00:00:00"/>
    <s v="Phone"/>
    <n v="5"/>
    <n v="5"/>
    <n v="7"/>
    <s v="Yes"/>
    <d v="2025-12-01T00:00:00"/>
    <n v="2025"/>
    <n v="4"/>
    <s v="Yes"/>
  </r>
  <r>
    <s v="SR-2025-00971"/>
    <x v="4"/>
    <s v="Water Quality Concern"/>
    <s v="Low"/>
    <x v="0"/>
    <s v="Ward 1"/>
    <x v="260"/>
    <d v="2025-10-22T00:00:00"/>
    <s v="In Person"/>
    <n v="5"/>
    <n v="8"/>
    <n v="14"/>
    <s v="Yes"/>
    <d v="2025-10-01T00:00:00"/>
    <n v="2025"/>
    <n v="4"/>
    <s v="Yes"/>
  </r>
  <r>
    <s v="SR-2025-00972"/>
    <x v="4"/>
    <s v="Water Leak"/>
    <s v="Low"/>
    <x v="0"/>
    <s v="Ward 3"/>
    <x v="39"/>
    <d v="2025-02-01T00:00:00"/>
    <s v="Mobile App"/>
    <n v="3"/>
    <n v="11"/>
    <n v="14"/>
    <s v="Yes"/>
    <d v="2025-01-01T00:00:00"/>
    <n v="2025"/>
    <n v="1"/>
    <s v="Yes"/>
  </r>
  <r>
    <s v="SR-2025-00973"/>
    <x v="2"/>
    <s v="Illegal Dumping"/>
    <s v="Medium"/>
    <x v="0"/>
    <s v="Ward 4"/>
    <x v="305"/>
    <d v="2025-03-19T00:00:00"/>
    <s v="Web"/>
    <n v="5"/>
    <n v="4"/>
    <n v="10"/>
    <s v="Yes"/>
    <d v="2025-03-01T00:00:00"/>
    <n v="2025"/>
    <n v="1"/>
    <s v="Yes"/>
  </r>
  <r>
    <s v="SR-2025-00974"/>
    <x v="2"/>
    <s v="Illegal Dumping"/>
    <s v="Low"/>
    <x v="1"/>
    <s v="Ward 1"/>
    <x v="107"/>
    <m/>
    <s v="Web"/>
    <m/>
    <m/>
    <n v="14"/>
    <s v="Pending"/>
    <d v="2025-09-01T00:00:00"/>
    <n v="2025"/>
    <n v="3"/>
    <s v="No"/>
  </r>
  <r>
    <s v="SR-2025-00975"/>
    <x v="1"/>
    <s v="Parking Complaint"/>
    <s v="Low"/>
    <x v="0"/>
    <s v="Ward 4"/>
    <x v="102"/>
    <d v="2025-09-16T00:00:00"/>
    <s v="Mobile App"/>
    <n v="4"/>
    <n v="12"/>
    <n v="14"/>
    <s v="Yes"/>
    <d v="2025-09-01T00:00:00"/>
    <n v="2025"/>
    <n v="3"/>
    <s v="Yes"/>
  </r>
  <r>
    <s v="SR-2025-00976"/>
    <x v="4"/>
    <s v="Water Quality Concern"/>
    <s v="High"/>
    <x v="1"/>
    <s v="Ward 2"/>
    <x v="23"/>
    <m/>
    <s v="In Person"/>
    <m/>
    <m/>
    <n v="7"/>
    <s v="Pending"/>
    <d v="2025-03-01T00:00:00"/>
    <n v="2025"/>
    <n v="1"/>
    <s v="No"/>
  </r>
  <r>
    <s v="SR-2025-00977"/>
    <x v="0"/>
    <s v="Traffic Concern"/>
    <s v="High"/>
    <x v="0"/>
    <s v="Ward 1"/>
    <x v="342"/>
    <d v="2025-03-25T00:00:00"/>
    <s v="In Person"/>
    <n v="5"/>
    <n v="7"/>
    <n v="7"/>
    <s v="Yes"/>
    <d v="2025-03-01T00:00:00"/>
    <n v="2025"/>
    <n v="1"/>
    <s v="Yes"/>
  </r>
  <r>
    <s v="SR-2025-00978"/>
    <x v="0"/>
    <s v="Traffic Concern"/>
    <s v="Medium"/>
    <x v="2"/>
    <s v="Ward 5"/>
    <x v="268"/>
    <m/>
    <s v="Web"/>
    <m/>
    <m/>
    <n v="10"/>
    <s v="Pending"/>
    <d v="2025-06-01T00:00:00"/>
    <n v="2025"/>
    <n v="2"/>
    <s v="No"/>
  </r>
  <r>
    <s v="SR-2025-00979"/>
    <x v="0"/>
    <s v="Traffic Concern"/>
    <s v="High"/>
    <x v="0"/>
    <s v="Ward 3"/>
    <x v="280"/>
    <d v="2025-04-01T00:00:00"/>
    <s v="In Person"/>
    <n v="1"/>
    <n v="6"/>
    <n v="7"/>
    <s v="Yes"/>
    <d v="2025-03-01T00:00:00"/>
    <n v="2025"/>
    <n v="1"/>
    <s v="Yes"/>
  </r>
  <r>
    <s v="SR-2025-00980"/>
    <x v="0"/>
    <s v="Streetlight Repair"/>
    <s v="Medium"/>
    <x v="0"/>
    <s v="Ward 1"/>
    <x v="127"/>
    <d v="2025-11-23T00:00:00"/>
    <s v="In Person"/>
    <n v="4"/>
    <n v="10"/>
    <n v="10"/>
    <s v="Yes"/>
    <d v="2025-11-01T00:00:00"/>
    <n v="2025"/>
    <n v="4"/>
    <s v="Yes"/>
  </r>
  <r>
    <s v="SR-2025-00981"/>
    <x v="1"/>
    <s v="Property Standards"/>
    <s v="High"/>
    <x v="0"/>
    <s v="Ward 5"/>
    <x v="281"/>
    <d v="2025-01-11T00:00:00"/>
    <s v="Phone"/>
    <n v="4"/>
    <n v="1"/>
    <n v="7"/>
    <s v="Yes"/>
    <d v="2025-01-01T00:00:00"/>
    <n v="2025"/>
    <n v="1"/>
    <s v="Yes"/>
  </r>
  <r>
    <s v="SR-2025-00982"/>
    <x v="3"/>
    <s v="Sidewalk Damage"/>
    <s v="High"/>
    <x v="0"/>
    <s v="Ward 4"/>
    <x v="37"/>
    <d v="2026-01-04T00:00:00"/>
    <s v="Web"/>
    <n v="5"/>
    <n v="7"/>
    <n v="7"/>
    <s v="Yes"/>
    <d v="2025-12-01T00:00:00"/>
    <n v="2025"/>
    <n v="4"/>
    <s v="Yes"/>
  </r>
  <r>
    <s v="SR-2025-00983"/>
    <x v="1"/>
    <s v="Parking Complaint"/>
    <s v="Medium"/>
    <x v="0"/>
    <s v="Ward 4"/>
    <x v="286"/>
    <d v="2025-01-19T00:00:00"/>
    <s v="Web"/>
    <n v="4"/>
    <n v="7"/>
    <n v="10"/>
    <s v="Yes"/>
    <d v="2025-01-01T00:00:00"/>
    <n v="2025"/>
    <n v="1"/>
    <s v="Yes"/>
  </r>
  <r>
    <s v="SR-2025-00984"/>
    <x v="1"/>
    <s v="Parking Complaint"/>
    <s v="Medium"/>
    <x v="0"/>
    <s v="Ward 2"/>
    <x v="308"/>
    <d v="2025-03-02T00:00:00"/>
    <s v="Phone"/>
    <n v="3"/>
    <n v="10"/>
    <n v="10"/>
    <s v="Yes"/>
    <d v="2025-02-01T00:00:00"/>
    <n v="2025"/>
    <n v="1"/>
    <s v="Yes"/>
  </r>
  <r>
    <s v="SR-2025-00985"/>
    <x v="2"/>
    <s v="Missed Garbage Pickup"/>
    <s v="Low"/>
    <x v="2"/>
    <s v="Ward 2"/>
    <x v="122"/>
    <m/>
    <s v="Web"/>
    <m/>
    <m/>
    <n v="14"/>
    <s v="Pending"/>
    <d v="2025-12-01T00:00:00"/>
    <n v="2025"/>
    <n v="4"/>
    <s v="No"/>
  </r>
  <r>
    <s v="SR-2025-00986"/>
    <x v="1"/>
    <s v="Parking Complaint"/>
    <s v="Low"/>
    <x v="0"/>
    <s v="Ward 2"/>
    <x v="175"/>
    <d v="2025-06-11T00:00:00"/>
    <s v="Email"/>
    <n v="2"/>
    <n v="9"/>
    <n v="14"/>
    <s v="Yes"/>
    <d v="2025-06-01T00:00:00"/>
    <n v="2025"/>
    <n v="2"/>
    <s v="Yes"/>
  </r>
  <r>
    <s v="SR-2025-00987"/>
    <x v="2"/>
    <s v="Illegal Dumping"/>
    <s v="Medium"/>
    <x v="1"/>
    <s v="Ward 1"/>
    <x v="340"/>
    <m/>
    <s v="Phone"/>
    <m/>
    <m/>
    <n v="10"/>
    <s v="Pending"/>
    <d v="2025-03-01T00:00:00"/>
    <n v="2025"/>
    <n v="1"/>
    <s v="No"/>
  </r>
  <r>
    <s v="SR-2025-00988"/>
    <x v="5"/>
    <s v="Park Equipment Damage"/>
    <s v="Medium"/>
    <x v="1"/>
    <s v="Ward 1"/>
    <x v="318"/>
    <m/>
    <s v="Mobile App"/>
    <m/>
    <m/>
    <n v="10"/>
    <s v="Pending"/>
    <d v="2025-07-01T00:00:00"/>
    <n v="2025"/>
    <n v="3"/>
    <s v="No"/>
  </r>
  <r>
    <s v="SR-2025-00989"/>
    <x v="3"/>
    <s v="Sidewalk Damage"/>
    <s v="Medium"/>
    <x v="0"/>
    <s v="Ward 2"/>
    <x v="211"/>
    <d v="2025-09-07T00:00:00"/>
    <s v="Web"/>
    <n v="4"/>
    <n v="2"/>
    <n v="10"/>
    <s v="Yes"/>
    <d v="2025-09-01T00:00:00"/>
    <n v="2025"/>
    <n v="3"/>
    <s v="Yes"/>
  </r>
  <r>
    <s v="SR-2025-00990"/>
    <x v="2"/>
    <s v="Missed Garbage Pickup"/>
    <s v="Low"/>
    <x v="0"/>
    <s v="Ward 4"/>
    <x v="109"/>
    <d v="2025-03-13T00:00:00"/>
    <s v="Web"/>
    <n v="4"/>
    <n v="7"/>
    <n v="14"/>
    <s v="Yes"/>
    <d v="2025-03-01T00:00:00"/>
    <n v="2025"/>
    <n v="1"/>
    <s v="Yes"/>
  </r>
  <r>
    <s v="SR-2025-00991"/>
    <x v="0"/>
    <s v="Traffic Signal Issue"/>
    <s v="High"/>
    <x v="0"/>
    <s v="Ward 5"/>
    <x v="62"/>
    <d v="2025-10-06T00:00:00"/>
    <s v="Email"/>
    <n v="5"/>
    <n v="2"/>
    <n v="7"/>
    <s v="Yes"/>
    <d v="2025-10-01T00:00:00"/>
    <n v="2025"/>
    <n v="4"/>
    <s v="Yes"/>
  </r>
  <r>
    <s v="SR-2025-00992"/>
    <x v="1"/>
    <s v="Animal Complaint"/>
    <s v="Low"/>
    <x v="1"/>
    <s v="Ward 3"/>
    <x v="240"/>
    <m/>
    <s v="Phone"/>
    <m/>
    <m/>
    <n v="14"/>
    <s v="Pending"/>
    <d v="2025-11-01T00:00:00"/>
    <n v="2025"/>
    <n v="4"/>
    <s v="No"/>
  </r>
  <r>
    <s v="SR-2025-00993"/>
    <x v="3"/>
    <s v="Pothole Repair"/>
    <s v="High"/>
    <x v="0"/>
    <s v="Ward 4"/>
    <x v="89"/>
    <d v="2025-11-06T00:00:00"/>
    <s v="Mobile App"/>
    <n v="5"/>
    <n v="3"/>
    <n v="7"/>
    <s v="Yes"/>
    <d v="2025-11-01T00:00:00"/>
    <n v="2025"/>
    <n v="4"/>
    <s v="Yes"/>
  </r>
  <r>
    <s v="SR-2025-00994"/>
    <x v="0"/>
    <s v="Traffic Signal Issue"/>
    <s v="Medium"/>
    <x v="0"/>
    <s v="Ward 5"/>
    <x v="162"/>
    <d v="2025-01-28T00:00:00"/>
    <s v="Web"/>
    <n v="5"/>
    <n v="4"/>
    <n v="10"/>
    <s v="Yes"/>
    <d v="2025-01-01T00:00:00"/>
    <n v="2025"/>
    <n v="1"/>
    <s v="Yes"/>
  </r>
  <r>
    <s v="SR-2025-00995"/>
    <x v="2"/>
    <s v="Missed Garbage Pickup"/>
    <s v="Medium"/>
    <x v="0"/>
    <s v="Ward 4"/>
    <x v="157"/>
    <d v="2025-03-23T00:00:00"/>
    <s v="Phone"/>
    <n v="5"/>
    <n v="10"/>
    <n v="10"/>
    <s v="Yes"/>
    <d v="2025-03-01T00:00:00"/>
    <n v="2025"/>
    <n v="1"/>
    <s v="Yes"/>
  </r>
  <r>
    <s v="SR-2025-00996"/>
    <x v="1"/>
    <s v="Parking Complaint"/>
    <s v="High"/>
    <x v="2"/>
    <s v="Ward 3"/>
    <x v="66"/>
    <m/>
    <s v="Email"/>
    <m/>
    <m/>
    <n v="7"/>
    <s v="Pending"/>
    <d v="2025-11-01T00:00:00"/>
    <n v="2025"/>
    <n v="4"/>
    <s v="No"/>
  </r>
  <r>
    <s v="SR-2025-00997"/>
    <x v="2"/>
    <s v="Recycling Issue"/>
    <s v="Medium"/>
    <x v="0"/>
    <s v="Ward 3"/>
    <x v="343"/>
    <d v="2025-04-27T00:00:00"/>
    <s v="Web"/>
    <n v="5"/>
    <n v="9"/>
    <n v="10"/>
    <s v="Yes"/>
    <d v="2025-04-01T00:00:00"/>
    <n v="2025"/>
    <n v="2"/>
    <s v="Yes"/>
  </r>
  <r>
    <s v="SR-2025-00998"/>
    <x v="0"/>
    <s v="Traffic Signal Issue"/>
    <s v="Medium"/>
    <x v="0"/>
    <s v="Ward 2"/>
    <x v="53"/>
    <d v="2025-09-03T00:00:00"/>
    <s v="Email"/>
    <n v="5"/>
    <n v="2"/>
    <n v="10"/>
    <s v="Yes"/>
    <d v="2025-09-01T00:00:00"/>
    <n v="2025"/>
    <n v="3"/>
    <s v="Yes"/>
  </r>
  <r>
    <s v="SR-2025-00999"/>
    <x v="1"/>
    <s v="Animal Complaint"/>
    <s v="High"/>
    <x v="0"/>
    <s v="Ward 1"/>
    <x v="279"/>
    <d v="2025-12-05T00:00:00"/>
    <s v="Email"/>
    <n v="2"/>
    <n v="6"/>
    <n v="7"/>
    <s v="Yes"/>
    <d v="2025-11-01T00:00:00"/>
    <n v="2025"/>
    <n v="4"/>
    <s v="Yes"/>
  </r>
  <r>
    <s v="SR-2025-01000"/>
    <x v="0"/>
    <s v="Streetlight Repair"/>
    <s v="Medium"/>
    <x v="1"/>
    <s v="Ward 3"/>
    <x v="225"/>
    <m/>
    <s v="Email"/>
    <m/>
    <m/>
    <n v="10"/>
    <s v="Pending"/>
    <d v="2025-11-01T00:00:00"/>
    <n v="2025"/>
    <n v="4"/>
    <s v="No"/>
  </r>
  <r>
    <s v="SR-2025-01001"/>
    <x v="5"/>
    <s v="Tree Maintenance"/>
    <s v="Low"/>
    <x v="0"/>
    <s v="Ward 1"/>
    <x v="182"/>
    <d v="2025-04-19T00:00:00"/>
    <s v="Mobile App"/>
    <n v="1"/>
    <n v="10"/>
    <n v="14"/>
    <s v="Yes"/>
    <d v="2025-04-01T00:00:00"/>
    <n v="2025"/>
    <n v="2"/>
    <s v="Yes"/>
  </r>
  <r>
    <s v="SR-2025-01002"/>
    <x v="0"/>
    <s v="Road Sign Damage"/>
    <s v="Low"/>
    <x v="1"/>
    <s v="Ward 3"/>
    <x v="56"/>
    <m/>
    <s v="Phone"/>
    <m/>
    <m/>
    <n v="14"/>
    <s v="Pending"/>
    <d v="2025-11-01T00:00:00"/>
    <n v="2025"/>
    <n v="4"/>
    <s v="No"/>
  </r>
  <r>
    <s v="SR-2025-01003"/>
    <x v="5"/>
    <s v="Trail Maintenance"/>
    <s v="Critical"/>
    <x v="0"/>
    <s v="Ward 4"/>
    <x v="246"/>
    <d v="2025-09-11T00:00:00"/>
    <s v="Web"/>
    <n v="1"/>
    <n v="1"/>
    <n v="3"/>
    <s v="Yes"/>
    <d v="2025-09-01T00:00:00"/>
    <n v="2025"/>
    <n v="3"/>
    <s v="Yes"/>
  </r>
  <r>
    <s v="SR-2025-01004"/>
    <x v="2"/>
    <s v="Green Bin Issue"/>
    <s v="Low"/>
    <x v="0"/>
    <s v="Ward 5"/>
    <x v="119"/>
    <d v="2025-10-30T00:00:00"/>
    <s v="Phone"/>
    <n v="5"/>
    <n v="13"/>
    <n v="14"/>
    <s v="Yes"/>
    <d v="2025-10-01T00:00:00"/>
    <n v="2025"/>
    <n v="4"/>
    <s v="Yes"/>
  </r>
  <r>
    <s v="SR-2025-01005"/>
    <x v="3"/>
    <s v="Road Damage"/>
    <s v="High"/>
    <x v="0"/>
    <s v="Ward 5"/>
    <x v="344"/>
    <d v="2025-10-26T00:00:00"/>
    <s v="Mobile App"/>
    <n v="3"/>
    <n v="7"/>
    <n v="7"/>
    <s v="Yes"/>
    <d v="2025-10-01T00:00:00"/>
    <n v="2025"/>
    <n v="4"/>
    <s v="Yes"/>
  </r>
  <r>
    <s v="SR-2025-01006"/>
    <x v="5"/>
    <s v="Tree Maintenance"/>
    <s v="Critical"/>
    <x v="0"/>
    <s v="Ward 4"/>
    <x v="174"/>
    <d v="2025-10-02T00:00:00"/>
    <s v="Web"/>
    <n v="5"/>
    <n v="2"/>
    <n v="3"/>
    <s v="Yes"/>
    <d v="2025-09-01T00:00:00"/>
    <n v="2025"/>
    <n v="3"/>
    <s v="Yes"/>
  </r>
  <r>
    <s v="SR-2025-01007"/>
    <x v="4"/>
    <s v="Water Leak"/>
    <s v="High"/>
    <x v="0"/>
    <s v="Ward 5"/>
    <x v="324"/>
    <d v="2025-07-31T00:00:00"/>
    <s v="Email"/>
    <n v="3"/>
    <n v="3"/>
    <n v="7"/>
    <s v="Yes"/>
    <d v="2025-07-01T00:00:00"/>
    <n v="2025"/>
    <n v="3"/>
    <s v="Yes"/>
  </r>
  <r>
    <s v="SR-2025-01008"/>
    <x v="4"/>
    <s v="Sewer Backup"/>
    <s v="Medium"/>
    <x v="0"/>
    <s v="Ward 4"/>
    <x v="0"/>
    <d v="2025-04-27T00:00:00"/>
    <s v="In Person"/>
    <n v="3"/>
    <n v="2"/>
    <n v="10"/>
    <s v="Yes"/>
    <d v="2025-04-01T00:00:00"/>
    <n v="2025"/>
    <n v="2"/>
    <s v="Yes"/>
  </r>
  <r>
    <s v="SR-2025-01009"/>
    <x v="4"/>
    <s v="Sewer Backup"/>
    <s v="Low"/>
    <x v="0"/>
    <s v="Ward 2"/>
    <x v="30"/>
    <d v="2025-02-23T00:00:00"/>
    <s v="Email"/>
    <n v="5"/>
    <n v="12"/>
    <n v="14"/>
    <s v="Yes"/>
    <d v="2025-02-01T00:00:00"/>
    <n v="2025"/>
    <n v="1"/>
    <s v="Yes"/>
  </r>
  <r>
    <s v="SR-2025-01010"/>
    <x v="3"/>
    <s v="Road Damage"/>
    <s v="Low"/>
    <x v="0"/>
    <s v="Ward 1"/>
    <x v="57"/>
    <d v="2025-02-15T00:00:00"/>
    <s v="Email"/>
    <n v="4"/>
    <n v="13"/>
    <n v="14"/>
    <s v="Yes"/>
    <d v="2025-02-01T00:00:00"/>
    <n v="2025"/>
    <n v="1"/>
    <s v="Yes"/>
  </r>
  <r>
    <s v="SR-2025-01011"/>
    <x v="4"/>
    <s v="Water Leak"/>
    <s v="Medium"/>
    <x v="0"/>
    <s v="Ward 4"/>
    <x v="181"/>
    <d v="2025-06-27T00:00:00"/>
    <s v="Phone"/>
    <n v="3"/>
    <n v="6"/>
    <n v="10"/>
    <s v="Yes"/>
    <d v="2025-06-01T00:00:00"/>
    <n v="2025"/>
    <n v="2"/>
    <s v="Yes"/>
  </r>
  <r>
    <s v="SR-2025-01012"/>
    <x v="2"/>
    <s v="Missed Garbage Pickup"/>
    <s v="High"/>
    <x v="0"/>
    <s v="Ward 5"/>
    <x v="40"/>
    <d v="2025-05-03T00:00:00"/>
    <s v="Email"/>
    <n v="5"/>
    <n v="1"/>
    <n v="7"/>
    <s v="Yes"/>
    <d v="2025-05-01T00:00:00"/>
    <n v="2025"/>
    <n v="2"/>
    <s v="Yes"/>
  </r>
  <r>
    <s v="SR-2025-01013"/>
    <x v="3"/>
    <s v="Snow Removal"/>
    <s v="Medium"/>
    <x v="0"/>
    <s v="Ward 1"/>
    <x v="306"/>
    <d v="2025-02-03T00:00:00"/>
    <s v="Phone"/>
    <n v="4"/>
    <n v="2"/>
    <n v="10"/>
    <s v="Yes"/>
    <d v="2025-02-01T00:00:00"/>
    <n v="2025"/>
    <n v="1"/>
    <s v="Yes"/>
  </r>
  <r>
    <s v="SR-2025-01014"/>
    <x v="3"/>
    <s v="Snow Removal"/>
    <s v="Low"/>
    <x v="0"/>
    <s v="Ward 1"/>
    <x v="82"/>
    <d v="2025-08-14T00:00:00"/>
    <s v="In Person"/>
    <n v="2"/>
    <n v="4"/>
    <n v="14"/>
    <s v="Yes"/>
    <d v="2025-08-01T00:00:00"/>
    <n v="2025"/>
    <n v="3"/>
    <s v="Yes"/>
  </r>
  <r>
    <s v="SR-2025-01015"/>
    <x v="3"/>
    <s v="Sidewalk Damage"/>
    <s v="High"/>
    <x v="0"/>
    <s v="Ward 5"/>
    <x v="127"/>
    <d v="2025-11-20T00:00:00"/>
    <s v="In Person"/>
    <n v="4"/>
    <n v="7"/>
    <n v="7"/>
    <s v="Yes"/>
    <d v="2025-11-01T00:00:00"/>
    <n v="2025"/>
    <n v="4"/>
    <s v="Yes"/>
  </r>
  <r>
    <s v="SR-2025-01016"/>
    <x v="3"/>
    <s v="Snow Removal"/>
    <s v="Medium"/>
    <x v="1"/>
    <s v="Ward 5"/>
    <x v="240"/>
    <m/>
    <s v="Web"/>
    <m/>
    <m/>
    <n v="10"/>
    <s v="Pending"/>
    <d v="2025-11-01T00:00:00"/>
    <n v="2025"/>
    <n v="4"/>
    <s v="No"/>
  </r>
  <r>
    <s v="SR-2025-01017"/>
    <x v="2"/>
    <s v="Missed Garbage Pickup"/>
    <s v="Medium"/>
    <x v="0"/>
    <s v="Ward 5"/>
    <x v="182"/>
    <d v="2025-04-12T00:00:00"/>
    <s v="Web"/>
    <n v="2"/>
    <n v="3"/>
    <n v="10"/>
    <s v="Yes"/>
    <d v="2025-04-01T00:00:00"/>
    <n v="2025"/>
    <n v="2"/>
    <s v="Yes"/>
  </r>
  <r>
    <s v="SR-2025-01018"/>
    <x v="1"/>
    <s v="Property Standards"/>
    <s v="High"/>
    <x v="0"/>
    <s v="Ward 4"/>
    <x v="88"/>
    <d v="2025-09-21T00:00:00"/>
    <s v="In Person"/>
    <n v="4"/>
    <n v="3"/>
    <n v="7"/>
    <s v="Yes"/>
    <d v="2025-09-01T00:00:00"/>
    <n v="2025"/>
    <n v="3"/>
    <s v="Yes"/>
  </r>
  <r>
    <s v="SR-2025-01019"/>
    <x v="4"/>
    <s v="Low Water Pressure"/>
    <s v="Low"/>
    <x v="1"/>
    <s v="Ward 2"/>
    <x v="164"/>
    <m/>
    <s v="Mobile App"/>
    <m/>
    <m/>
    <n v="14"/>
    <s v="Pending"/>
    <d v="2025-01-01T00:00:00"/>
    <n v="2025"/>
    <n v="1"/>
    <s v="No"/>
  </r>
  <r>
    <s v="SR-2025-01020"/>
    <x v="1"/>
    <s v="Animal Complaint"/>
    <s v="Medium"/>
    <x v="0"/>
    <s v="Ward 5"/>
    <x v="242"/>
    <d v="2025-07-09T00:00:00"/>
    <s v="Phone"/>
    <n v="4"/>
    <n v="6"/>
    <n v="10"/>
    <s v="Yes"/>
    <d v="2025-07-01T00:00:00"/>
    <n v="2025"/>
    <n v="3"/>
    <s v="Yes"/>
  </r>
  <r>
    <s v="SR-2025-01021"/>
    <x v="5"/>
    <s v="Trail Maintenance"/>
    <s v="Medium"/>
    <x v="0"/>
    <s v="Ward 2"/>
    <x v="333"/>
    <d v="2025-07-10T00:00:00"/>
    <s v="Web"/>
    <n v="4"/>
    <n v="2"/>
    <n v="10"/>
    <s v="Yes"/>
    <d v="2025-07-01T00:00:00"/>
    <n v="2025"/>
    <n v="3"/>
    <s v="Yes"/>
  </r>
  <r>
    <s v="SR-2025-01022"/>
    <x v="5"/>
    <s v="Tree Maintenance"/>
    <s v="Medium"/>
    <x v="0"/>
    <s v="Ward 3"/>
    <x v="283"/>
    <d v="2025-04-18T00:00:00"/>
    <s v="Phone"/>
    <n v="5"/>
    <n v="5"/>
    <n v="10"/>
    <s v="Yes"/>
    <d v="2025-04-01T00:00:00"/>
    <n v="2025"/>
    <n v="2"/>
    <s v="Yes"/>
  </r>
  <r>
    <s v="SR-2025-01023"/>
    <x v="0"/>
    <s v="Traffic Concern"/>
    <s v="Medium"/>
    <x v="2"/>
    <s v="Ward 3"/>
    <x v="225"/>
    <m/>
    <s v="In Person"/>
    <m/>
    <m/>
    <n v="10"/>
    <s v="Pending"/>
    <d v="2025-11-01T00:00:00"/>
    <n v="2025"/>
    <n v="4"/>
    <s v="No"/>
  </r>
  <r>
    <s v="SR-2025-01024"/>
    <x v="1"/>
    <s v="Parking Complaint"/>
    <s v="Medium"/>
    <x v="0"/>
    <s v="Ward 1"/>
    <x v="171"/>
    <d v="2025-03-28T00:00:00"/>
    <s v="Email"/>
    <n v="4"/>
    <n v="3"/>
    <n v="10"/>
    <s v="Yes"/>
    <d v="2025-03-01T00:00:00"/>
    <n v="2025"/>
    <n v="1"/>
    <s v="Yes"/>
  </r>
  <r>
    <s v="SR-2025-01025"/>
    <x v="5"/>
    <s v="Tree Maintenance"/>
    <s v="Medium"/>
    <x v="0"/>
    <s v="Ward 3"/>
    <x v="345"/>
    <d v="2025-09-01T00:00:00"/>
    <s v="Email"/>
    <n v="3"/>
    <n v="5"/>
    <n v="10"/>
    <s v="Yes"/>
    <d v="2025-08-01T00:00:00"/>
    <n v="2025"/>
    <n v="3"/>
    <s v="Yes"/>
  </r>
  <r>
    <s v="SR-2025-01026"/>
    <x v="5"/>
    <s v="Trail Maintenance"/>
    <s v="Low"/>
    <x v="2"/>
    <s v="Ward 1"/>
    <x v="5"/>
    <m/>
    <s v="Web"/>
    <m/>
    <m/>
    <n v="14"/>
    <s v="Pending"/>
    <d v="2025-07-01T00:00:00"/>
    <n v="2025"/>
    <n v="3"/>
    <s v="No"/>
  </r>
  <r>
    <s v="SR-2025-01027"/>
    <x v="2"/>
    <s v="Missed Garbage Pickup"/>
    <s v="Medium"/>
    <x v="0"/>
    <s v="Ward 3"/>
    <x v="218"/>
    <d v="2025-08-19T00:00:00"/>
    <s v="Web"/>
    <n v="4"/>
    <n v="5"/>
    <n v="10"/>
    <s v="Yes"/>
    <d v="2025-08-01T00:00:00"/>
    <n v="2025"/>
    <n v="3"/>
    <s v="Yes"/>
  </r>
  <r>
    <s v="SR-2025-01028"/>
    <x v="3"/>
    <s v="Road Damage"/>
    <s v="Low"/>
    <x v="0"/>
    <s v="Ward 5"/>
    <x v="15"/>
    <d v="2025-05-29T00:00:00"/>
    <s v="Phone"/>
    <n v="3"/>
    <n v="14"/>
    <n v="14"/>
    <s v="Yes"/>
    <d v="2025-05-01T00:00:00"/>
    <n v="2025"/>
    <n v="2"/>
    <s v="Yes"/>
  </r>
  <r>
    <s v="SR-2025-01029"/>
    <x v="5"/>
    <s v="Park Equipment Damage"/>
    <s v="Low"/>
    <x v="1"/>
    <s v="Ward 1"/>
    <x v="311"/>
    <m/>
    <s v="Phone"/>
    <m/>
    <m/>
    <n v="14"/>
    <s v="Pending"/>
    <d v="2025-02-01T00:00:00"/>
    <n v="2025"/>
    <n v="1"/>
    <s v="No"/>
  </r>
  <r>
    <s v="SR-2025-01030"/>
    <x v="4"/>
    <s v="Water Leak"/>
    <s v="Medium"/>
    <x v="0"/>
    <s v="Ward 3"/>
    <x v="267"/>
    <d v="2025-08-27T00:00:00"/>
    <s v="Phone"/>
    <n v="4"/>
    <n v="5"/>
    <n v="10"/>
    <s v="Yes"/>
    <d v="2025-08-01T00:00:00"/>
    <n v="2025"/>
    <n v="3"/>
    <s v="Yes"/>
  </r>
  <r>
    <s v="SR-2025-01031"/>
    <x v="1"/>
    <s v="Animal Complaint"/>
    <s v="High"/>
    <x v="0"/>
    <s v="Ward 2"/>
    <x v="305"/>
    <d v="2025-03-17T00:00:00"/>
    <s v="In Person"/>
    <n v="5"/>
    <n v="2"/>
    <n v="7"/>
    <s v="Yes"/>
    <d v="2025-03-01T00:00:00"/>
    <n v="2025"/>
    <n v="1"/>
    <s v="Yes"/>
  </r>
  <r>
    <s v="SR-2025-01032"/>
    <x v="4"/>
    <s v="Sewer Backup"/>
    <s v="Medium"/>
    <x v="0"/>
    <s v="Ward 5"/>
    <x v="66"/>
    <d v="2025-11-27T00:00:00"/>
    <s v="In Person"/>
    <n v="5"/>
    <n v="5"/>
    <n v="10"/>
    <s v="Yes"/>
    <d v="2025-11-01T00:00:00"/>
    <n v="2025"/>
    <n v="4"/>
    <s v="Yes"/>
  </r>
  <r>
    <s v="SR-2025-01033"/>
    <x v="5"/>
    <s v="Grass Cutting"/>
    <s v="High"/>
    <x v="0"/>
    <s v="Ward 2"/>
    <x v="216"/>
    <d v="2025-02-03T00:00:00"/>
    <s v="In Person"/>
    <n v="5"/>
    <n v="6"/>
    <n v="7"/>
    <s v="Yes"/>
    <d v="2025-01-01T00:00:00"/>
    <n v="2025"/>
    <n v="1"/>
    <s v="Yes"/>
  </r>
  <r>
    <s v="SR-2025-01034"/>
    <x v="1"/>
    <s v="Animal Complaint"/>
    <s v="Low"/>
    <x v="0"/>
    <s v="Ward 1"/>
    <x v="42"/>
    <d v="2025-09-13T00:00:00"/>
    <s v="Phone"/>
    <n v="5"/>
    <n v="15"/>
    <n v="14"/>
    <s v="No"/>
    <d v="2025-08-01T00:00:00"/>
    <n v="2025"/>
    <n v="3"/>
    <s v="Yes"/>
  </r>
  <r>
    <s v="SR-2025-01035"/>
    <x v="1"/>
    <s v="Animal Complaint"/>
    <s v="High"/>
    <x v="0"/>
    <s v="Ward 4"/>
    <x v="88"/>
    <d v="2025-09-21T00:00:00"/>
    <s v="Phone"/>
    <n v="4"/>
    <n v="3"/>
    <n v="7"/>
    <s v="Yes"/>
    <d v="2025-09-01T00:00:00"/>
    <n v="2025"/>
    <n v="3"/>
    <s v="Yes"/>
  </r>
  <r>
    <s v="SR-2025-01036"/>
    <x v="2"/>
    <s v="Illegal Dumping"/>
    <s v="Medium"/>
    <x v="0"/>
    <s v="Ward 4"/>
    <x v="192"/>
    <d v="2025-09-20T00:00:00"/>
    <s v="In Person"/>
    <n v="3"/>
    <n v="9"/>
    <n v="10"/>
    <s v="Yes"/>
    <d v="2025-09-01T00:00:00"/>
    <n v="2025"/>
    <n v="3"/>
    <s v="Yes"/>
  </r>
  <r>
    <s v="SR-2025-01037"/>
    <x v="0"/>
    <s v="Streetlight Repair"/>
    <s v="Low"/>
    <x v="2"/>
    <s v="Ward 2"/>
    <x v="132"/>
    <m/>
    <s v="Email"/>
    <m/>
    <m/>
    <n v="14"/>
    <s v="Pending"/>
    <d v="2025-08-01T00:00:00"/>
    <n v="2025"/>
    <n v="3"/>
    <s v="No"/>
  </r>
  <r>
    <s v="SR-2025-01038"/>
    <x v="5"/>
    <s v="Grass Cutting"/>
    <s v="Medium"/>
    <x v="0"/>
    <s v="Ward 1"/>
    <x v="298"/>
    <d v="2025-03-29T00:00:00"/>
    <s v="Phone"/>
    <n v="3"/>
    <n v="7"/>
    <n v="10"/>
    <s v="Yes"/>
    <d v="2025-03-01T00:00:00"/>
    <n v="2025"/>
    <n v="1"/>
    <s v="Yes"/>
  </r>
  <r>
    <s v="SR-2025-01039"/>
    <x v="3"/>
    <s v="Sidewalk Damage"/>
    <s v="Medium"/>
    <x v="0"/>
    <s v="Ward 5"/>
    <x v="38"/>
    <d v="2025-10-28T00:00:00"/>
    <s v="Mobile App"/>
    <n v="4"/>
    <n v="2"/>
    <n v="10"/>
    <s v="Yes"/>
    <d v="2025-10-01T00:00:00"/>
    <n v="2025"/>
    <n v="4"/>
    <s v="Yes"/>
  </r>
  <r>
    <s v="SR-2025-01040"/>
    <x v="4"/>
    <s v="Water Quality Concern"/>
    <s v="Medium"/>
    <x v="0"/>
    <s v="Ward 1"/>
    <x v="148"/>
    <d v="2025-09-19T00:00:00"/>
    <s v="Phone"/>
    <n v="3"/>
    <n v="7"/>
    <n v="10"/>
    <s v="Yes"/>
    <d v="2025-09-01T00:00:00"/>
    <n v="2025"/>
    <n v="3"/>
    <s v="Yes"/>
  </r>
  <r>
    <s v="SR-2025-01041"/>
    <x v="4"/>
    <s v="Low Water Pressure"/>
    <s v="Medium"/>
    <x v="0"/>
    <s v="Ward 5"/>
    <x v="224"/>
    <d v="2025-02-18T00:00:00"/>
    <s v="In Person"/>
    <n v="5"/>
    <n v="6"/>
    <n v="10"/>
    <s v="Yes"/>
    <d v="2025-02-01T00:00:00"/>
    <n v="2025"/>
    <n v="1"/>
    <s v="Yes"/>
  </r>
  <r>
    <s v="SR-2025-01042"/>
    <x v="0"/>
    <s v="Streetlight Repair"/>
    <s v="High"/>
    <x v="2"/>
    <s v="Ward 1"/>
    <x v="308"/>
    <m/>
    <s v="Web"/>
    <m/>
    <m/>
    <n v="7"/>
    <s v="Pending"/>
    <d v="2025-02-01T00:00:00"/>
    <n v="2025"/>
    <n v="1"/>
    <s v="No"/>
  </r>
  <r>
    <s v="SR-2025-01043"/>
    <x v="2"/>
    <s v="Missed Garbage Pickup"/>
    <s v="Medium"/>
    <x v="0"/>
    <s v="Ward 3"/>
    <x v="93"/>
    <d v="2025-12-19T00:00:00"/>
    <s v="Phone"/>
    <n v="3"/>
    <n v="7"/>
    <n v="10"/>
    <s v="Yes"/>
    <d v="2025-12-01T00:00:00"/>
    <n v="2025"/>
    <n v="4"/>
    <s v="Yes"/>
  </r>
  <r>
    <s v="SR-2025-01044"/>
    <x v="0"/>
    <s v="Traffic Signal Issue"/>
    <s v="Critical"/>
    <x v="1"/>
    <s v="Ward 3"/>
    <x v="146"/>
    <m/>
    <s v="Web"/>
    <m/>
    <m/>
    <n v="3"/>
    <s v="Pending"/>
    <d v="2025-10-01T00:00:00"/>
    <n v="2025"/>
    <n v="4"/>
    <s v="No"/>
  </r>
  <r>
    <s v="SR-2025-01045"/>
    <x v="2"/>
    <s v="Illegal Dumping"/>
    <s v="High"/>
    <x v="1"/>
    <s v="Ward 4"/>
    <x v="257"/>
    <m/>
    <s v="In Person"/>
    <m/>
    <m/>
    <n v="7"/>
    <s v="Pending"/>
    <d v="2025-07-01T00:00:00"/>
    <n v="2025"/>
    <n v="3"/>
    <s v="No"/>
  </r>
  <r>
    <s v="SR-2025-01046"/>
    <x v="0"/>
    <s v="Streetlight Repair"/>
    <s v="Medium"/>
    <x v="0"/>
    <s v="Ward 2"/>
    <x v="342"/>
    <d v="2025-03-26T00:00:00"/>
    <s v="Email"/>
    <n v="3"/>
    <n v="8"/>
    <n v="10"/>
    <s v="Yes"/>
    <d v="2025-03-01T00:00:00"/>
    <n v="2025"/>
    <n v="1"/>
    <s v="Yes"/>
  </r>
  <r>
    <s v="SR-2025-01047"/>
    <x v="5"/>
    <s v="Trail Maintenance"/>
    <s v="High"/>
    <x v="0"/>
    <s v="Ward 4"/>
    <x v="18"/>
    <d v="2025-02-16T00:00:00"/>
    <s v="Email"/>
    <n v="5"/>
    <n v="3"/>
    <n v="7"/>
    <s v="Yes"/>
    <d v="2025-02-01T00:00:00"/>
    <n v="2025"/>
    <n v="1"/>
    <s v="Yes"/>
  </r>
  <r>
    <s v="SR-2025-01048"/>
    <x v="5"/>
    <s v="Trail Maintenance"/>
    <s v="Medium"/>
    <x v="0"/>
    <s v="Ward 2"/>
    <x v="95"/>
    <d v="2025-07-15T00:00:00"/>
    <s v="Mobile App"/>
    <n v="4"/>
    <n v="4"/>
    <n v="10"/>
    <s v="Yes"/>
    <d v="2025-07-01T00:00:00"/>
    <n v="2025"/>
    <n v="3"/>
    <s v="Yes"/>
  </r>
  <r>
    <s v="SR-2025-01049"/>
    <x v="0"/>
    <s v="Streetlight Repair"/>
    <s v="Medium"/>
    <x v="0"/>
    <s v="Ward 4"/>
    <x v="328"/>
    <d v="2025-07-08T00:00:00"/>
    <s v="Email"/>
    <n v="3"/>
    <n v="7"/>
    <n v="10"/>
    <s v="Yes"/>
    <d v="2025-07-01T00:00:00"/>
    <n v="2025"/>
    <n v="3"/>
    <s v="Yes"/>
  </r>
  <r>
    <s v="SR-2025-01050"/>
    <x v="0"/>
    <s v="Road Sign Damage"/>
    <s v="Medium"/>
    <x v="0"/>
    <s v="Ward 3"/>
    <x v="152"/>
    <d v="2025-01-21T00:00:00"/>
    <s v="In Person"/>
    <n v="3"/>
    <n v="4"/>
    <n v="10"/>
    <s v="Yes"/>
    <d v="2025-01-01T00:00:00"/>
    <n v="2025"/>
    <n v="1"/>
    <s v="Yes"/>
  </r>
  <r>
    <s v="SR-2025-01051"/>
    <x v="0"/>
    <s v="Traffic Concern"/>
    <s v="Critical"/>
    <x v="0"/>
    <s v="Ward 2"/>
    <x v="337"/>
    <d v="2025-07-20T00:00:00"/>
    <s v="Email"/>
    <n v="4"/>
    <n v="0"/>
    <n v="3"/>
    <s v="Yes"/>
    <d v="2025-07-01T00:00:00"/>
    <n v="2025"/>
    <n v="3"/>
    <s v="Yes"/>
  </r>
  <r>
    <s v="SR-2025-01052"/>
    <x v="3"/>
    <s v="Sidewalk Damage"/>
    <s v="Medium"/>
    <x v="0"/>
    <s v="Ward 5"/>
    <x v="81"/>
    <d v="2025-06-08T00:00:00"/>
    <s v="Phone"/>
    <n v="3"/>
    <n v="3"/>
    <n v="10"/>
    <s v="Yes"/>
    <d v="2025-06-01T00:00:00"/>
    <n v="2025"/>
    <n v="2"/>
    <s v="Yes"/>
  </r>
  <r>
    <s v="SR-2025-01053"/>
    <x v="3"/>
    <s v="Snow Removal"/>
    <s v="Low"/>
    <x v="0"/>
    <s v="Ward 3"/>
    <x v="318"/>
    <d v="2025-07-24T00:00:00"/>
    <s v="In Person"/>
    <n v="3"/>
    <n v="7"/>
    <n v="14"/>
    <s v="Yes"/>
    <d v="2025-07-01T00:00:00"/>
    <n v="2025"/>
    <n v="3"/>
    <s v="Yes"/>
  </r>
  <r>
    <s v="SR-2025-01054"/>
    <x v="3"/>
    <s v="Snow Removal"/>
    <s v="Low"/>
    <x v="0"/>
    <s v="Ward 4"/>
    <x v="173"/>
    <d v="2025-04-06T00:00:00"/>
    <s v="Email"/>
    <n v="5"/>
    <n v="8"/>
    <n v="14"/>
    <s v="Yes"/>
    <d v="2025-03-01T00:00:00"/>
    <n v="2025"/>
    <n v="1"/>
    <s v="Yes"/>
  </r>
  <r>
    <s v="SR-2025-01055"/>
    <x v="5"/>
    <s v="Tree Maintenance"/>
    <s v="Low"/>
    <x v="0"/>
    <s v="Ward 2"/>
    <x v="94"/>
    <d v="2025-02-14T00:00:00"/>
    <s v="Phone"/>
    <n v="5"/>
    <n v="9"/>
    <n v="14"/>
    <s v="Yes"/>
    <d v="2025-02-01T00:00:00"/>
    <n v="2025"/>
    <n v="1"/>
    <s v="Yes"/>
  </r>
  <r>
    <s v="SR-2025-01056"/>
    <x v="5"/>
    <s v="Grass Cutting"/>
    <s v="Medium"/>
    <x v="0"/>
    <s v="Ward 3"/>
    <x v="53"/>
    <d v="2025-09-05T00:00:00"/>
    <s v="In Person"/>
    <n v="4"/>
    <n v="4"/>
    <n v="10"/>
    <s v="Yes"/>
    <d v="2025-09-01T00:00:00"/>
    <n v="2025"/>
    <n v="3"/>
    <s v="Yes"/>
  </r>
  <r>
    <s v="SR-2025-01057"/>
    <x v="5"/>
    <s v="Trail Maintenance"/>
    <s v="Medium"/>
    <x v="0"/>
    <s v="Ward 4"/>
    <x v="305"/>
    <d v="2025-03-24T00:00:00"/>
    <s v="In Person"/>
    <n v="2"/>
    <n v="9"/>
    <n v="10"/>
    <s v="Yes"/>
    <d v="2025-03-01T00:00:00"/>
    <n v="2025"/>
    <n v="1"/>
    <s v="Yes"/>
  </r>
  <r>
    <s v="SR-2025-01058"/>
    <x v="5"/>
    <s v="Grass Cutting"/>
    <s v="High"/>
    <x v="2"/>
    <s v="Ward 4"/>
    <x v="322"/>
    <m/>
    <s v="In Person"/>
    <m/>
    <m/>
    <n v="7"/>
    <s v="Pending"/>
    <d v="2025-08-01T00:00:00"/>
    <n v="2025"/>
    <n v="3"/>
    <s v="No"/>
  </r>
  <r>
    <s v="SR-2025-01059"/>
    <x v="3"/>
    <s v="Pothole Repair"/>
    <s v="Medium"/>
    <x v="2"/>
    <s v="Ward 3"/>
    <x v="267"/>
    <m/>
    <s v="Mobile App"/>
    <m/>
    <m/>
    <n v="10"/>
    <s v="Pending"/>
    <d v="2025-08-01T00:00:00"/>
    <n v="2025"/>
    <n v="3"/>
    <s v="No"/>
  </r>
  <r>
    <s v="SR-2025-01060"/>
    <x v="4"/>
    <s v="Low Water Pressure"/>
    <s v="Medium"/>
    <x v="0"/>
    <s v="Ward 2"/>
    <x v="127"/>
    <d v="2025-11-21T00:00:00"/>
    <s v="In Person"/>
    <n v="4"/>
    <n v="8"/>
    <n v="10"/>
    <s v="Yes"/>
    <d v="2025-11-01T00:00:00"/>
    <n v="2025"/>
    <n v="4"/>
    <s v="Yes"/>
  </r>
  <r>
    <s v="SR-2025-01061"/>
    <x v="3"/>
    <s v="Snow Removal"/>
    <s v="Medium"/>
    <x v="0"/>
    <s v="Ward 5"/>
    <x v="298"/>
    <d v="2025-03-28T00:00:00"/>
    <s v="Mobile App"/>
    <n v="5"/>
    <n v="6"/>
    <n v="10"/>
    <s v="Yes"/>
    <d v="2025-03-01T00:00:00"/>
    <n v="2025"/>
    <n v="1"/>
    <s v="Yes"/>
  </r>
  <r>
    <s v="SR-2025-01062"/>
    <x v="0"/>
    <s v="Streetlight Repair"/>
    <s v="Medium"/>
    <x v="0"/>
    <s v="Ward 5"/>
    <x v="186"/>
    <d v="2025-05-01T00:00:00"/>
    <s v="Web"/>
    <n v="4"/>
    <n v="9"/>
    <n v="10"/>
    <s v="Yes"/>
    <d v="2025-04-01T00:00:00"/>
    <n v="2025"/>
    <n v="2"/>
    <s v="Yes"/>
  </r>
  <r>
    <s v="SR-2025-01063"/>
    <x v="2"/>
    <s v="Missed Garbage Pickup"/>
    <s v="High"/>
    <x v="0"/>
    <s v="Ward 3"/>
    <x v="202"/>
    <d v="2025-06-20T00:00:00"/>
    <s v="Phone"/>
    <n v="4"/>
    <n v="4"/>
    <n v="7"/>
    <s v="Yes"/>
    <d v="2025-06-01T00:00:00"/>
    <n v="2025"/>
    <n v="2"/>
    <s v="Yes"/>
  </r>
  <r>
    <s v="SR-2025-01064"/>
    <x v="1"/>
    <s v="Noise Complaint"/>
    <s v="Medium"/>
    <x v="0"/>
    <s v="Ward 4"/>
    <x v="118"/>
    <d v="2025-12-31T00:00:00"/>
    <s v="Phone"/>
    <n v="4"/>
    <n v="9"/>
    <n v="10"/>
    <s v="Yes"/>
    <d v="2025-12-01T00:00:00"/>
    <n v="2025"/>
    <n v="4"/>
    <s v="Yes"/>
  </r>
  <r>
    <s v="SR-2025-01065"/>
    <x v="4"/>
    <s v="Water Leak"/>
    <s v="Low"/>
    <x v="0"/>
    <s v="Ward 4"/>
    <x v="275"/>
    <d v="2025-03-19T00:00:00"/>
    <s v="Email"/>
    <n v="5"/>
    <n v="8"/>
    <n v="14"/>
    <s v="Yes"/>
    <d v="2025-03-01T00:00:00"/>
    <n v="2025"/>
    <n v="1"/>
    <s v="Yes"/>
  </r>
  <r>
    <s v="SR-2025-01066"/>
    <x v="4"/>
    <s v="Water Leak"/>
    <s v="Low"/>
    <x v="0"/>
    <s v="Ward 3"/>
    <x v="134"/>
    <d v="2025-08-18T00:00:00"/>
    <s v="Phone"/>
    <n v="4"/>
    <n v="5"/>
    <n v="14"/>
    <s v="Yes"/>
    <d v="2025-08-01T00:00:00"/>
    <n v="2025"/>
    <n v="3"/>
    <s v="Yes"/>
  </r>
  <r>
    <s v="SR-2025-01067"/>
    <x v="5"/>
    <s v="Tree Maintenance"/>
    <s v="Medium"/>
    <x v="0"/>
    <s v="Ward 2"/>
    <x v="147"/>
    <d v="2025-03-15T00:00:00"/>
    <s v="Web"/>
    <n v="5"/>
    <n v="10"/>
    <n v="10"/>
    <s v="Yes"/>
    <d v="2025-03-01T00:00:00"/>
    <n v="2025"/>
    <n v="1"/>
    <s v="Yes"/>
  </r>
  <r>
    <s v="SR-2025-01068"/>
    <x v="0"/>
    <s v="Streetlight Repair"/>
    <s v="Medium"/>
    <x v="0"/>
    <s v="Ward 1"/>
    <x v="242"/>
    <d v="2025-07-07T00:00:00"/>
    <s v="In Person"/>
    <n v="3"/>
    <n v="4"/>
    <n v="10"/>
    <s v="Yes"/>
    <d v="2025-07-01T00:00:00"/>
    <n v="2025"/>
    <n v="3"/>
    <s v="Yes"/>
  </r>
  <r>
    <s v="SR-2025-01069"/>
    <x v="5"/>
    <s v="Trail Maintenance"/>
    <s v="Medium"/>
    <x v="1"/>
    <s v="Ward 1"/>
    <x v="289"/>
    <m/>
    <s v="Email"/>
    <m/>
    <m/>
    <n v="10"/>
    <s v="Pending"/>
    <d v="2025-09-01T00:00:00"/>
    <n v="2025"/>
    <n v="3"/>
    <s v="No"/>
  </r>
  <r>
    <s v="SR-2025-01070"/>
    <x v="0"/>
    <s v="Road Sign Damage"/>
    <s v="Medium"/>
    <x v="0"/>
    <s v="Ward 2"/>
    <x v="12"/>
    <d v="2025-02-02T00:00:00"/>
    <s v="Mobile App"/>
    <n v="5"/>
    <n v="8"/>
    <n v="10"/>
    <s v="Yes"/>
    <d v="2025-01-01T00:00:00"/>
    <n v="2025"/>
    <n v="1"/>
    <s v="Yes"/>
  </r>
  <r>
    <s v="SR-2025-01071"/>
    <x v="5"/>
    <s v="Park Equipment Damage"/>
    <s v="Low"/>
    <x v="0"/>
    <s v="Ward 1"/>
    <x v="26"/>
    <d v="2025-01-16T00:00:00"/>
    <s v="Phone"/>
    <n v="5"/>
    <n v="8"/>
    <n v="14"/>
    <s v="Yes"/>
    <d v="2025-01-01T00:00:00"/>
    <n v="2025"/>
    <n v="1"/>
    <s v="Yes"/>
  </r>
  <r>
    <s v="SR-2025-01072"/>
    <x v="3"/>
    <s v="Road Damage"/>
    <s v="High"/>
    <x v="0"/>
    <s v="Ward 3"/>
    <x v="277"/>
    <d v="2025-09-21T00:00:00"/>
    <s v="In Person"/>
    <n v="5"/>
    <n v="1"/>
    <n v="7"/>
    <s v="Yes"/>
    <d v="2025-09-01T00:00:00"/>
    <n v="2025"/>
    <n v="3"/>
    <s v="Yes"/>
  </r>
  <r>
    <s v="SR-2025-01073"/>
    <x v="0"/>
    <s v="Traffic Signal Issue"/>
    <s v="Medium"/>
    <x v="2"/>
    <s v="Ward 4"/>
    <x v="329"/>
    <m/>
    <s v="Web"/>
    <m/>
    <m/>
    <n v="10"/>
    <s v="Pending"/>
    <d v="2025-07-01T00:00:00"/>
    <n v="2025"/>
    <n v="3"/>
    <s v="No"/>
  </r>
  <r>
    <s v="SR-2025-01074"/>
    <x v="5"/>
    <s v="Park Equipment Damage"/>
    <s v="Low"/>
    <x v="0"/>
    <s v="Ward 1"/>
    <x v="26"/>
    <d v="2025-01-17T00:00:00"/>
    <s v="Email"/>
    <n v="4"/>
    <n v="9"/>
    <n v="14"/>
    <s v="Yes"/>
    <d v="2025-01-01T00:00:00"/>
    <n v="2025"/>
    <n v="1"/>
    <s v="Yes"/>
  </r>
  <r>
    <s v="SR-2025-01075"/>
    <x v="5"/>
    <s v="Trail Maintenance"/>
    <s v="Low"/>
    <x v="0"/>
    <s v="Ward 1"/>
    <x v="316"/>
    <d v="2025-06-05T00:00:00"/>
    <s v="Web"/>
    <n v="4"/>
    <n v="13"/>
    <n v="14"/>
    <s v="Yes"/>
    <d v="2025-05-01T00:00:00"/>
    <n v="2025"/>
    <n v="2"/>
    <s v="Yes"/>
  </r>
  <r>
    <s v="SR-2025-01076"/>
    <x v="5"/>
    <s v="Trail Maintenance"/>
    <s v="Medium"/>
    <x v="0"/>
    <s v="Ward 5"/>
    <x v="3"/>
    <d v="2025-03-04T00:00:00"/>
    <s v="Phone"/>
    <n v="5"/>
    <n v="10"/>
    <n v="10"/>
    <s v="Yes"/>
    <d v="2025-02-01T00:00:00"/>
    <n v="2025"/>
    <n v="1"/>
    <s v="Yes"/>
  </r>
  <r>
    <s v="SR-2025-01077"/>
    <x v="2"/>
    <s v="Missed Garbage Pickup"/>
    <s v="Medium"/>
    <x v="2"/>
    <s v="Ward 4"/>
    <x v="197"/>
    <m/>
    <s v="Phone"/>
    <m/>
    <m/>
    <n v="10"/>
    <s v="Pending"/>
    <d v="2025-12-01T00:00:00"/>
    <n v="2025"/>
    <n v="4"/>
    <s v="No"/>
  </r>
  <r>
    <s v="SR-2025-01078"/>
    <x v="2"/>
    <s v="Recycling Issue"/>
    <s v="Medium"/>
    <x v="2"/>
    <s v="Ward 4"/>
    <x v="346"/>
    <m/>
    <s v="Web"/>
    <m/>
    <m/>
    <n v="10"/>
    <s v="Pending"/>
    <d v="2025-06-01T00:00:00"/>
    <n v="2025"/>
    <n v="2"/>
    <s v="No"/>
  </r>
  <r>
    <s v="SR-2025-01079"/>
    <x v="2"/>
    <s v="Missed Garbage Pickup"/>
    <s v="Medium"/>
    <x v="0"/>
    <s v="Ward 2"/>
    <x v="96"/>
    <d v="2025-07-25T00:00:00"/>
    <s v="In Person"/>
    <n v="4"/>
    <n v="10"/>
    <n v="10"/>
    <s v="Yes"/>
    <d v="2025-07-01T00:00:00"/>
    <n v="2025"/>
    <n v="3"/>
    <s v="Yes"/>
  </r>
  <r>
    <s v="SR-2025-01080"/>
    <x v="1"/>
    <s v="Noise Complaint"/>
    <s v="Low"/>
    <x v="0"/>
    <s v="Ward 4"/>
    <x v="147"/>
    <d v="2025-03-12T00:00:00"/>
    <s v="Phone"/>
    <n v="3"/>
    <n v="7"/>
    <n v="14"/>
    <s v="Yes"/>
    <d v="2025-03-01T00:00:00"/>
    <n v="2025"/>
    <n v="1"/>
    <s v="Yes"/>
  </r>
  <r>
    <s v="SR-2025-01081"/>
    <x v="1"/>
    <s v="Noise Complaint"/>
    <s v="Low"/>
    <x v="0"/>
    <s v="Ward 2"/>
    <x v="137"/>
    <d v="2025-06-07T00:00:00"/>
    <s v="Web"/>
    <n v="3"/>
    <n v="6"/>
    <n v="14"/>
    <s v="Yes"/>
    <d v="2025-06-01T00:00:00"/>
    <n v="2025"/>
    <n v="2"/>
    <s v="Yes"/>
  </r>
  <r>
    <s v="SR-2025-01082"/>
    <x v="5"/>
    <s v="Trail Maintenance"/>
    <s v="High"/>
    <x v="0"/>
    <s v="Ward 1"/>
    <x v="316"/>
    <d v="2025-05-26T00:00:00"/>
    <s v="In Person"/>
    <n v="4"/>
    <n v="3"/>
    <n v="7"/>
    <s v="Yes"/>
    <d v="2025-05-01T00:00:00"/>
    <n v="2025"/>
    <n v="2"/>
    <s v="Yes"/>
  </r>
  <r>
    <s v="SR-2025-01083"/>
    <x v="4"/>
    <s v="Sewer Backup"/>
    <s v="High"/>
    <x v="0"/>
    <s v="Ward 5"/>
    <x v="22"/>
    <d v="2025-06-22T00:00:00"/>
    <s v="Web"/>
    <n v="3"/>
    <n v="3"/>
    <n v="7"/>
    <s v="Yes"/>
    <d v="2025-06-01T00:00:00"/>
    <n v="2025"/>
    <n v="2"/>
    <s v="Yes"/>
  </r>
  <r>
    <s v="SR-2025-01084"/>
    <x v="0"/>
    <s v="Traffic Signal Issue"/>
    <s v="High"/>
    <x v="0"/>
    <s v="Ward 5"/>
    <x v="195"/>
    <d v="2025-04-29T00:00:00"/>
    <s v="Mobile App"/>
    <n v="5"/>
    <n v="5"/>
    <n v="7"/>
    <s v="Yes"/>
    <d v="2025-04-01T00:00:00"/>
    <n v="2025"/>
    <n v="2"/>
    <s v="Yes"/>
  </r>
  <r>
    <s v="SR-2025-01085"/>
    <x v="5"/>
    <s v="Trail Maintenance"/>
    <s v="Medium"/>
    <x v="0"/>
    <s v="Ward 1"/>
    <x v="72"/>
    <d v="2025-09-12T00:00:00"/>
    <s v="Phone"/>
    <n v="5"/>
    <n v="3"/>
    <n v="10"/>
    <s v="Yes"/>
    <d v="2025-09-01T00:00:00"/>
    <n v="2025"/>
    <n v="3"/>
    <s v="Yes"/>
  </r>
  <r>
    <s v="SR-2025-01086"/>
    <x v="5"/>
    <s v="Park Equipment Damage"/>
    <s v="Low"/>
    <x v="0"/>
    <s v="Ward 4"/>
    <x v="123"/>
    <d v="2025-04-21T00:00:00"/>
    <s v="Email"/>
    <n v="4"/>
    <n v="6"/>
    <n v="14"/>
    <s v="Yes"/>
    <d v="2025-04-01T00:00:00"/>
    <n v="2025"/>
    <n v="2"/>
    <s v="Yes"/>
  </r>
  <r>
    <s v="SR-2025-01087"/>
    <x v="2"/>
    <s v="Recycling Issue"/>
    <s v="High"/>
    <x v="0"/>
    <s v="Ward 3"/>
    <x v="319"/>
    <d v="2025-04-06T00:00:00"/>
    <s v="In Person"/>
    <n v="3"/>
    <n v="5"/>
    <n v="7"/>
    <s v="Yes"/>
    <d v="2025-04-01T00:00:00"/>
    <n v="2025"/>
    <n v="2"/>
    <s v="Yes"/>
  </r>
  <r>
    <s v="SR-2025-01088"/>
    <x v="4"/>
    <s v="Low Water Pressure"/>
    <s v="Medium"/>
    <x v="1"/>
    <s v="Ward 3"/>
    <x v="141"/>
    <m/>
    <s v="Email"/>
    <m/>
    <m/>
    <n v="10"/>
    <s v="Pending"/>
    <d v="2025-02-01T00:00:00"/>
    <n v="2025"/>
    <n v="1"/>
    <s v="No"/>
  </r>
  <r>
    <s v="SR-2025-01089"/>
    <x v="4"/>
    <s v="Low Water Pressure"/>
    <s v="Medium"/>
    <x v="0"/>
    <s v="Ward 4"/>
    <x v="347"/>
    <d v="2025-11-17T00:00:00"/>
    <s v="Web"/>
    <n v="5"/>
    <n v="8"/>
    <n v="10"/>
    <s v="Yes"/>
    <d v="2025-11-01T00:00:00"/>
    <n v="2025"/>
    <n v="4"/>
    <s v="Yes"/>
  </r>
  <r>
    <s v="SR-2025-01090"/>
    <x v="4"/>
    <s v="Water Quality Concern"/>
    <s v="High"/>
    <x v="1"/>
    <s v="Ward 5"/>
    <x v="156"/>
    <m/>
    <s v="In Person"/>
    <m/>
    <m/>
    <n v="7"/>
    <s v="Pending"/>
    <d v="2025-06-01T00:00:00"/>
    <n v="2025"/>
    <n v="2"/>
    <s v="No"/>
  </r>
  <r>
    <s v="SR-2025-01091"/>
    <x v="5"/>
    <s v="Park Equipment Damage"/>
    <s v="Medium"/>
    <x v="0"/>
    <s v="Ward 5"/>
    <x v="85"/>
    <d v="2025-08-27T00:00:00"/>
    <s v="Email"/>
    <n v="4"/>
    <n v="6"/>
    <n v="10"/>
    <s v="Yes"/>
    <d v="2025-08-01T00:00:00"/>
    <n v="2025"/>
    <n v="3"/>
    <s v="Yes"/>
  </r>
  <r>
    <s v="SR-2025-01092"/>
    <x v="3"/>
    <s v="Sidewalk Damage"/>
    <s v="Low"/>
    <x v="0"/>
    <s v="Ward 5"/>
    <x v="235"/>
    <d v="2025-03-27T00:00:00"/>
    <s v="Mobile App"/>
    <n v="1"/>
    <n v="6"/>
    <n v="14"/>
    <s v="Yes"/>
    <d v="2025-03-01T00:00:00"/>
    <n v="2025"/>
    <n v="1"/>
    <s v="Yes"/>
  </r>
  <r>
    <s v="SR-2025-01093"/>
    <x v="4"/>
    <s v="Water Quality Concern"/>
    <s v="High"/>
    <x v="2"/>
    <s v="Ward 4"/>
    <x v="95"/>
    <m/>
    <s v="Email"/>
    <m/>
    <m/>
    <n v="7"/>
    <s v="Pending"/>
    <d v="2025-07-01T00:00:00"/>
    <n v="2025"/>
    <n v="3"/>
    <s v="No"/>
  </r>
  <r>
    <s v="SR-2025-01094"/>
    <x v="2"/>
    <s v="Missed Garbage Pickup"/>
    <s v="Medium"/>
    <x v="0"/>
    <s v="Ward 2"/>
    <x v="147"/>
    <d v="2025-03-13T00:00:00"/>
    <s v="Phone"/>
    <n v="5"/>
    <n v="8"/>
    <n v="10"/>
    <s v="Yes"/>
    <d v="2025-03-01T00:00:00"/>
    <n v="2025"/>
    <n v="1"/>
    <s v="Yes"/>
  </r>
  <r>
    <s v="SR-2025-01095"/>
    <x v="4"/>
    <s v="Sewer Backup"/>
    <s v="High"/>
    <x v="1"/>
    <s v="Ward 5"/>
    <x v="294"/>
    <m/>
    <s v="Email"/>
    <m/>
    <m/>
    <n v="7"/>
    <s v="Pending"/>
    <d v="2025-06-01T00:00:00"/>
    <n v="2025"/>
    <n v="2"/>
    <s v="No"/>
  </r>
  <r>
    <s v="SR-2025-01096"/>
    <x v="0"/>
    <s v="Road Sign Damage"/>
    <s v="Medium"/>
    <x v="0"/>
    <s v="Ward 1"/>
    <x v="317"/>
    <d v="2025-08-11T00:00:00"/>
    <s v="Mobile App"/>
    <n v="3"/>
    <n v="5"/>
    <n v="10"/>
    <s v="Yes"/>
    <d v="2025-08-01T00:00:00"/>
    <n v="2025"/>
    <n v="3"/>
    <s v="Yes"/>
  </r>
  <r>
    <s v="SR-2025-01097"/>
    <x v="0"/>
    <s v="Streetlight Repair"/>
    <s v="Medium"/>
    <x v="0"/>
    <s v="Ward 2"/>
    <x v="331"/>
    <d v="2025-05-23T00:00:00"/>
    <s v="Mobile App"/>
    <n v="5"/>
    <n v="9"/>
    <n v="10"/>
    <s v="Yes"/>
    <d v="2025-05-01T00:00:00"/>
    <n v="2025"/>
    <n v="2"/>
    <s v="Yes"/>
  </r>
  <r>
    <s v="SR-2025-01098"/>
    <x v="5"/>
    <s v="Park Equipment Damage"/>
    <s v="Low"/>
    <x v="1"/>
    <s v="Ward 4"/>
    <x v="326"/>
    <m/>
    <s v="Email"/>
    <m/>
    <m/>
    <n v="14"/>
    <s v="Pending"/>
    <d v="2025-11-01T00:00:00"/>
    <n v="2025"/>
    <n v="4"/>
    <s v="No"/>
  </r>
  <r>
    <s v="SR-2025-01099"/>
    <x v="0"/>
    <s v="Streetlight Repair"/>
    <s v="Medium"/>
    <x v="0"/>
    <s v="Ward 3"/>
    <x v="24"/>
    <d v="2025-08-09T00:00:00"/>
    <s v="Mobile App"/>
    <n v="5"/>
    <n v="4"/>
    <n v="10"/>
    <s v="Yes"/>
    <d v="2025-08-01T00:00:00"/>
    <n v="2025"/>
    <n v="3"/>
    <s v="Yes"/>
  </r>
  <r>
    <s v="SR-2025-01100"/>
    <x v="1"/>
    <s v="Animal Complaint"/>
    <s v="Medium"/>
    <x v="0"/>
    <s v="Ward 3"/>
    <x v="179"/>
    <d v="2025-02-18T00:00:00"/>
    <s v="Phone"/>
    <n v="4"/>
    <n v="3"/>
    <n v="10"/>
    <s v="Yes"/>
    <d v="2025-02-01T00:00:00"/>
    <n v="2025"/>
    <n v="1"/>
    <s v="Yes"/>
  </r>
  <r>
    <s v="SR-2025-01101"/>
    <x v="2"/>
    <s v="Recycling Issue"/>
    <s v="High"/>
    <x v="0"/>
    <s v="Ward 4"/>
    <x v="188"/>
    <d v="2025-06-08T00:00:00"/>
    <s v="Web"/>
    <n v="5"/>
    <n v="1"/>
    <n v="7"/>
    <s v="Yes"/>
    <d v="2025-06-01T00:00:00"/>
    <n v="2025"/>
    <n v="2"/>
    <s v="Yes"/>
  </r>
  <r>
    <s v="SR-2025-01102"/>
    <x v="3"/>
    <s v="Pothole Repair"/>
    <s v="High"/>
    <x v="0"/>
    <s v="Ward 4"/>
    <x v="332"/>
    <d v="2025-08-08T00:00:00"/>
    <s v="Phone"/>
    <n v="3"/>
    <n v="6"/>
    <n v="7"/>
    <s v="Yes"/>
    <d v="2025-08-01T00:00:00"/>
    <n v="2025"/>
    <n v="3"/>
    <s v="Yes"/>
  </r>
  <r>
    <s v="SR-2025-01103"/>
    <x v="5"/>
    <s v="Grass Cutting"/>
    <s v="Low"/>
    <x v="0"/>
    <s v="Ward 1"/>
    <x v="320"/>
    <d v="2025-09-12T00:00:00"/>
    <s v="Email"/>
    <n v="4"/>
    <n v="5"/>
    <n v="14"/>
    <s v="Yes"/>
    <d v="2025-09-01T00:00:00"/>
    <n v="2025"/>
    <n v="3"/>
    <s v="Yes"/>
  </r>
  <r>
    <s v="SR-2025-01104"/>
    <x v="1"/>
    <s v="Property Standards"/>
    <s v="Low"/>
    <x v="0"/>
    <s v="Ward 3"/>
    <x v="334"/>
    <d v="2025-04-19T00:00:00"/>
    <s v="Email"/>
    <n v="5"/>
    <n v="15"/>
    <n v="14"/>
    <s v="No"/>
    <d v="2025-04-01T00:00:00"/>
    <n v="2025"/>
    <n v="2"/>
    <s v="Yes"/>
  </r>
  <r>
    <s v="SR-2025-01105"/>
    <x v="4"/>
    <s v="Water Leak"/>
    <s v="High"/>
    <x v="0"/>
    <s v="Ward 3"/>
    <x v="114"/>
    <d v="2025-06-01T00:00:00"/>
    <s v="Web"/>
    <n v="4"/>
    <n v="1"/>
    <n v="7"/>
    <s v="Yes"/>
    <d v="2025-05-01T00:00:00"/>
    <n v="2025"/>
    <n v="2"/>
    <s v="Yes"/>
  </r>
  <r>
    <s v="SR-2025-01106"/>
    <x v="2"/>
    <s v="Missed Garbage Pickup"/>
    <s v="Medium"/>
    <x v="0"/>
    <s v="Ward 3"/>
    <x v="191"/>
    <d v="2025-12-14T00:00:00"/>
    <s v="Web"/>
    <n v="1"/>
    <n v="3"/>
    <n v="10"/>
    <s v="Yes"/>
    <d v="2025-12-01T00:00:00"/>
    <n v="2025"/>
    <n v="4"/>
    <s v="Yes"/>
  </r>
  <r>
    <s v="SR-2025-01107"/>
    <x v="0"/>
    <s v="Streetlight Repair"/>
    <s v="Low"/>
    <x v="0"/>
    <s v="Ward 3"/>
    <x v="2"/>
    <d v="2025-01-13T00:00:00"/>
    <s v="Email"/>
    <n v="4"/>
    <n v="9"/>
    <n v="14"/>
    <s v="Yes"/>
    <d v="2025-01-01T00:00:00"/>
    <n v="2025"/>
    <n v="1"/>
    <s v="Yes"/>
  </r>
  <r>
    <s v="SR-2025-01108"/>
    <x v="4"/>
    <s v="Sewer Backup"/>
    <s v="Medium"/>
    <x v="0"/>
    <s v="Ward 2"/>
    <x v="253"/>
    <d v="2025-12-23T00:00:00"/>
    <s v="Mobile App"/>
    <n v="5"/>
    <n v="7"/>
    <n v="10"/>
    <s v="Yes"/>
    <d v="2025-12-01T00:00:00"/>
    <n v="2025"/>
    <n v="4"/>
    <s v="Yes"/>
  </r>
  <r>
    <s v="SR-2025-01109"/>
    <x v="0"/>
    <s v="Traffic Concern"/>
    <s v="Medium"/>
    <x v="0"/>
    <s v="Ward 1"/>
    <x v="237"/>
    <d v="2025-07-09T00:00:00"/>
    <s v="Email"/>
    <n v="5"/>
    <n v="7"/>
    <n v="10"/>
    <s v="Yes"/>
    <d v="2025-07-01T00:00:00"/>
    <n v="2025"/>
    <n v="3"/>
    <s v="Yes"/>
  </r>
  <r>
    <s v="SR-2025-01110"/>
    <x v="0"/>
    <s v="Traffic Concern"/>
    <s v="High"/>
    <x v="2"/>
    <s v="Ward 1"/>
    <x v="157"/>
    <m/>
    <s v="In Person"/>
    <m/>
    <m/>
    <n v="7"/>
    <s v="Pending"/>
    <d v="2025-03-01T00:00:00"/>
    <n v="2025"/>
    <n v="1"/>
    <s v="No"/>
  </r>
  <r>
    <s v="SR-2025-01111"/>
    <x v="3"/>
    <s v="Sidewalk Damage"/>
    <s v="Critical"/>
    <x v="1"/>
    <s v="Ward 3"/>
    <x v="269"/>
    <m/>
    <s v="Email"/>
    <m/>
    <m/>
    <n v="3"/>
    <s v="Pending"/>
    <d v="2025-05-01T00:00:00"/>
    <n v="2025"/>
    <n v="2"/>
    <s v="No"/>
  </r>
  <r>
    <s v="SR-2025-01112"/>
    <x v="1"/>
    <s v="Animal Complaint"/>
    <s v="Medium"/>
    <x v="0"/>
    <s v="Ward 3"/>
    <x v="348"/>
    <d v="2025-01-09T00:00:00"/>
    <s v="Web"/>
    <n v="1"/>
    <n v="7"/>
    <n v="10"/>
    <s v="Yes"/>
    <d v="2025-01-01T00:00:00"/>
    <n v="2025"/>
    <n v="1"/>
    <s v="Yes"/>
  </r>
  <r>
    <s v="SR-2025-01113"/>
    <x v="0"/>
    <s v="Road Sign Damage"/>
    <s v="Medium"/>
    <x v="0"/>
    <s v="Ward 1"/>
    <x v="121"/>
    <d v="2025-09-14T00:00:00"/>
    <s v="Mobile App"/>
    <n v="5"/>
    <n v="8"/>
    <n v="10"/>
    <s v="Yes"/>
    <d v="2025-09-01T00:00:00"/>
    <n v="2025"/>
    <n v="3"/>
    <s v="Yes"/>
  </r>
  <r>
    <s v="SR-2025-01114"/>
    <x v="4"/>
    <s v="Water Quality Concern"/>
    <s v="Critical"/>
    <x v="1"/>
    <s v="Ward 4"/>
    <x v="311"/>
    <m/>
    <s v="Mobile App"/>
    <m/>
    <m/>
    <n v="3"/>
    <s v="Pending"/>
    <d v="2025-02-01T00:00:00"/>
    <n v="2025"/>
    <n v="1"/>
    <s v="No"/>
  </r>
  <r>
    <s v="SR-2025-01115"/>
    <x v="1"/>
    <s v="Property Standards"/>
    <s v="High"/>
    <x v="2"/>
    <s v="Ward 5"/>
    <x v="296"/>
    <m/>
    <s v="Web"/>
    <m/>
    <m/>
    <n v="7"/>
    <s v="Pending"/>
    <d v="2025-10-01T00:00:00"/>
    <n v="2025"/>
    <n v="4"/>
    <s v="No"/>
  </r>
  <r>
    <s v="SR-2025-01116"/>
    <x v="5"/>
    <s v="Trail Maintenance"/>
    <s v="High"/>
    <x v="0"/>
    <s v="Ward 4"/>
    <x v="191"/>
    <d v="2025-12-16T00:00:00"/>
    <s v="Phone"/>
    <n v="5"/>
    <n v="5"/>
    <n v="7"/>
    <s v="Yes"/>
    <d v="2025-12-01T00:00:00"/>
    <n v="2025"/>
    <n v="4"/>
    <s v="Yes"/>
  </r>
  <r>
    <s v="SR-2025-01117"/>
    <x v="4"/>
    <s v="Water Leak"/>
    <s v="Medium"/>
    <x v="0"/>
    <s v="Ward 1"/>
    <x v="212"/>
    <d v="2025-05-10T00:00:00"/>
    <s v="Web"/>
    <n v="3"/>
    <n v="5"/>
    <n v="10"/>
    <s v="Yes"/>
    <d v="2025-05-01T00:00:00"/>
    <n v="2025"/>
    <n v="2"/>
    <s v="Yes"/>
  </r>
  <r>
    <s v="SR-2025-01118"/>
    <x v="4"/>
    <s v="Water Leak"/>
    <s v="Low"/>
    <x v="2"/>
    <s v="Ward 3"/>
    <x v="99"/>
    <m/>
    <s v="Phone"/>
    <m/>
    <m/>
    <n v="14"/>
    <s v="Pending"/>
    <d v="2025-07-01T00:00:00"/>
    <n v="2025"/>
    <n v="3"/>
    <s v="No"/>
  </r>
  <r>
    <s v="SR-2025-01119"/>
    <x v="0"/>
    <s v="Road Sign Damage"/>
    <s v="Medium"/>
    <x v="2"/>
    <s v="Ward 1"/>
    <x v="20"/>
    <m/>
    <s v="Phone"/>
    <m/>
    <m/>
    <n v="10"/>
    <s v="Pending"/>
    <d v="2025-12-01T00:00:00"/>
    <n v="2025"/>
    <n v="4"/>
    <s v="No"/>
  </r>
  <r>
    <s v="SR-2025-01120"/>
    <x v="1"/>
    <s v="Animal Complaint"/>
    <s v="Low"/>
    <x v="0"/>
    <s v="Ward 5"/>
    <x v="0"/>
    <d v="2025-05-07T00:00:00"/>
    <s v="Web"/>
    <n v="5"/>
    <n v="12"/>
    <n v="14"/>
    <s v="Yes"/>
    <d v="2025-04-01T00:00:00"/>
    <n v="2025"/>
    <n v="2"/>
    <s v="Yes"/>
  </r>
  <r>
    <s v="SR-2025-01121"/>
    <x v="0"/>
    <s v="Road Sign Damage"/>
    <s v="Medium"/>
    <x v="0"/>
    <s v="Ward 4"/>
    <x v="96"/>
    <d v="2025-07-25T00:00:00"/>
    <s v="Phone"/>
    <n v="5"/>
    <n v="10"/>
    <n v="10"/>
    <s v="Yes"/>
    <d v="2025-07-01T00:00:00"/>
    <n v="2025"/>
    <n v="3"/>
    <s v="Yes"/>
  </r>
  <r>
    <s v="SR-2025-01122"/>
    <x v="5"/>
    <s v="Grass Cutting"/>
    <s v="Low"/>
    <x v="0"/>
    <s v="Ward 2"/>
    <x v="179"/>
    <d v="2025-02-23T00:00:00"/>
    <s v="Web"/>
    <n v="5"/>
    <n v="8"/>
    <n v="14"/>
    <s v="Yes"/>
    <d v="2025-02-01T00:00:00"/>
    <n v="2025"/>
    <n v="1"/>
    <s v="Yes"/>
  </r>
  <r>
    <s v="SR-2025-01123"/>
    <x v="1"/>
    <s v="Parking Complaint"/>
    <s v="Low"/>
    <x v="0"/>
    <s v="Ward 3"/>
    <x v="203"/>
    <d v="2025-07-26T00:00:00"/>
    <s v="Web"/>
    <n v="5"/>
    <n v="12"/>
    <n v="14"/>
    <s v="Yes"/>
    <d v="2025-07-01T00:00:00"/>
    <n v="2025"/>
    <n v="3"/>
    <s v="Yes"/>
  </r>
  <r>
    <s v="SR-2025-01124"/>
    <x v="1"/>
    <s v="Property Standards"/>
    <s v="High"/>
    <x v="2"/>
    <s v="Ward 3"/>
    <x v="165"/>
    <m/>
    <s v="Phone"/>
    <m/>
    <m/>
    <n v="7"/>
    <s v="Pending"/>
    <d v="2025-06-01T00:00:00"/>
    <n v="2025"/>
    <n v="2"/>
    <s v="No"/>
  </r>
  <r>
    <s v="SR-2025-01125"/>
    <x v="1"/>
    <s v="Property Standards"/>
    <s v="Low"/>
    <x v="0"/>
    <s v="Ward 3"/>
    <x v="322"/>
    <d v="2025-09-01T00:00:00"/>
    <s v="Phone"/>
    <n v="3"/>
    <n v="8"/>
    <n v="14"/>
    <s v="Yes"/>
    <d v="2025-08-01T00:00:00"/>
    <n v="2025"/>
    <n v="3"/>
    <s v="Yes"/>
  </r>
  <r>
    <s v="SR-2025-01126"/>
    <x v="4"/>
    <s v="Water Quality Concern"/>
    <s v="Low"/>
    <x v="0"/>
    <s v="Ward 1"/>
    <x v="349"/>
    <d v="2025-12-22T00:00:00"/>
    <s v="In Person"/>
    <n v="5"/>
    <n v="15"/>
    <n v="14"/>
    <s v="No"/>
    <d v="2025-12-01T00:00:00"/>
    <n v="2025"/>
    <n v="4"/>
    <s v="Yes"/>
  </r>
  <r>
    <s v="SR-2025-01127"/>
    <x v="2"/>
    <s v="Illegal Dumping"/>
    <s v="Medium"/>
    <x v="0"/>
    <s v="Ward 2"/>
    <x v="161"/>
    <d v="2025-05-30T00:00:00"/>
    <s v="Email"/>
    <n v="4"/>
    <n v="9"/>
    <n v="10"/>
    <s v="Yes"/>
    <d v="2025-05-01T00:00:00"/>
    <n v="2025"/>
    <n v="2"/>
    <s v="Yes"/>
  </r>
  <r>
    <s v="SR-2025-01128"/>
    <x v="2"/>
    <s v="Green Bin Issue"/>
    <s v="Low"/>
    <x v="1"/>
    <s v="Ward 2"/>
    <x v="336"/>
    <m/>
    <s v="Phone"/>
    <m/>
    <m/>
    <n v="14"/>
    <s v="Pending"/>
    <d v="2025-03-01T00:00:00"/>
    <n v="2025"/>
    <n v="1"/>
    <s v="No"/>
  </r>
  <r>
    <s v="SR-2025-01129"/>
    <x v="0"/>
    <s v="Streetlight Repair"/>
    <s v="High"/>
    <x v="1"/>
    <s v="Ward 4"/>
    <x v="320"/>
    <m/>
    <s v="Mobile App"/>
    <m/>
    <m/>
    <n v="7"/>
    <s v="Pending"/>
    <d v="2025-09-01T00:00:00"/>
    <n v="2025"/>
    <n v="3"/>
    <s v="No"/>
  </r>
  <r>
    <s v="SR-2025-01130"/>
    <x v="0"/>
    <s v="Traffic Signal Issue"/>
    <s v="Critical"/>
    <x v="0"/>
    <s v="Ward 3"/>
    <x v="183"/>
    <d v="2025-06-25T00:00:00"/>
    <s v="Email"/>
    <n v="5"/>
    <n v="3"/>
    <n v="3"/>
    <s v="Yes"/>
    <d v="2025-06-01T00:00:00"/>
    <n v="2025"/>
    <n v="2"/>
    <s v="Yes"/>
  </r>
  <r>
    <s v="SR-2025-01131"/>
    <x v="4"/>
    <s v="Water Leak"/>
    <s v="Medium"/>
    <x v="0"/>
    <s v="Ward 5"/>
    <x v="197"/>
    <d v="2025-12-28T00:00:00"/>
    <s v="Email"/>
    <n v="5"/>
    <n v="5"/>
    <n v="10"/>
    <s v="Yes"/>
    <d v="2025-12-01T00:00:00"/>
    <n v="2025"/>
    <n v="4"/>
    <s v="Yes"/>
  </r>
  <r>
    <s v="SR-2025-01132"/>
    <x v="3"/>
    <s v="Road Damage"/>
    <s v="Medium"/>
    <x v="1"/>
    <s v="Ward 3"/>
    <x v="216"/>
    <m/>
    <s v="Email"/>
    <m/>
    <m/>
    <n v="10"/>
    <s v="Pending"/>
    <d v="2025-01-01T00:00:00"/>
    <n v="2025"/>
    <n v="1"/>
    <s v="No"/>
  </r>
  <r>
    <s v="SR-2025-01133"/>
    <x v="0"/>
    <s v="Traffic Signal Issue"/>
    <s v="Medium"/>
    <x v="0"/>
    <s v="Ward 2"/>
    <x v="211"/>
    <d v="2025-09-11T00:00:00"/>
    <s v="Phone"/>
    <n v="5"/>
    <n v="6"/>
    <n v="10"/>
    <s v="Yes"/>
    <d v="2025-09-01T00:00:00"/>
    <n v="2025"/>
    <n v="3"/>
    <s v="Yes"/>
  </r>
  <r>
    <s v="SR-2025-01134"/>
    <x v="0"/>
    <s v="Traffic Signal Issue"/>
    <s v="High"/>
    <x v="0"/>
    <s v="Ward 2"/>
    <x v="83"/>
    <d v="2025-10-23T00:00:00"/>
    <s v="Email"/>
    <n v="5"/>
    <n v="1"/>
    <n v="7"/>
    <s v="Yes"/>
    <d v="2025-10-01T00:00:00"/>
    <n v="2025"/>
    <n v="4"/>
    <s v="Yes"/>
  </r>
  <r>
    <s v="SR-2025-01135"/>
    <x v="4"/>
    <s v="Low Water Pressure"/>
    <s v="High"/>
    <x v="0"/>
    <s v="Ward 1"/>
    <x v="287"/>
    <d v="2025-09-02T00:00:00"/>
    <s v="In Person"/>
    <n v="5"/>
    <n v="2"/>
    <n v="7"/>
    <s v="Yes"/>
    <d v="2025-08-01T00:00:00"/>
    <n v="2025"/>
    <n v="3"/>
    <s v="Yes"/>
  </r>
  <r>
    <s v="SR-2025-01136"/>
    <x v="0"/>
    <s v="Road Sign Damage"/>
    <s v="Medium"/>
    <x v="2"/>
    <s v="Ward 4"/>
    <x v="163"/>
    <m/>
    <s v="Phone"/>
    <m/>
    <m/>
    <n v="10"/>
    <s v="Pending"/>
    <d v="2025-11-01T00:00:00"/>
    <n v="2025"/>
    <n v="4"/>
    <s v="No"/>
  </r>
  <r>
    <s v="SR-2025-01137"/>
    <x v="3"/>
    <s v="Pothole Repair"/>
    <s v="Low"/>
    <x v="0"/>
    <s v="Ward 4"/>
    <x v="80"/>
    <d v="2025-12-31T00:00:00"/>
    <s v="Web"/>
    <n v="5"/>
    <n v="12"/>
    <n v="14"/>
    <s v="Yes"/>
    <d v="2025-12-01T00:00:00"/>
    <n v="2025"/>
    <n v="4"/>
    <s v="Yes"/>
  </r>
  <r>
    <s v="SR-2025-01138"/>
    <x v="4"/>
    <s v="Water Quality Concern"/>
    <s v="Medium"/>
    <x v="0"/>
    <s v="Ward 1"/>
    <x v="333"/>
    <d v="2025-07-10T00:00:00"/>
    <s v="Web"/>
    <n v="3"/>
    <n v="2"/>
    <n v="10"/>
    <s v="Yes"/>
    <d v="2025-07-01T00:00:00"/>
    <n v="2025"/>
    <n v="3"/>
    <s v="Yes"/>
  </r>
  <r>
    <s v="SR-2025-01139"/>
    <x v="4"/>
    <s v="Low Water Pressure"/>
    <s v="Low"/>
    <x v="0"/>
    <s v="Ward 1"/>
    <x v="126"/>
    <d v="2025-10-31T00:00:00"/>
    <s v="In Person"/>
    <n v="3"/>
    <n v="10"/>
    <n v="14"/>
    <s v="Yes"/>
    <d v="2025-10-01T00:00:00"/>
    <n v="2025"/>
    <n v="4"/>
    <s v="Yes"/>
  </r>
  <r>
    <s v="SR-2025-01140"/>
    <x v="5"/>
    <s v="Trail Maintenance"/>
    <s v="Medium"/>
    <x v="0"/>
    <s v="Ward 1"/>
    <x v="234"/>
    <d v="2025-08-17T00:00:00"/>
    <s v="Mobile App"/>
    <n v="4"/>
    <n v="6"/>
    <n v="10"/>
    <s v="Yes"/>
    <d v="2025-08-01T00:00:00"/>
    <n v="2025"/>
    <n v="3"/>
    <s v="Yes"/>
  </r>
  <r>
    <s v="SR-2025-01141"/>
    <x v="3"/>
    <s v="Road Damage"/>
    <s v="Medium"/>
    <x v="0"/>
    <s v="Ward 5"/>
    <x v="60"/>
    <d v="2025-07-31T00:00:00"/>
    <s v="Email"/>
    <n v="5"/>
    <n v="10"/>
    <n v="10"/>
    <s v="Yes"/>
    <d v="2025-07-01T00:00:00"/>
    <n v="2025"/>
    <n v="3"/>
    <s v="Yes"/>
  </r>
  <r>
    <s v="SR-2025-01142"/>
    <x v="3"/>
    <s v="Pothole Repair"/>
    <s v="High"/>
    <x v="0"/>
    <s v="Ward 5"/>
    <x v="90"/>
    <d v="2025-12-05T00:00:00"/>
    <s v="Phone"/>
    <n v="3"/>
    <n v="1"/>
    <n v="7"/>
    <s v="Yes"/>
    <d v="2025-12-01T00:00:00"/>
    <n v="2025"/>
    <n v="4"/>
    <s v="Yes"/>
  </r>
  <r>
    <s v="SR-2025-01143"/>
    <x v="3"/>
    <s v="Snow Removal"/>
    <s v="High"/>
    <x v="0"/>
    <s v="Ward 2"/>
    <x v="330"/>
    <d v="2025-03-12T00:00:00"/>
    <s v="Web"/>
    <n v="3"/>
    <n v="5"/>
    <n v="7"/>
    <s v="Yes"/>
    <d v="2025-03-01T00:00:00"/>
    <n v="2025"/>
    <n v="1"/>
    <s v="Yes"/>
  </r>
  <r>
    <s v="SR-2025-01144"/>
    <x v="1"/>
    <s v="Parking Complaint"/>
    <s v="High"/>
    <x v="0"/>
    <s v="Ward 5"/>
    <x v="147"/>
    <d v="2025-03-10T00:00:00"/>
    <s v="Phone"/>
    <n v="4"/>
    <n v="5"/>
    <n v="7"/>
    <s v="Yes"/>
    <d v="2025-03-01T00:00:00"/>
    <n v="2025"/>
    <n v="1"/>
    <s v="Yes"/>
  </r>
  <r>
    <s v="SR-2025-01145"/>
    <x v="4"/>
    <s v="Water Leak"/>
    <s v="Low"/>
    <x v="0"/>
    <s v="Ward 5"/>
    <x v="54"/>
    <d v="2025-10-08T00:00:00"/>
    <s v="Email"/>
    <n v="4"/>
    <n v="15"/>
    <n v="14"/>
    <s v="No"/>
    <d v="2025-09-01T00:00:00"/>
    <n v="2025"/>
    <n v="3"/>
    <s v="Yes"/>
  </r>
  <r>
    <s v="SR-2025-01146"/>
    <x v="5"/>
    <s v="Trail Maintenance"/>
    <s v="Medium"/>
    <x v="0"/>
    <s v="Ward 1"/>
    <x v="168"/>
    <d v="2025-07-10T00:00:00"/>
    <s v="Web"/>
    <n v="4"/>
    <n v="10"/>
    <n v="10"/>
    <s v="Yes"/>
    <d v="2025-06-01T00:00:00"/>
    <n v="2025"/>
    <n v="2"/>
    <s v="Yes"/>
  </r>
  <r>
    <s v="SR-2025-01147"/>
    <x v="5"/>
    <s v="Tree Maintenance"/>
    <s v="Low"/>
    <x v="0"/>
    <s v="Ward 2"/>
    <x v="313"/>
    <d v="2025-04-26T00:00:00"/>
    <s v="In Person"/>
    <n v="4"/>
    <n v="5"/>
    <n v="14"/>
    <s v="Yes"/>
    <d v="2025-04-01T00:00:00"/>
    <n v="2025"/>
    <n v="2"/>
    <s v="Yes"/>
  </r>
  <r>
    <s v="SR-2025-01148"/>
    <x v="2"/>
    <s v="Illegal Dumping"/>
    <s v="Low"/>
    <x v="0"/>
    <s v="Ward 4"/>
    <x v="65"/>
    <d v="2025-02-19T00:00:00"/>
    <s v="Phone"/>
    <n v="3"/>
    <n v="11"/>
    <n v="14"/>
    <s v="Yes"/>
    <d v="2025-02-01T00:00:00"/>
    <n v="2025"/>
    <n v="1"/>
    <s v="Yes"/>
  </r>
  <r>
    <s v="SR-2025-01149"/>
    <x v="4"/>
    <s v="Water Quality Concern"/>
    <s v="Low"/>
    <x v="0"/>
    <s v="Ward 2"/>
    <x v="317"/>
    <d v="2025-08-20T00:00:00"/>
    <s v="Web"/>
    <n v="3"/>
    <n v="14"/>
    <n v="14"/>
    <s v="Yes"/>
    <d v="2025-08-01T00:00:00"/>
    <n v="2025"/>
    <n v="3"/>
    <s v="Yes"/>
  </r>
  <r>
    <s v="SR-2025-01150"/>
    <x v="0"/>
    <s v="Road Sign Damage"/>
    <s v="Critical"/>
    <x v="0"/>
    <s v="Ward 5"/>
    <x v="182"/>
    <d v="2025-04-11T00:00:00"/>
    <s v="In Person"/>
    <n v="4"/>
    <n v="2"/>
    <n v="3"/>
    <s v="Yes"/>
    <d v="2025-04-01T00:00:00"/>
    <n v="2025"/>
    <n v="2"/>
    <s v="Yes"/>
  </r>
  <r>
    <s v="SR-2025-01151"/>
    <x v="5"/>
    <s v="Trail Maintenance"/>
    <s v="High"/>
    <x v="0"/>
    <s v="Ward 5"/>
    <x v="234"/>
    <d v="2025-08-15T00:00:00"/>
    <s v="Phone"/>
    <n v="1"/>
    <n v="4"/>
    <n v="7"/>
    <s v="Yes"/>
    <d v="2025-08-01T00:00:00"/>
    <n v="2025"/>
    <n v="3"/>
    <s v="Yes"/>
  </r>
  <r>
    <s v="SR-2025-01152"/>
    <x v="3"/>
    <s v="Sidewalk Damage"/>
    <s v="Low"/>
    <x v="0"/>
    <s v="Ward 1"/>
    <x v="262"/>
    <d v="2025-10-17T00:00:00"/>
    <s v="Mobile App"/>
    <n v="2"/>
    <n v="9"/>
    <n v="14"/>
    <s v="Yes"/>
    <d v="2025-10-01T00:00:00"/>
    <n v="2025"/>
    <n v="4"/>
    <s v="Yes"/>
  </r>
  <r>
    <s v="SR-2025-01153"/>
    <x v="2"/>
    <s v="Illegal Dumping"/>
    <s v="Low"/>
    <x v="1"/>
    <s v="Ward 1"/>
    <x v="161"/>
    <m/>
    <s v="Web"/>
    <m/>
    <m/>
    <n v="14"/>
    <s v="Pending"/>
    <d v="2025-05-01T00:00:00"/>
    <n v="2025"/>
    <n v="2"/>
    <s v="No"/>
  </r>
  <r>
    <s v="SR-2025-01154"/>
    <x v="4"/>
    <s v="Low Water Pressure"/>
    <s v="Medium"/>
    <x v="0"/>
    <s v="Ward 3"/>
    <x v="147"/>
    <d v="2025-03-09T00:00:00"/>
    <s v="In Person"/>
    <n v="4"/>
    <n v="4"/>
    <n v="10"/>
    <s v="Yes"/>
    <d v="2025-03-01T00:00:00"/>
    <n v="2025"/>
    <n v="1"/>
    <s v="Yes"/>
  </r>
  <r>
    <s v="SR-2025-01155"/>
    <x v="4"/>
    <s v="Water Leak"/>
    <s v="Medium"/>
    <x v="0"/>
    <s v="Ward 1"/>
    <x v="264"/>
    <d v="2025-06-04T00:00:00"/>
    <s v="Web"/>
    <n v="3"/>
    <n v="10"/>
    <n v="10"/>
    <s v="Yes"/>
    <d v="2025-05-01T00:00:00"/>
    <n v="2025"/>
    <n v="2"/>
    <s v="Yes"/>
  </r>
  <r>
    <s v="SR-2025-01156"/>
    <x v="5"/>
    <s v="Grass Cutting"/>
    <s v="Critical"/>
    <x v="0"/>
    <s v="Ward 2"/>
    <x v="176"/>
    <d v="2025-06-29T00:00:00"/>
    <s v="Mobile App"/>
    <n v="4"/>
    <n v="3"/>
    <n v="3"/>
    <s v="Yes"/>
    <d v="2025-06-01T00:00:00"/>
    <n v="2025"/>
    <n v="2"/>
    <s v="Yes"/>
  </r>
  <r>
    <s v="SR-2025-01157"/>
    <x v="3"/>
    <s v="Road Damage"/>
    <s v="Medium"/>
    <x v="0"/>
    <s v="Ward 3"/>
    <x v="9"/>
    <d v="2025-10-24T00:00:00"/>
    <s v="Phone"/>
    <n v="2"/>
    <n v="6"/>
    <n v="10"/>
    <s v="Yes"/>
    <d v="2025-10-01T00:00:00"/>
    <n v="2025"/>
    <n v="4"/>
    <s v="Yes"/>
  </r>
  <r>
    <s v="SR-2025-01158"/>
    <x v="0"/>
    <s v="Traffic Concern"/>
    <s v="High"/>
    <x v="0"/>
    <s v="Ward 3"/>
    <x v="328"/>
    <d v="2025-07-08T00:00:00"/>
    <s v="Mobile App"/>
    <n v="4"/>
    <n v="7"/>
    <n v="7"/>
    <s v="Yes"/>
    <d v="2025-07-01T00:00:00"/>
    <n v="2025"/>
    <n v="3"/>
    <s v="Yes"/>
  </r>
  <r>
    <s v="SR-2025-01159"/>
    <x v="4"/>
    <s v="Low Water Pressure"/>
    <s v="Medium"/>
    <x v="1"/>
    <s v="Ward 4"/>
    <x v="74"/>
    <m/>
    <s v="Mobile App"/>
    <m/>
    <m/>
    <n v="10"/>
    <s v="Pending"/>
    <d v="2025-06-01T00:00:00"/>
    <n v="2025"/>
    <n v="2"/>
    <s v="No"/>
  </r>
  <r>
    <s v="SR-2025-01160"/>
    <x v="3"/>
    <s v="Pothole Repair"/>
    <s v="Low"/>
    <x v="0"/>
    <s v="Ward 1"/>
    <x v="222"/>
    <d v="2025-02-22T00:00:00"/>
    <s v="Mobile App"/>
    <n v="4"/>
    <n v="5"/>
    <n v="14"/>
    <s v="Yes"/>
    <d v="2025-02-01T00:00:00"/>
    <n v="2025"/>
    <n v="1"/>
    <s v="Yes"/>
  </r>
  <r>
    <s v="SR-2025-01161"/>
    <x v="1"/>
    <s v="Animal Complaint"/>
    <s v="High"/>
    <x v="0"/>
    <s v="Ward 2"/>
    <x v="317"/>
    <d v="2025-08-12T00:00:00"/>
    <s v="Email"/>
    <n v="4"/>
    <n v="6"/>
    <n v="7"/>
    <s v="Yes"/>
    <d v="2025-08-01T00:00:00"/>
    <n v="2025"/>
    <n v="3"/>
    <s v="Yes"/>
  </r>
  <r>
    <s v="SR-2025-01162"/>
    <x v="4"/>
    <s v="Water Leak"/>
    <s v="Medium"/>
    <x v="0"/>
    <s v="Ward 3"/>
    <x v="2"/>
    <d v="2025-01-12T00:00:00"/>
    <s v="Phone"/>
    <n v="5"/>
    <n v="8"/>
    <n v="10"/>
    <s v="Yes"/>
    <d v="2025-01-01T00:00:00"/>
    <n v="2025"/>
    <n v="1"/>
    <s v="Yes"/>
  </r>
  <r>
    <s v="SR-2025-01163"/>
    <x v="0"/>
    <s v="Streetlight Repair"/>
    <s v="Medium"/>
    <x v="2"/>
    <s v="Ward 5"/>
    <x v="93"/>
    <m/>
    <s v="Phone"/>
    <m/>
    <m/>
    <n v="10"/>
    <s v="Pending"/>
    <d v="2025-12-01T00:00:00"/>
    <n v="2025"/>
    <n v="4"/>
    <s v="No"/>
  </r>
  <r>
    <s v="SR-2025-01164"/>
    <x v="5"/>
    <s v="Tree Maintenance"/>
    <s v="Medium"/>
    <x v="0"/>
    <s v="Ward 4"/>
    <x v="168"/>
    <d v="2025-07-02T00:00:00"/>
    <s v="Phone"/>
    <n v="4"/>
    <n v="2"/>
    <n v="10"/>
    <s v="Yes"/>
    <d v="2025-06-01T00:00:00"/>
    <n v="2025"/>
    <n v="2"/>
    <s v="Yes"/>
  </r>
  <r>
    <s v="SR-2025-01165"/>
    <x v="2"/>
    <s v="Missed Garbage Pickup"/>
    <s v="Medium"/>
    <x v="0"/>
    <s v="Ward 4"/>
    <x v="62"/>
    <d v="2025-10-07T00:00:00"/>
    <s v="Mobile App"/>
    <n v="4"/>
    <n v="3"/>
    <n v="10"/>
    <s v="Yes"/>
    <d v="2025-10-01T00:00:00"/>
    <n v="2025"/>
    <n v="4"/>
    <s v="Yes"/>
  </r>
  <r>
    <s v="SR-2025-01166"/>
    <x v="2"/>
    <s v="Recycling Issue"/>
    <s v="Low"/>
    <x v="0"/>
    <s v="Ward 5"/>
    <x v="60"/>
    <d v="2025-07-27T00:00:00"/>
    <s v="Web"/>
    <n v="5"/>
    <n v="6"/>
    <n v="14"/>
    <s v="Yes"/>
    <d v="2025-07-01T00:00:00"/>
    <n v="2025"/>
    <n v="3"/>
    <s v="Yes"/>
  </r>
  <r>
    <s v="SR-2025-01167"/>
    <x v="4"/>
    <s v="Water Quality Concern"/>
    <s v="Low"/>
    <x v="0"/>
    <s v="Ward 1"/>
    <x v="322"/>
    <d v="2025-09-01T00:00:00"/>
    <s v="Web"/>
    <n v="4"/>
    <n v="8"/>
    <n v="14"/>
    <s v="Yes"/>
    <d v="2025-08-01T00:00:00"/>
    <n v="2025"/>
    <n v="3"/>
    <s v="Yes"/>
  </r>
  <r>
    <s v="SR-2025-01168"/>
    <x v="2"/>
    <s v="Recycling Issue"/>
    <s v="Medium"/>
    <x v="0"/>
    <s v="Ward 5"/>
    <x v="124"/>
    <d v="2025-08-18T00:00:00"/>
    <s v="In Person"/>
    <n v="3"/>
    <n v="9"/>
    <n v="10"/>
    <s v="Yes"/>
    <d v="2025-08-01T00:00:00"/>
    <n v="2025"/>
    <n v="3"/>
    <s v="Yes"/>
  </r>
  <r>
    <s v="SR-2025-01169"/>
    <x v="5"/>
    <s v="Trail Maintenance"/>
    <s v="Low"/>
    <x v="0"/>
    <s v="Ward 2"/>
    <x v="235"/>
    <d v="2025-04-05T00:00:00"/>
    <s v="Email"/>
    <n v="4"/>
    <n v="15"/>
    <n v="14"/>
    <s v="No"/>
    <d v="2025-03-01T00:00:00"/>
    <n v="2025"/>
    <n v="1"/>
    <s v="Yes"/>
  </r>
  <r>
    <s v="SR-2025-01170"/>
    <x v="4"/>
    <s v="Sewer Backup"/>
    <s v="Medium"/>
    <x v="0"/>
    <s v="Ward 1"/>
    <x v="334"/>
    <d v="2025-04-14T00:00:00"/>
    <s v="Email"/>
    <n v="5"/>
    <n v="10"/>
    <n v="10"/>
    <s v="Yes"/>
    <d v="2025-04-01T00:00:00"/>
    <n v="2025"/>
    <n v="2"/>
    <s v="Yes"/>
  </r>
  <r>
    <s v="SR-2025-01171"/>
    <x v="0"/>
    <s v="Traffic Concern"/>
    <s v="Low"/>
    <x v="0"/>
    <s v="Ward 2"/>
    <x v="234"/>
    <d v="2025-08-14T00:00:00"/>
    <s v="Web"/>
    <n v="4"/>
    <n v="3"/>
    <n v="14"/>
    <s v="Yes"/>
    <d v="2025-08-01T00:00:00"/>
    <n v="2025"/>
    <n v="3"/>
    <s v="Yes"/>
  </r>
  <r>
    <s v="SR-2025-01172"/>
    <x v="5"/>
    <s v="Grass Cutting"/>
    <s v="Low"/>
    <x v="0"/>
    <s v="Ward 2"/>
    <x v="22"/>
    <d v="2025-06-22T00:00:00"/>
    <s v="Email"/>
    <n v="3"/>
    <n v="3"/>
    <n v="14"/>
    <s v="Yes"/>
    <d v="2025-06-01T00:00:00"/>
    <n v="2025"/>
    <n v="2"/>
    <s v="Yes"/>
  </r>
  <r>
    <s v="SR-2025-01173"/>
    <x v="0"/>
    <s v="Road Sign Damage"/>
    <s v="Low"/>
    <x v="0"/>
    <s v="Ward 2"/>
    <x v="192"/>
    <d v="2025-09-26T00:00:00"/>
    <s v="Mobile App"/>
    <n v="5"/>
    <n v="15"/>
    <n v="14"/>
    <s v="No"/>
    <d v="2025-09-01T00:00:00"/>
    <n v="2025"/>
    <n v="3"/>
    <s v="Yes"/>
  </r>
  <r>
    <s v="SR-2025-01174"/>
    <x v="4"/>
    <s v="Water Quality Concern"/>
    <s v="Low"/>
    <x v="2"/>
    <s v="Ward 2"/>
    <x v="250"/>
    <m/>
    <s v="Phone"/>
    <m/>
    <m/>
    <n v="14"/>
    <s v="Pending"/>
    <d v="2025-01-01T00:00:00"/>
    <n v="2025"/>
    <n v="1"/>
    <s v="No"/>
  </r>
  <r>
    <s v="SR-2025-01175"/>
    <x v="2"/>
    <s v="Missed Garbage Pickup"/>
    <s v="High"/>
    <x v="0"/>
    <s v="Ward 5"/>
    <x v="122"/>
    <d v="2025-12-21T00:00:00"/>
    <s v="Web"/>
    <n v="4"/>
    <n v="7"/>
    <n v="7"/>
    <s v="Yes"/>
    <d v="2025-12-01T00:00:00"/>
    <n v="2025"/>
    <n v="4"/>
    <s v="Yes"/>
  </r>
  <r>
    <s v="SR-2025-01176"/>
    <x v="4"/>
    <s v="Water Quality Concern"/>
    <s v="Medium"/>
    <x v="0"/>
    <s v="Ward 5"/>
    <x v="221"/>
    <d v="2025-08-13T00:00:00"/>
    <s v="Phone"/>
    <n v="4"/>
    <n v="5"/>
    <n v="10"/>
    <s v="Yes"/>
    <d v="2025-08-01T00:00:00"/>
    <n v="2025"/>
    <n v="3"/>
    <s v="Yes"/>
  </r>
  <r>
    <s v="SR-2025-01177"/>
    <x v="5"/>
    <s v="Grass Cutting"/>
    <s v="High"/>
    <x v="2"/>
    <s v="Ward 2"/>
    <x v="341"/>
    <m/>
    <s v="Email"/>
    <m/>
    <m/>
    <n v="7"/>
    <s v="Pending"/>
    <d v="2025-12-01T00:00:00"/>
    <n v="2025"/>
    <n v="4"/>
    <s v="No"/>
  </r>
  <r>
    <s v="SR-2025-01178"/>
    <x v="5"/>
    <s v="Trail Maintenance"/>
    <s v="High"/>
    <x v="1"/>
    <s v="Ward 5"/>
    <x v="341"/>
    <m/>
    <s v="In Person"/>
    <m/>
    <m/>
    <n v="7"/>
    <s v="Pending"/>
    <d v="2025-12-01T00:00:00"/>
    <n v="2025"/>
    <n v="4"/>
    <s v="No"/>
  </r>
  <r>
    <s v="SR-2025-01179"/>
    <x v="5"/>
    <s v="Park Equipment Damage"/>
    <s v="Critical"/>
    <x v="0"/>
    <s v="Ward 2"/>
    <x v="36"/>
    <d v="2025-11-22T00:00:00"/>
    <s v="Email"/>
    <n v="3"/>
    <n v="1"/>
    <n v="3"/>
    <s v="Yes"/>
    <d v="2025-11-01T00:00:00"/>
    <n v="2025"/>
    <n v="4"/>
    <s v="Yes"/>
  </r>
  <r>
    <s v="SR-2025-01180"/>
    <x v="3"/>
    <s v="Sidewalk Damage"/>
    <s v="Critical"/>
    <x v="2"/>
    <s v="Ward 1"/>
    <x v="150"/>
    <m/>
    <s v="In Person"/>
    <m/>
    <m/>
    <n v="3"/>
    <s v="Pending"/>
    <d v="2025-08-01T00:00:00"/>
    <n v="2025"/>
    <n v="3"/>
    <s v="No"/>
  </r>
  <r>
    <s v="SR-2025-01181"/>
    <x v="5"/>
    <s v="Tree Maintenance"/>
    <s v="High"/>
    <x v="0"/>
    <s v="Ward 2"/>
    <x v="128"/>
    <d v="2025-09-29T00:00:00"/>
    <s v="Phone"/>
    <n v="5"/>
    <n v="3"/>
    <n v="7"/>
    <s v="Yes"/>
    <d v="2025-09-01T00:00:00"/>
    <n v="2025"/>
    <n v="3"/>
    <s v="Yes"/>
  </r>
  <r>
    <s v="SR-2025-01182"/>
    <x v="2"/>
    <s v="Green Bin Issue"/>
    <s v="Medium"/>
    <x v="0"/>
    <s v="Ward 3"/>
    <x v="326"/>
    <d v="2025-11-28T00:00:00"/>
    <s v="Mobile App"/>
    <n v="4"/>
    <n v="2"/>
    <n v="10"/>
    <s v="Yes"/>
    <d v="2025-11-01T00:00:00"/>
    <n v="2025"/>
    <n v="4"/>
    <s v="Yes"/>
  </r>
  <r>
    <s v="SR-2025-01183"/>
    <x v="2"/>
    <s v="Illegal Dumping"/>
    <s v="High"/>
    <x v="0"/>
    <s v="Ward 1"/>
    <x v="12"/>
    <d v="2025-01-27T00:00:00"/>
    <s v="Mobile App"/>
    <n v="2"/>
    <n v="2"/>
    <n v="7"/>
    <s v="Yes"/>
    <d v="2025-01-01T00:00:00"/>
    <n v="2025"/>
    <n v="1"/>
    <s v="Yes"/>
  </r>
  <r>
    <s v="SR-2025-01184"/>
    <x v="5"/>
    <s v="Grass Cutting"/>
    <s v="Medium"/>
    <x v="2"/>
    <s v="Ward 4"/>
    <x v="311"/>
    <m/>
    <s v="Phone"/>
    <m/>
    <m/>
    <n v="10"/>
    <s v="Pending"/>
    <d v="2025-02-01T00:00:00"/>
    <n v="2025"/>
    <n v="1"/>
    <s v="No"/>
  </r>
  <r>
    <s v="SR-2025-01185"/>
    <x v="2"/>
    <s v="Green Bin Issue"/>
    <s v="Medium"/>
    <x v="0"/>
    <s v="Ward 2"/>
    <x v="106"/>
    <d v="2025-02-21T00:00:00"/>
    <s v="Mobile App"/>
    <n v="5"/>
    <n v="2"/>
    <n v="10"/>
    <s v="Yes"/>
    <d v="2025-02-01T00:00:00"/>
    <n v="2025"/>
    <n v="1"/>
    <s v="Yes"/>
  </r>
  <r>
    <s v="SR-2025-01186"/>
    <x v="2"/>
    <s v="Illegal Dumping"/>
    <s v="High"/>
    <x v="0"/>
    <s v="Ward 3"/>
    <x v="193"/>
    <d v="2025-11-09T00:00:00"/>
    <s v="Phone"/>
    <n v="3"/>
    <n v="3"/>
    <n v="7"/>
    <s v="Yes"/>
    <d v="2025-11-01T00:00:00"/>
    <n v="2025"/>
    <n v="4"/>
    <s v="Yes"/>
  </r>
  <r>
    <s v="SR-2025-01187"/>
    <x v="1"/>
    <s v="Animal Complaint"/>
    <s v="Low"/>
    <x v="0"/>
    <s v="Ward 1"/>
    <x v="273"/>
    <d v="2025-12-03T00:00:00"/>
    <s v="In Person"/>
    <n v="4"/>
    <n v="14"/>
    <n v="14"/>
    <s v="Yes"/>
    <d v="2025-11-01T00:00:00"/>
    <n v="2025"/>
    <n v="4"/>
    <s v="Yes"/>
  </r>
  <r>
    <s v="SR-2025-01188"/>
    <x v="0"/>
    <s v="Traffic Signal Issue"/>
    <s v="Low"/>
    <x v="0"/>
    <s v="Ward 5"/>
    <x v="308"/>
    <d v="2025-02-24T00:00:00"/>
    <s v="Mobile App"/>
    <n v="5"/>
    <n v="4"/>
    <n v="14"/>
    <s v="Yes"/>
    <d v="2025-02-01T00:00:00"/>
    <n v="2025"/>
    <n v="1"/>
    <s v="Yes"/>
  </r>
  <r>
    <s v="SR-2025-01189"/>
    <x v="2"/>
    <s v="Green Bin Issue"/>
    <s v="Critical"/>
    <x v="0"/>
    <s v="Ward 4"/>
    <x v="336"/>
    <d v="2025-03-20T00:00:00"/>
    <s v="In Person"/>
    <n v="3"/>
    <n v="0"/>
    <n v="3"/>
    <s v="Yes"/>
    <d v="2025-03-01T00:00:00"/>
    <n v="2025"/>
    <n v="1"/>
    <s v="Yes"/>
  </r>
  <r>
    <s v="SR-2025-01190"/>
    <x v="0"/>
    <s v="Road Sign Damage"/>
    <s v="High"/>
    <x v="1"/>
    <s v="Ward 3"/>
    <x v="260"/>
    <m/>
    <s v="Mobile App"/>
    <m/>
    <m/>
    <n v="7"/>
    <s v="Pending"/>
    <d v="2025-10-01T00:00:00"/>
    <n v="2025"/>
    <n v="4"/>
    <s v="No"/>
  </r>
  <r>
    <s v="SR-2025-01191"/>
    <x v="4"/>
    <s v="Water Leak"/>
    <s v="High"/>
    <x v="0"/>
    <s v="Ward 5"/>
    <x v="259"/>
    <d v="2025-08-08T00:00:00"/>
    <s v="Web"/>
    <n v="5"/>
    <n v="5"/>
    <n v="7"/>
    <s v="Yes"/>
    <d v="2025-08-01T00:00:00"/>
    <n v="2025"/>
    <n v="3"/>
    <s v="Yes"/>
  </r>
  <r>
    <s v="SR-2025-01192"/>
    <x v="5"/>
    <s v="Grass Cutting"/>
    <s v="Medium"/>
    <x v="0"/>
    <s v="Ward 2"/>
    <x v="162"/>
    <d v="2025-01-26T00:00:00"/>
    <s v="Email"/>
    <n v="5"/>
    <n v="2"/>
    <n v="10"/>
    <s v="Yes"/>
    <d v="2025-01-01T00:00:00"/>
    <n v="2025"/>
    <n v="1"/>
    <s v="Yes"/>
  </r>
  <r>
    <s v="SR-2025-01193"/>
    <x v="4"/>
    <s v="Water Leak"/>
    <s v="Low"/>
    <x v="1"/>
    <s v="Ward 5"/>
    <x v="99"/>
    <m/>
    <s v="Email"/>
    <m/>
    <m/>
    <n v="14"/>
    <s v="Pending"/>
    <d v="2025-07-01T00:00:00"/>
    <n v="2025"/>
    <n v="3"/>
    <s v="No"/>
  </r>
  <r>
    <s v="SR-2025-01194"/>
    <x v="4"/>
    <s v="Sewer Backup"/>
    <s v="Low"/>
    <x v="0"/>
    <s v="Ward 1"/>
    <x v="296"/>
    <d v="2025-10-26T00:00:00"/>
    <s v="In Person"/>
    <n v="4"/>
    <n v="6"/>
    <n v="14"/>
    <s v="Yes"/>
    <d v="2025-10-01T00:00:00"/>
    <n v="2025"/>
    <n v="4"/>
    <s v="Yes"/>
  </r>
  <r>
    <s v="SR-2025-01195"/>
    <x v="4"/>
    <s v="Sewer Backup"/>
    <s v="Medium"/>
    <x v="0"/>
    <s v="Ward 2"/>
    <x v="315"/>
    <d v="2026-01-04T00:00:00"/>
    <s v="Phone"/>
    <n v="4"/>
    <n v="6"/>
    <n v="10"/>
    <s v="Yes"/>
    <d v="2025-12-01T00:00:00"/>
    <n v="2025"/>
    <n v="4"/>
    <s v="Yes"/>
  </r>
  <r>
    <s v="SR-2025-01196"/>
    <x v="3"/>
    <s v="Road Damage"/>
    <s v="Medium"/>
    <x v="0"/>
    <s v="Ward 1"/>
    <x v="316"/>
    <d v="2025-05-27T00:00:00"/>
    <s v="Phone"/>
    <n v="3"/>
    <n v="4"/>
    <n v="10"/>
    <s v="Yes"/>
    <d v="2025-05-01T00:00:00"/>
    <n v="2025"/>
    <n v="2"/>
    <s v="Yes"/>
  </r>
  <r>
    <s v="SR-2025-01197"/>
    <x v="5"/>
    <s v="Tree Maintenance"/>
    <s v="Low"/>
    <x v="0"/>
    <s v="Ward 5"/>
    <x v="193"/>
    <d v="2025-11-14T00:00:00"/>
    <s v="Mobile App"/>
    <n v="4"/>
    <n v="8"/>
    <n v="14"/>
    <s v="Yes"/>
    <d v="2025-11-01T00:00:00"/>
    <n v="2025"/>
    <n v="4"/>
    <s v="Yes"/>
  </r>
  <r>
    <s v="SR-2025-01198"/>
    <x v="0"/>
    <s v="Traffic Signal Issue"/>
    <s v="Medium"/>
    <x v="0"/>
    <s v="Ward 1"/>
    <x v="202"/>
    <d v="2025-06-18T00:00:00"/>
    <s v="Mobile App"/>
    <n v="4"/>
    <n v="2"/>
    <n v="10"/>
    <s v="Yes"/>
    <d v="2025-06-01T00:00:00"/>
    <n v="2025"/>
    <n v="2"/>
    <s v="Yes"/>
  </r>
  <r>
    <s v="SR-2025-01199"/>
    <x v="5"/>
    <s v="Grass Cutting"/>
    <s v="Low"/>
    <x v="2"/>
    <s v="Ward 5"/>
    <x v="46"/>
    <m/>
    <s v="Web"/>
    <m/>
    <m/>
    <n v="14"/>
    <s v="Pending"/>
    <d v="2025-10-01T00:00:00"/>
    <n v="2025"/>
    <n v="4"/>
    <s v="No"/>
  </r>
  <r>
    <s v="SR-2025-01200"/>
    <x v="0"/>
    <s v="Traffic Concern"/>
    <s v="Critical"/>
    <x v="0"/>
    <s v="Ward 2"/>
    <x v="56"/>
    <d v="2025-11-18T00:00:00"/>
    <s v="Mobile App"/>
    <n v="5"/>
    <n v="1"/>
    <n v="3"/>
    <s v="Yes"/>
    <d v="2025-11-01T00:00:00"/>
    <n v="2025"/>
    <n v="4"/>
    <s v="Yes"/>
  </r>
  <r>
    <s v="SR-2025-01201"/>
    <x v="2"/>
    <s v="Recycling Issue"/>
    <s v="Medium"/>
    <x v="1"/>
    <s v="Ward 2"/>
    <x v="329"/>
    <m/>
    <s v="Email"/>
    <m/>
    <m/>
    <n v="10"/>
    <s v="Pending"/>
    <d v="2025-07-01T00:00:00"/>
    <n v="2025"/>
    <n v="3"/>
    <s v="No"/>
  </r>
  <r>
    <s v="SR-2025-01202"/>
    <x v="5"/>
    <s v="Trail Maintenance"/>
    <s v="Medium"/>
    <x v="2"/>
    <s v="Ward 4"/>
    <x v="222"/>
    <m/>
    <s v="Phone"/>
    <m/>
    <m/>
    <n v="10"/>
    <s v="Pending"/>
    <d v="2025-02-01T00:00:00"/>
    <n v="2025"/>
    <n v="1"/>
    <s v="No"/>
  </r>
  <r>
    <s v="SR-2025-01203"/>
    <x v="4"/>
    <s v="Low Water Pressure"/>
    <s v="High"/>
    <x v="0"/>
    <s v="Ward 2"/>
    <x v="344"/>
    <d v="2025-10-23T00:00:00"/>
    <s v="Mobile App"/>
    <n v="5"/>
    <n v="4"/>
    <n v="7"/>
    <s v="Yes"/>
    <d v="2025-10-01T00:00:00"/>
    <n v="2025"/>
    <n v="4"/>
    <s v="Yes"/>
  </r>
  <r>
    <s v="SR-2025-01204"/>
    <x v="3"/>
    <s v="Sidewalk Damage"/>
    <s v="Low"/>
    <x v="0"/>
    <s v="Ward 1"/>
    <x v="60"/>
    <d v="2025-08-03T00:00:00"/>
    <s v="Phone"/>
    <n v="4"/>
    <n v="13"/>
    <n v="14"/>
    <s v="Yes"/>
    <d v="2025-07-01T00:00:00"/>
    <n v="2025"/>
    <n v="3"/>
    <s v="Yes"/>
  </r>
  <r>
    <s v="SR-2025-01205"/>
    <x v="3"/>
    <s v="Snow Removal"/>
    <s v="Low"/>
    <x v="2"/>
    <s v="Ward 1"/>
    <x v="257"/>
    <m/>
    <s v="In Person"/>
    <m/>
    <m/>
    <n v="14"/>
    <s v="Pending"/>
    <d v="2025-07-01T00:00:00"/>
    <n v="2025"/>
    <n v="3"/>
    <s v="No"/>
  </r>
  <r>
    <s v="SR-2025-01206"/>
    <x v="5"/>
    <s v="Tree Maintenance"/>
    <s v="Medium"/>
    <x v="0"/>
    <s v="Ward 1"/>
    <x v="250"/>
    <d v="2025-01-14T00:00:00"/>
    <s v="Phone"/>
    <n v="5"/>
    <n v="3"/>
    <n v="10"/>
    <s v="Yes"/>
    <d v="2025-01-01T00:00:00"/>
    <n v="2025"/>
    <n v="1"/>
    <s v="Yes"/>
  </r>
  <r>
    <s v="SR-2025-01207"/>
    <x v="5"/>
    <s v="Tree Maintenance"/>
    <s v="Medium"/>
    <x v="2"/>
    <s v="Ward 1"/>
    <x v="225"/>
    <m/>
    <s v="Web"/>
    <m/>
    <m/>
    <n v="10"/>
    <s v="Pending"/>
    <d v="2025-11-01T00:00:00"/>
    <n v="2025"/>
    <n v="4"/>
    <s v="No"/>
  </r>
  <r>
    <s v="SR-2025-01208"/>
    <x v="3"/>
    <s v="Sidewalk Damage"/>
    <s v="High"/>
    <x v="0"/>
    <s v="Ward 4"/>
    <x v="157"/>
    <d v="2025-03-17T00:00:00"/>
    <s v="Phone"/>
    <n v="5"/>
    <n v="4"/>
    <n v="7"/>
    <s v="Yes"/>
    <d v="2025-03-01T00:00:00"/>
    <n v="2025"/>
    <n v="1"/>
    <s v="Yes"/>
  </r>
  <r>
    <s v="SR-2025-01209"/>
    <x v="2"/>
    <s v="Illegal Dumping"/>
    <s v="Medium"/>
    <x v="0"/>
    <s v="Ward 1"/>
    <x v="146"/>
    <d v="2025-10-12T00:00:00"/>
    <s v="Web"/>
    <n v="4"/>
    <n v="6"/>
    <n v="10"/>
    <s v="Yes"/>
    <d v="2025-10-01T00:00:00"/>
    <n v="2025"/>
    <n v="4"/>
    <s v="Yes"/>
  </r>
  <r>
    <s v="SR-2025-01210"/>
    <x v="3"/>
    <s v="Pothole Repair"/>
    <s v="Medium"/>
    <x v="0"/>
    <s v="Ward 2"/>
    <x v="116"/>
    <d v="2025-08-05T00:00:00"/>
    <s v="Web"/>
    <n v="1"/>
    <n v="4"/>
    <n v="10"/>
    <s v="Yes"/>
    <d v="2025-08-01T00:00:00"/>
    <n v="2025"/>
    <n v="3"/>
    <s v="Yes"/>
  </r>
  <r>
    <s v="SR-2025-01211"/>
    <x v="5"/>
    <s v="Trail Maintenance"/>
    <s v="Medium"/>
    <x v="0"/>
    <s v="Ward 4"/>
    <x v="307"/>
    <d v="2025-06-01T00:00:00"/>
    <s v="Web"/>
    <n v="5"/>
    <n v="5"/>
    <n v="10"/>
    <s v="Yes"/>
    <d v="2025-05-01T00:00:00"/>
    <n v="2025"/>
    <n v="2"/>
    <s v="Yes"/>
  </r>
  <r>
    <s v="SR-2025-01212"/>
    <x v="4"/>
    <s v="Low Water Pressure"/>
    <s v="Critical"/>
    <x v="0"/>
    <s v="Ward 3"/>
    <x v="264"/>
    <d v="2025-05-27T00:00:00"/>
    <s v="Web"/>
    <n v="2"/>
    <n v="2"/>
    <n v="3"/>
    <s v="Yes"/>
    <d v="2025-05-01T00:00:00"/>
    <n v="2025"/>
    <n v="2"/>
    <s v="Yes"/>
  </r>
  <r>
    <s v="SR-2025-01213"/>
    <x v="2"/>
    <s v="Missed Garbage Pickup"/>
    <s v="High"/>
    <x v="0"/>
    <s v="Ward 5"/>
    <x v="274"/>
    <d v="2025-04-06T00:00:00"/>
    <s v="Phone"/>
    <n v="4"/>
    <n v="4"/>
    <n v="7"/>
    <s v="Yes"/>
    <d v="2025-04-01T00:00:00"/>
    <n v="2025"/>
    <n v="2"/>
    <s v="Yes"/>
  </r>
  <r>
    <s v="SR-2025-01214"/>
    <x v="0"/>
    <s v="Traffic Concern"/>
    <s v="Low"/>
    <x v="0"/>
    <s v="Ward 3"/>
    <x v="142"/>
    <d v="2025-06-16T00:00:00"/>
    <s v="Web"/>
    <n v="5"/>
    <n v="12"/>
    <n v="14"/>
    <s v="Yes"/>
    <d v="2025-06-01T00:00:00"/>
    <n v="2025"/>
    <n v="2"/>
    <s v="Yes"/>
  </r>
  <r>
    <s v="SR-2025-01215"/>
    <x v="2"/>
    <s v="Green Bin Issue"/>
    <s v="Medium"/>
    <x v="2"/>
    <s v="Ward 1"/>
    <x v="200"/>
    <m/>
    <s v="Web"/>
    <m/>
    <m/>
    <n v="10"/>
    <s v="Pending"/>
    <d v="2025-12-01T00:00:00"/>
    <n v="2025"/>
    <n v="4"/>
    <s v="No"/>
  </r>
  <r>
    <s v="SR-2025-01216"/>
    <x v="5"/>
    <s v="Park Equipment Damage"/>
    <s v="Medium"/>
    <x v="0"/>
    <s v="Ward 4"/>
    <x v="285"/>
    <d v="2025-09-05T00:00:00"/>
    <s v="Mobile App"/>
    <n v="3"/>
    <n v="3"/>
    <n v="10"/>
    <s v="Yes"/>
    <d v="2025-09-01T00:00:00"/>
    <n v="2025"/>
    <n v="3"/>
    <s v="Yes"/>
  </r>
  <r>
    <s v="SR-2025-01217"/>
    <x v="5"/>
    <s v="Tree Maintenance"/>
    <s v="Medium"/>
    <x v="0"/>
    <s v="Ward 4"/>
    <x v="318"/>
    <d v="2025-07-24T00:00:00"/>
    <s v="Email"/>
    <n v="4"/>
    <n v="7"/>
    <n v="10"/>
    <s v="Yes"/>
    <d v="2025-07-01T00:00:00"/>
    <n v="2025"/>
    <n v="3"/>
    <s v="Yes"/>
  </r>
  <r>
    <s v="SR-2025-01218"/>
    <x v="0"/>
    <s v="Traffic Concern"/>
    <s v="Medium"/>
    <x v="0"/>
    <s v="Ward 5"/>
    <x v="241"/>
    <d v="2025-03-17T00:00:00"/>
    <s v="Email"/>
    <n v="4"/>
    <n v="5"/>
    <n v="10"/>
    <s v="Yes"/>
    <d v="2025-03-01T00:00:00"/>
    <n v="2025"/>
    <n v="1"/>
    <s v="Yes"/>
  </r>
  <r>
    <s v="SR-2025-01219"/>
    <x v="1"/>
    <s v="Animal Complaint"/>
    <s v="Medium"/>
    <x v="1"/>
    <s v="Ward 1"/>
    <x v="99"/>
    <m/>
    <s v="In Person"/>
    <m/>
    <m/>
    <n v="10"/>
    <s v="Pending"/>
    <d v="2025-07-01T00:00:00"/>
    <n v="2025"/>
    <n v="3"/>
    <s v="No"/>
  </r>
  <r>
    <s v="SR-2025-01220"/>
    <x v="0"/>
    <s v="Traffic Concern"/>
    <s v="Medium"/>
    <x v="1"/>
    <s v="Ward 1"/>
    <x v="217"/>
    <m/>
    <s v="Phone"/>
    <m/>
    <m/>
    <n v="10"/>
    <s v="Pending"/>
    <d v="2025-04-01T00:00:00"/>
    <n v="2025"/>
    <n v="2"/>
    <s v="No"/>
  </r>
  <r>
    <s v="SR-2025-01221"/>
    <x v="2"/>
    <s v="Missed Garbage Pickup"/>
    <s v="Low"/>
    <x v="1"/>
    <s v="Ward 5"/>
    <x v="5"/>
    <m/>
    <s v="Email"/>
    <m/>
    <m/>
    <n v="14"/>
    <s v="Pending"/>
    <d v="2025-07-01T00:00:00"/>
    <n v="2025"/>
    <n v="3"/>
    <s v="No"/>
  </r>
  <r>
    <s v="SR-2025-01222"/>
    <x v="5"/>
    <s v="Tree Maintenance"/>
    <s v="Low"/>
    <x v="0"/>
    <s v="Ward 5"/>
    <x v="157"/>
    <d v="2025-03-20T00:00:00"/>
    <s v="Email"/>
    <n v="4"/>
    <n v="7"/>
    <n v="14"/>
    <s v="Yes"/>
    <d v="2025-03-01T00:00:00"/>
    <n v="2025"/>
    <n v="1"/>
    <s v="Yes"/>
  </r>
  <r>
    <s v="SR-2025-01223"/>
    <x v="5"/>
    <s v="Park Equipment Damage"/>
    <s v="High"/>
    <x v="0"/>
    <s v="Ward 2"/>
    <x v="241"/>
    <d v="2025-03-13T00:00:00"/>
    <s v="Email"/>
    <n v="5"/>
    <n v="1"/>
    <n v="7"/>
    <s v="Yes"/>
    <d v="2025-03-01T00:00:00"/>
    <n v="2025"/>
    <n v="1"/>
    <s v="Yes"/>
  </r>
  <r>
    <s v="SR-2025-01224"/>
    <x v="0"/>
    <s v="Streetlight Repair"/>
    <s v="Medium"/>
    <x v="0"/>
    <s v="Ward 1"/>
    <x v="216"/>
    <d v="2025-01-31T00:00:00"/>
    <s v="Email"/>
    <n v="5"/>
    <n v="3"/>
    <n v="10"/>
    <s v="Yes"/>
    <d v="2025-01-01T00:00:00"/>
    <n v="2025"/>
    <n v="1"/>
    <s v="Yes"/>
  </r>
  <r>
    <s v="SR-2025-01225"/>
    <x v="1"/>
    <s v="Property Standards"/>
    <s v="Low"/>
    <x v="0"/>
    <s v="Ward 5"/>
    <x v="141"/>
    <d v="2025-02-16T00:00:00"/>
    <s v="Email"/>
    <n v="2"/>
    <n v="6"/>
    <n v="14"/>
    <s v="Yes"/>
    <d v="2025-02-01T00:00:00"/>
    <n v="2025"/>
    <n v="1"/>
    <s v="Yes"/>
  </r>
  <r>
    <s v="SR-2025-01226"/>
    <x v="5"/>
    <s v="Park Equipment Damage"/>
    <s v="Medium"/>
    <x v="0"/>
    <s v="Ward 3"/>
    <x v="350"/>
    <d v="2025-10-04T00:00:00"/>
    <s v="Email"/>
    <n v="4"/>
    <n v="6"/>
    <n v="10"/>
    <s v="Yes"/>
    <d v="2025-09-01T00:00:00"/>
    <n v="2025"/>
    <n v="3"/>
    <s v="Yes"/>
  </r>
  <r>
    <s v="SR-2025-01227"/>
    <x v="0"/>
    <s v="Streetlight Repair"/>
    <s v="Medium"/>
    <x v="0"/>
    <s v="Ward 2"/>
    <x v="189"/>
    <d v="2025-11-27T00:00:00"/>
    <s v="In Person"/>
    <n v="4"/>
    <n v="2"/>
    <n v="10"/>
    <s v="Yes"/>
    <d v="2025-11-01T00:00:00"/>
    <n v="2025"/>
    <n v="4"/>
    <s v="Yes"/>
  </r>
  <r>
    <s v="SR-2025-01228"/>
    <x v="5"/>
    <s v="Tree Maintenance"/>
    <s v="Medium"/>
    <x v="0"/>
    <s v="Ward 3"/>
    <x v="85"/>
    <d v="2025-08-31T00:00:00"/>
    <s v="In Person"/>
    <n v="5"/>
    <n v="10"/>
    <n v="10"/>
    <s v="Yes"/>
    <d v="2025-08-01T00:00:00"/>
    <n v="2025"/>
    <n v="3"/>
    <s v="Yes"/>
  </r>
  <r>
    <s v="SR-2025-01229"/>
    <x v="1"/>
    <s v="Parking Complaint"/>
    <s v="High"/>
    <x v="0"/>
    <s v="Ward 5"/>
    <x v="298"/>
    <d v="2025-03-25T00:00:00"/>
    <s v="Email"/>
    <n v="5"/>
    <n v="3"/>
    <n v="7"/>
    <s v="Yes"/>
    <d v="2025-03-01T00:00:00"/>
    <n v="2025"/>
    <n v="1"/>
    <s v="Yes"/>
  </r>
  <r>
    <s v="SR-2025-01230"/>
    <x v="5"/>
    <s v="Park Equipment Damage"/>
    <s v="Medium"/>
    <x v="0"/>
    <s v="Ward 5"/>
    <x v="337"/>
    <d v="2025-07-24T00:00:00"/>
    <s v="In Person"/>
    <n v="5"/>
    <n v="4"/>
    <n v="10"/>
    <s v="Yes"/>
    <d v="2025-07-01T00:00:00"/>
    <n v="2025"/>
    <n v="3"/>
    <s v="Yes"/>
  </r>
  <r>
    <s v="SR-2025-01231"/>
    <x v="3"/>
    <s v="Snow Removal"/>
    <s v="Medium"/>
    <x v="0"/>
    <s v="Ward 3"/>
    <x v="213"/>
    <d v="2025-08-04T00:00:00"/>
    <s v="Email"/>
    <n v="3"/>
    <n v="8"/>
    <n v="10"/>
    <s v="Yes"/>
    <d v="2025-07-01T00:00:00"/>
    <n v="2025"/>
    <n v="3"/>
    <s v="Yes"/>
  </r>
  <r>
    <s v="SR-2025-01232"/>
    <x v="5"/>
    <s v="Grass Cutting"/>
    <s v="Low"/>
    <x v="0"/>
    <s v="Ward 1"/>
    <x v="327"/>
    <d v="2025-11-20T00:00:00"/>
    <s v="Phone"/>
    <n v="5"/>
    <n v="15"/>
    <n v="14"/>
    <s v="No"/>
    <d v="2025-11-01T00:00:00"/>
    <n v="2025"/>
    <n v="4"/>
    <s v="Yes"/>
  </r>
  <r>
    <s v="SR-2025-01233"/>
    <x v="2"/>
    <s v="Recycling Issue"/>
    <s v="Medium"/>
    <x v="0"/>
    <s v="Ward 3"/>
    <x v="138"/>
    <d v="2025-11-04T00:00:00"/>
    <s v="Phone"/>
    <n v="5"/>
    <n v="2"/>
    <n v="10"/>
    <s v="Yes"/>
    <d v="2025-11-01T00:00:00"/>
    <n v="2025"/>
    <n v="4"/>
    <s v="Yes"/>
  </r>
  <r>
    <s v="SR-2025-01234"/>
    <x v="1"/>
    <s v="Property Standards"/>
    <s v="Medium"/>
    <x v="0"/>
    <s v="Ward 5"/>
    <x v="68"/>
    <d v="2025-05-21T00:00:00"/>
    <s v="Web"/>
    <n v="5"/>
    <n v="3"/>
    <n v="10"/>
    <s v="Yes"/>
    <d v="2025-05-01T00:00:00"/>
    <n v="2025"/>
    <n v="2"/>
    <s v="Yes"/>
  </r>
  <r>
    <s v="SR-2025-01235"/>
    <x v="1"/>
    <s v="Animal Complaint"/>
    <s v="Low"/>
    <x v="0"/>
    <s v="Ward 3"/>
    <x v="136"/>
    <d v="2025-06-11T00:00:00"/>
    <s v="Email"/>
    <n v="5"/>
    <n v="3"/>
    <n v="14"/>
    <s v="Yes"/>
    <d v="2025-06-01T00:00:00"/>
    <n v="2025"/>
    <n v="2"/>
    <s v="Yes"/>
  </r>
  <r>
    <s v="SR-2025-01236"/>
    <x v="1"/>
    <s v="Property Standards"/>
    <s v="Medium"/>
    <x v="0"/>
    <s v="Ward 1"/>
    <x v="237"/>
    <d v="2025-07-06T00:00:00"/>
    <s v="Mobile App"/>
    <n v="5"/>
    <n v="4"/>
    <n v="10"/>
    <s v="Yes"/>
    <d v="2025-07-01T00:00:00"/>
    <n v="2025"/>
    <n v="3"/>
    <s v="Yes"/>
  </r>
  <r>
    <s v="SR-2025-01237"/>
    <x v="4"/>
    <s v="Water Leak"/>
    <s v="Medium"/>
    <x v="1"/>
    <s v="Ward 5"/>
    <x v="104"/>
    <m/>
    <s v="Email"/>
    <m/>
    <m/>
    <n v="10"/>
    <s v="Pending"/>
    <d v="2025-01-01T00:00:00"/>
    <n v="2025"/>
    <n v="1"/>
    <s v="No"/>
  </r>
  <r>
    <s v="SR-2025-01238"/>
    <x v="4"/>
    <s v="Water Leak"/>
    <s v="Medium"/>
    <x v="0"/>
    <s v="Ward 1"/>
    <x v="105"/>
    <d v="2025-08-29T00:00:00"/>
    <s v="Phone"/>
    <n v="5"/>
    <n v="3"/>
    <n v="10"/>
    <s v="Yes"/>
    <d v="2025-08-01T00:00:00"/>
    <n v="2025"/>
    <n v="3"/>
    <s v="Yes"/>
  </r>
  <r>
    <s v="SR-2025-01239"/>
    <x v="5"/>
    <s v="Park Equipment Damage"/>
    <s v="High"/>
    <x v="0"/>
    <s v="Ward 5"/>
    <x v="299"/>
    <d v="2025-09-19T00:00:00"/>
    <s v="In Person"/>
    <n v="5"/>
    <n v="5"/>
    <n v="7"/>
    <s v="Yes"/>
    <d v="2025-09-01T00:00:00"/>
    <n v="2025"/>
    <n v="3"/>
    <s v="Yes"/>
  </r>
  <r>
    <s v="SR-2025-01240"/>
    <x v="2"/>
    <s v="Green Bin Issue"/>
    <s v="High"/>
    <x v="0"/>
    <s v="Ward 4"/>
    <x v="76"/>
    <d v="2025-07-09T00:00:00"/>
    <s v="Web"/>
    <n v="5"/>
    <n v="5"/>
    <n v="7"/>
    <s v="Yes"/>
    <d v="2025-07-01T00:00:00"/>
    <n v="2025"/>
    <n v="3"/>
    <s v="Yes"/>
  </r>
  <r>
    <s v="SR-2025-01241"/>
    <x v="0"/>
    <s v="Traffic Concern"/>
    <s v="Low"/>
    <x v="2"/>
    <s v="Ward 1"/>
    <x v="45"/>
    <m/>
    <s v="Phone"/>
    <m/>
    <m/>
    <n v="14"/>
    <s v="Pending"/>
    <d v="2025-11-01T00:00:00"/>
    <n v="2025"/>
    <n v="4"/>
    <s v="No"/>
  </r>
  <r>
    <s v="SR-2025-01242"/>
    <x v="1"/>
    <s v="Animal Complaint"/>
    <s v="Low"/>
    <x v="0"/>
    <s v="Ward 1"/>
    <x v="136"/>
    <d v="2025-06-19T00:00:00"/>
    <s v="Email"/>
    <n v="5"/>
    <n v="11"/>
    <n v="14"/>
    <s v="Yes"/>
    <d v="2025-06-01T00:00:00"/>
    <n v="2025"/>
    <n v="2"/>
    <s v="Yes"/>
  </r>
  <r>
    <s v="SR-2025-01243"/>
    <x v="3"/>
    <s v="Snow Removal"/>
    <s v="Medium"/>
    <x v="2"/>
    <s v="Ward 1"/>
    <x v="351"/>
    <m/>
    <s v="Mobile App"/>
    <m/>
    <m/>
    <n v="10"/>
    <s v="Pending"/>
    <d v="2025-03-01T00:00:00"/>
    <n v="2025"/>
    <n v="1"/>
    <s v="No"/>
  </r>
  <r>
    <s v="SR-2025-01244"/>
    <x v="1"/>
    <s v="Parking Complaint"/>
    <s v="Medium"/>
    <x v="0"/>
    <s v="Ward 4"/>
    <x v="160"/>
    <d v="2026-01-08T00:00:00"/>
    <s v="Mobile App"/>
    <n v="3"/>
    <n v="9"/>
    <n v="10"/>
    <s v="Yes"/>
    <d v="2025-12-01T00:00:00"/>
    <n v="2025"/>
    <n v="4"/>
    <s v="Yes"/>
  </r>
  <r>
    <s v="SR-2025-01245"/>
    <x v="4"/>
    <s v="Low Water Pressure"/>
    <s v="High"/>
    <x v="2"/>
    <s v="Ward 1"/>
    <x v="320"/>
    <m/>
    <s v="Mobile App"/>
    <m/>
    <m/>
    <n v="7"/>
    <s v="Pending"/>
    <d v="2025-09-01T00:00:00"/>
    <n v="2025"/>
    <n v="3"/>
    <s v="No"/>
  </r>
  <r>
    <s v="SR-2025-01246"/>
    <x v="2"/>
    <s v="Green Bin Issue"/>
    <s v="Medium"/>
    <x v="0"/>
    <s v="Ward 5"/>
    <x v="352"/>
    <d v="2025-12-19T00:00:00"/>
    <s v="In Person"/>
    <n v="4"/>
    <n v="4"/>
    <n v="10"/>
    <s v="Yes"/>
    <d v="2025-12-01T00:00:00"/>
    <n v="2025"/>
    <n v="4"/>
    <s v="Yes"/>
  </r>
  <r>
    <s v="SR-2025-01247"/>
    <x v="2"/>
    <s v="Illegal Dumping"/>
    <s v="Low"/>
    <x v="0"/>
    <s v="Ward 1"/>
    <x v="139"/>
    <d v="2025-08-26T00:00:00"/>
    <s v="In Person"/>
    <n v="5"/>
    <n v="7"/>
    <n v="14"/>
    <s v="Yes"/>
    <d v="2025-08-01T00:00:00"/>
    <n v="2025"/>
    <n v="3"/>
    <s v="Yes"/>
  </r>
  <r>
    <s v="SR-2025-01248"/>
    <x v="0"/>
    <s v="Streetlight Repair"/>
    <s v="High"/>
    <x v="0"/>
    <s v="Ward 1"/>
    <x v="169"/>
    <d v="2025-10-16T00:00:00"/>
    <s v="Mobile App"/>
    <n v="3"/>
    <n v="1"/>
    <n v="7"/>
    <s v="Yes"/>
    <d v="2025-10-01T00:00:00"/>
    <n v="2025"/>
    <n v="4"/>
    <s v="Yes"/>
  </r>
  <r>
    <s v="SR-2025-01249"/>
    <x v="4"/>
    <s v="Low Water Pressure"/>
    <s v="Medium"/>
    <x v="1"/>
    <s v="Ward 4"/>
    <x v="0"/>
    <m/>
    <s v="Email"/>
    <m/>
    <m/>
    <n v="10"/>
    <s v="Pending"/>
    <d v="2025-04-01T00:00:00"/>
    <n v="2025"/>
    <n v="2"/>
    <s v="No"/>
  </r>
  <r>
    <s v="SR-2025-01250"/>
    <x v="0"/>
    <s v="Streetlight Repair"/>
    <s v="Medium"/>
    <x v="0"/>
    <s v="Ward 2"/>
    <x v="194"/>
    <d v="2025-10-10T00:00:00"/>
    <s v="Web"/>
    <n v="2"/>
    <n v="9"/>
    <n v="10"/>
    <s v="Yes"/>
    <d v="2025-10-01T00:00:00"/>
    <n v="2025"/>
    <n v="4"/>
    <s v="Yes"/>
  </r>
  <r>
    <s v="SR-2025-01251"/>
    <x v="4"/>
    <s v="Water Quality Concern"/>
    <s v="Low"/>
    <x v="0"/>
    <s v="Ward 4"/>
    <x v="346"/>
    <d v="2025-06-20T00:00:00"/>
    <s v="Phone"/>
    <n v="5"/>
    <n v="8"/>
    <n v="14"/>
    <s v="Yes"/>
    <d v="2025-06-01T00:00:00"/>
    <n v="2025"/>
    <n v="2"/>
    <s v="Yes"/>
  </r>
  <r>
    <s v="SR-2025-01252"/>
    <x v="0"/>
    <s v="Traffic Concern"/>
    <s v="Low"/>
    <x v="0"/>
    <s v="Ward 2"/>
    <x v="325"/>
    <d v="2025-10-12T00:00:00"/>
    <s v="Phone"/>
    <n v="5"/>
    <n v="5"/>
    <n v="14"/>
    <s v="Yes"/>
    <d v="2025-10-01T00:00:00"/>
    <n v="2025"/>
    <n v="4"/>
    <s v="Yes"/>
  </r>
  <r>
    <s v="SR-2025-01253"/>
    <x v="2"/>
    <s v="Missed Garbage Pickup"/>
    <s v="Critical"/>
    <x v="1"/>
    <s v="Ward 3"/>
    <x v="306"/>
    <m/>
    <s v="Email"/>
    <m/>
    <m/>
    <n v="3"/>
    <s v="Pending"/>
    <d v="2025-02-01T00:00:00"/>
    <n v="2025"/>
    <n v="1"/>
    <s v="No"/>
  </r>
  <r>
    <s v="SR-2025-01254"/>
    <x v="4"/>
    <s v="Low Water Pressure"/>
    <s v="Low"/>
    <x v="2"/>
    <s v="Ward 4"/>
    <x v="255"/>
    <m/>
    <s v="Mobile App"/>
    <m/>
    <m/>
    <n v="14"/>
    <s v="Pending"/>
    <d v="2025-12-01T00:00:00"/>
    <n v="2025"/>
    <n v="4"/>
    <s v="No"/>
  </r>
  <r>
    <s v="SR-2025-01255"/>
    <x v="2"/>
    <s v="Recycling Issue"/>
    <s v="Low"/>
    <x v="0"/>
    <s v="Ward 4"/>
    <x v="213"/>
    <d v="2025-07-31T00:00:00"/>
    <s v="Email"/>
    <n v="4"/>
    <n v="4"/>
    <n v="14"/>
    <s v="Yes"/>
    <d v="2025-07-01T00:00:00"/>
    <n v="2025"/>
    <n v="3"/>
    <s v="Yes"/>
  </r>
  <r>
    <s v="SR-2025-01256"/>
    <x v="1"/>
    <s v="Property Standards"/>
    <s v="Medium"/>
    <x v="0"/>
    <s v="Ward 4"/>
    <x v="216"/>
    <d v="2025-01-31T00:00:00"/>
    <s v="Mobile App"/>
    <n v="5"/>
    <n v="3"/>
    <n v="10"/>
    <s v="Yes"/>
    <d v="2025-01-01T00:00:00"/>
    <n v="2025"/>
    <n v="1"/>
    <s v="Yes"/>
  </r>
  <r>
    <s v="SR-2025-01257"/>
    <x v="2"/>
    <s v="Recycling Issue"/>
    <s v="Low"/>
    <x v="2"/>
    <s v="Ward 4"/>
    <x v="102"/>
    <m/>
    <s v="In Person"/>
    <m/>
    <m/>
    <n v="14"/>
    <s v="Pending"/>
    <d v="2025-09-01T00:00:00"/>
    <n v="2025"/>
    <n v="3"/>
    <s v="No"/>
  </r>
  <r>
    <s v="SR-2025-01258"/>
    <x v="0"/>
    <s v="Traffic Signal Issue"/>
    <s v="Critical"/>
    <x v="0"/>
    <s v="Ward 5"/>
    <x v="208"/>
    <d v="2025-12-24T00:00:00"/>
    <s v="In Person"/>
    <n v="5"/>
    <n v="3"/>
    <n v="3"/>
    <s v="Yes"/>
    <d v="2025-12-01T00:00:00"/>
    <n v="2025"/>
    <n v="4"/>
    <s v="Yes"/>
  </r>
  <r>
    <s v="SR-2025-01259"/>
    <x v="5"/>
    <s v="Tree Maintenance"/>
    <s v="High"/>
    <x v="0"/>
    <s v="Ward 3"/>
    <x v="140"/>
    <d v="2025-03-19T00:00:00"/>
    <s v="Web"/>
    <n v="5"/>
    <n v="3"/>
    <n v="7"/>
    <s v="Yes"/>
    <d v="2025-03-01T00:00:00"/>
    <n v="2025"/>
    <n v="1"/>
    <s v="Yes"/>
  </r>
  <r>
    <s v="SR-2025-01260"/>
    <x v="5"/>
    <s v="Trail Maintenance"/>
    <s v="High"/>
    <x v="0"/>
    <s v="Ward 4"/>
    <x v="346"/>
    <d v="2025-06-13T00:00:00"/>
    <s v="Mobile App"/>
    <n v="5"/>
    <n v="1"/>
    <n v="7"/>
    <s v="Yes"/>
    <d v="2025-06-01T00:00:00"/>
    <n v="2025"/>
    <n v="2"/>
    <s v="Yes"/>
  </r>
  <r>
    <s v="SR-2025-01261"/>
    <x v="1"/>
    <s v="Noise Complaint"/>
    <s v="Critical"/>
    <x v="2"/>
    <s v="Ward 4"/>
    <x v="109"/>
    <m/>
    <s v="In Person"/>
    <m/>
    <m/>
    <n v="3"/>
    <s v="Pending"/>
    <d v="2025-03-01T00:00:00"/>
    <n v="2025"/>
    <n v="1"/>
    <s v="No"/>
  </r>
  <r>
    <s v="SR-2025-01262"/>
    <x v="3"/>
    <s v="Pothole Repair"/>
    <s v="Low"/>
    <x v="2"/>
    <s v="Ward 5"/>
    <x v="204"/>
    <m/>
    <s v="Phone"/>
    <m/>
    <m/>
    <n v="14"/>
    <s v="Pending"/>
    <d v="2025-08-01T00:00:00"/>
    <n v="2025"/>
    <n v="3"/>
    <s v="No"/>
  </r>
  <r>
    <s v="SR-2025-01263"/>
    <x v="1"/>
    <s v="Animal Complaint"/>
    <s v="Low"/>
    <x v="0"/>
    <s v="Ward 1"/>
    <x v="71"/>
    <d v="2025-04-21T00:00:00"/>
    <s v="Mobile App"/>
    <n v="4"/>
    <n v="13"/>
    <n v="14"/>
    <s v="Yes"/>
    <d v="2025-04-01T00:00:00"/>
    <n v="2025"/>
    <n v="2"/>
    <s v="Yes"/>
  </r>
  <r>
    <s v="SR-2025-01264"/>
    <x v="2"/>
    <s v="Missed Garbage Pickup"/>
    <s v="Medium"/>
    <x v="0"/>
    <s v="Ward 4"/>
    <x v="147"/>
    <d v="2025-03-14T00:00:00"/>
    <s v="Email"/>
    <n v="4"/>
    <n v="9"/>
    <n v="10"/>
    <s v="Yes"/>
    <d v="2025-03-01T00:00:00"/>
    <n v="2025"/>
    <n v="1"/>
    <s v="Yes"/>
  </r>
  <r>
    <s v="SR-2025-01265"/>
    <x v="4"/>
    <s v="Sewer Backup"/>
    <s v="Medium"/>
    <x v="0"/>
    <s v="Ward 2"/>
    <x v="289"/>
    <d v="2025-10-02T00:00:00"/>
    <s v="Email"/>
    <n v="3"/>
    <n v="7"/>
    <n v="10"/>
    <s v="Yes"/>
    <d v="2025-09-01T00:00:00"/>
    <n v="2025"/>
    <n v="3"/>
    <s v="Yes"/>
  </r>
  <r>
    <s v="SR-2025-01266"/>
    <x v="4"/>
    <s v="Sewer Backup"/>
    <s v="Low"/>
    <x v="0"/>
    <s v="Ward 4"/>
    <x v="300"/>
    <d v="2025-10-14T00:00:00"/>
    <s v="Mobile App"/>
    <n v="4"/>
    <n v="9"/>
    <n v="14"/>
    <s v="Yes"/>
    <d v="2025-10-01T00:00:00"/>
    <n v="2025"/>
    <n v="4"/>
    <s v="Yes"/>
  </r>
  <r>
    <s v="SR-2025-01267"/>
    <x v="0"/>
    <s v="Streetlight Repair"/>
    <s v="Critical"/>
    <x v="1"/>
    <s v="Ward 1"/>
    <x v="84"/>
    <m/>
    <s v="Web"/>
    <m/>
    <m/>
    <n v="3"/>
    <s v="Pending"/>
    <d v="2025-02-01T00:00:00"/>
    <n v="2025"/>
    <n v="1"/>
    <s v="No"/>
  </r>
  <r>
    <s v="SR-2025-01268"/>
    <x v="1"/>
    <s v="Animal Complaint"/>
    <s v="Low"/>
    <x v="1"/>
    <s v="Ward 5"/>
    <x v="47"/>
    <m/>
    <s v="Web"/>
    <m/>
    <m/>
    <n v="14"/>
    <s v="Pending"/>
    <d v="2025-11-01T00:00:00"/>
    <n v="2025"/>
    <n v="4"/>
    <s v="No"/>
  </r>
  <r>
    <s v="SR-2025-01269"/>
    <x v="0"/>
    <s v="Traffic Concern"/>
    <s v="Medium"/>
    <x v="1"/>
    <s v="Ward 3"/>
    <x v="339"/>
    <m/>
    <s v="Email"/>
    <m/>
    <m/>
    <n v="10"/>
    <s v="Pending"/>
    <d v="2025-12-01T00:00:00"/>
    <n v="2025"/>
    <n v="4"/>
    <s v="No"/>
  </r>
  <r>
    <s v="SR-2025-01270"/>
    <x v="5"/>
    <s v="Park Equipment Damage"/>
    <s v="High"/>
    <x v="0"/>
    <s v="Ward 1"/>
    <x v="87"/>
    <d v="2025-03-02T00:00:00"/>
    <s v="Mobile App"/>
    <n v="5"/>
    <n v="2"/>
    <n v="7"/>
    <s v="Yes"/>
    <d v="2025-02-01T00:00:00"/>
    <n v="2025"/>
    <n v="1"/>
    <s v="Yes"/>
  </r>
  <r>
    <s v="SR-2025-01271"/>
    <x v="4"/>
    <s v="Water Quality Concern"/>
    <s v="High"/>
    <x v="0"/>
    <s v="Ward 2"/>
    <x v="329"/>
    <d v="2025-07-23T00:00:00"/>
    <s v="In Person"/>
    <n v="5"/>
    <n v="1"/>
    <n v="7"/>
    <s v="Yes"/>
    <d v="2025-07-01T00:00:00"/>
    <n v="2025"/>
    <n v="3"/>
    <s v="Yes"/>
  </r>
  <r>
    <s v="SR-2025-01272"/>
    <x v="2"/>
    <s v="Illegal Dumping"/>
    <s v="High"/>
    <x v="0"/>
    <s v="Ward 4"/>
    <x v="116"/>
    <d v="2025-08-07T00:00:00"/>
    <s v="Web"/>
    <n v="3"/>
    <n v="6"/>
    <n v="7"/>
    <s v="Yes"/>
    <d v="2025-08-01T00:00:00"/>
    <n v="2025"/>
    <n v="3"/>
    <s v="Yes"/>
  </r>
  <r>
    <s v="SR-2025-01273"/>
    <x v="3"/>
    <s v="Pothole Repair"/>
    <s v="Low"/>
    <x v="0"/>
    <s v="Ward 3"/>
    <x v="54"/>
    <d v="2025-10-07T00:00:00"/>
    <s v="Phone"/>
    <n v="4"/>
    <n v="14"/>
    <n v="14"/>
    <s v="Yes"/>
    <d v="2025-09-01T00:00:00"/>
    <n v="2025"/>
    <n v="3"/>
    <s v="Yes"/>
  </r>
  <r>
    <s v="SR-2025-01274"/>
    <x v="1"/>
    <s v="Animal Complaint"/>
    <s v="Low"/>
    <x v="2"/>
    <s v="Ward 5"/>
    <x v="182"/>
    <m/>
    <s v="Email"/>
    <m/>
    <m/>
    <n v="14"/>
    <s v="Pending"/>
    <d v="2025-04-01T00:00:00"/>
    <n v="2025"/>
    <n v="2"/>
    <s v="No"/>
  </r>
  <r>
    <s v="SR-2025-01275"/>
    <x v="3"/>
    <s v="Snow Removal"/>
    <s v="Low"/>
    <x v="0"/>
    <s v="Ward 5"/>
    <x v="244"/>
    <d v="2025-04-08T00:00:00"/>
    <s v="Phone"/>
    <n v="5"/>
    <n v="9"/>
    <n v="14"/>
    <s v="Yes"/>
    <d v="2025-03-01T00:00:00"/>
    <n v="2025"/>
    <n v="1"/>
    <s v="Yes"/>
  </r>
  <r>
    <s v="SR-2025-01276"/>
    <x v="4"/>
    <s v="Low Water Pressure"/>
    <s v="Low"/>
    <x v="1"/>
    <s v="Ward 1"/>
    <x v="261"/>
    <m/>
    <s v="In Person"/>
    <m/>
    <m/>
    <n v="14"/>
    <s v="Pending"/>
    <d v="2025-09-01T00:00:00"/>
    <n v="2025"/>
    <n v="3"/>
    <s v="No"/>
  </r>
  <r>
    <s v="SR-2025-01277"/>
    <x v="4"/>
    <s v="Sewer Backup"/>
    <s v="High"/>
    <x v="0"/>
    <s v="Ward 1"/>
    <x v="112"/>
    <d v="2025-06-17T00:00:00"/>
    <s v="Email"/>
    <n v="2"/>
    <n v="2"/>
    <n v="7"/>
    <s v="Yes"/>
    <d v="2025-06-01T00:00:00"/>
    <n v="2025"/>
    <n v="2"/>
    <s v="Yes"/>
  </r>
  <r>
    <s v="SR-2025-01278"/>
    <x v="3"/>
    <s v="Road Damage"/>
    <s v="Low"/>
    <x v="0"/>
    <s v="Ward 2"/>
    <x v="141"/>
    <d v="2025-02-22T00:00:00"/>
    <s v="Email"/>
    <n v="4"/>
    <n v="12"/>
    <n v="14"/>
    <s v="Yes"/>
    <d v="2025-02-01T00:00:00"/>
    <n v="2025"/>
    <n v="1"/>
    <s v="Yes"/>
  </r>
  <r>
    <s v="SR-2025-01279"/>
    <x v="0"/>
    <s v="Road Sign Damage"/>
    <s v="Low"/>
    <x v="0"/>
    <s v="Ward 2"/>
    <x v="195"/>
    <d v="2025-05-01T00:00:00"/>
    <s v="Email"/>
    <n v="3"/>
    <n v="7"/>
    <n v="14"/>
    <s v="Yes"/>
    <d v="2025-04-01T00:00:00"/>
    <n v="2025"/>
    <n v="2"/>
    <s v="Yes"/>
  </r>
  <r>
    <s v="SR-2025-01280"/>
    <x v="2"/>
    <s v="Missed Garbage Pickup"/>
    <s v="Medium"/>
    <x v="2"/>
    <s v="Ward 1"/>
    <x v="163"/>
    <m/>
    <s v="In Person"/>
    <m/>
    <m/>
    <n v="10"/>
    <s v="Pending"/>
    <d v="2025-11-01T00:00:00"/>
    <n v="2025"/>
    <n v="4"/>
    <s v="No"/>
  </r>
  <r>
    <s v="SR-2025-01281"/>
    <x v="3"/>
    <s v="Pothole Repair"/>
    <s v="Medium"/>
    <x v="0"/>
    <s v="Ward 2"/>
    <x v="295"/>
    <d v="2025-02-28T00:00:00"/>
    <s v="Web"/>
    <n v="3"/>
    <n v="4"/>
    <n v="10"/>
    <s v="Yes"/>
    <d v="2025-02-01T00:00:00"/>
    <n v="2025"/>
    <n v="1"/>
    <s v="Yes"/>
  </r>
  <r>
    <s v="SR-2025-01282"/>
    <x v="3"/>
    <s v="Snow Removal"/>
    <s v="High"/>
    <x v="2"/>
    <s v="Ward 4"/>
    <x v="236"/>
    <m/>
    <s v="Web"/>
    <m/>
    <m/>
    <n v="7"/>
    <s v="Pending"/>
    <d v="2025-04-01T00:00:00"/>
    <n v="2025"/>
    <n v="2"/>
    <s v="No"/>
  </r>
  <r>
    <s v="SR-2025-01283"/>
    <x v="4"/>
    <s v="Water Leak"/>
    <s v="Medium"/>
    <x v="0"/>
    <s v="Ward 4"/>
    <x v="56"/>
    <d v="2025-11-20T00:00:00"/>
    <s v="Email"/>
    <n v="3"/>
    <n v="3"/>
    <n v="10"/>
    <s v="Yes"/>
    <d v="2025-11-01T00:00:00"/>
    <n v="2025"/>
    <n v="4"/>
    <s v="Yes"/>
  </r>
  <r>
    <s v="SR-2025-01284"/>
    <x v="2"/>
    <s v="Green Bin Issue"/>
    <s v="High"/>
    <x v="0"/>
    <s v="Ward 5"/>
    <x v="353"/>
    <d v="2025-01-08T00:00:00"/>
    <s v="Web"/>
    <n v="4"/>
    <n v="2"/>
    <n v="7"/>
    <s v="Yes"/>
    <d v="2025-01-01T00:00:00"/>
    <n v="2025"/>
    <n v="1"/>
    <s v="Yes"/>
  </r>
  <r>
    <s v="SR-2025-01285"/>
    <x v="3"/>
    <s v="Sidewalk Damage"/>
    <s v="Critical"/>
    <x v="0"/>
    <s v="Ward 3"/>
    <x v="113"/>
    <d v="2025-11-11T00:00:00"/>
    <s v="Web"/>
    <n v="3"/>
    <n v="0"/>
    <n v="3"/>
    <s v="Yes"/>
    <d v="2025-11-01T00:00:00"/>
    <n v="2025"/>
    <n v="4"/>
    <s v="Yes"/>
  </r>
  <r>
    <s v="SR-2025-01286"/>
    <x v="5"/>
    <s v="Tree Maintenance"/>
    <s v="Medium"/>
    <x v="0"/>
    <s v="Ward 1"/>
    <x v="336"/>
    <d v="2025-03-25T00:00:00"/>
    <s v="Phone"/>
    <n v="5"/>
    <n v="5"/>
    <n v="10"/>
    <s v="Yes"/>
    <d v="2025-03-01T00:00:00"/>
    <n v="2025"/>
    <n v="1"/>
    <s v="Yes"/>
  </r>
  <r>
    <s v="SR-2025-01287"/>
    <x v="3"/>
    <s v="Sidewalk Damage"/>
    <s v="Low"/>
    <x v="0"/>
    <s v="Ward 4"/>
    <x v="208"/>
    <d v="2025-12-26T00:00:00"/>
    <s v="Phone"/>
    <n v="3"/>
    <n v="5"/>
    <n v="14"/>
    <s v="Yes"/>
    <d v="2025-12-01T00:00:00"/>
    <n v="2025"/>
    <n v="4"/>
    <s v="Yes"/>
  </r>
  <r>
    <s v="SR-2025-01288"/>
    <x v="3"/>
    <s v="Sidewalk Damage"/>
    <s v="High"/>
    <x v="0"/>
    <s v="Ward 4"/>
    <x v="13"/>
    <d v="2025-09-03T00:00:00"/>
    <s v="In Person"/>
    <n v="5"/>
    <n v="6"/>
    <n v="7"/>
    <s v="Yes"/>
    <d v="2025-08-01T00:00:00"/>
    <n v="2025"/>
    <n v="3"/>
    <s v="Yes"/>
  </r>
  <r>
    <s v="SR-2025-01289"/>
    <x v="4"/>
    <s v="Low Water Pressure"/>
    <s v="Medium"/>
    <x v="0"/>
    <s v="Ward 5"/>
    <x v="233"/>
    <d v="2025-06-01T00:00:00"/>
    <s v="Mobile App"/>
    <n v="2"/>
    <n v="8"/>
    <n v="10"/>
    <s v="Yes"/>
    <d v="2025-05-01T00:00:00"/>
    <n v="2025"/>
    <n v="2"/>
    <s v="Yes"/>
  </r>
  <r>
    <s v="SR-2025-01290"/>
    <x v="5"/>
    <s v="Park Equipment Damage"/>
    <s v="Critical"/>
    <x v="0"/>
    <s v="Ward 3"/>
    <x v="354"/>
    <d v="2025-08-20T00:00:00"/>
    <s v="Mobile App"/>
    <n v="4"/>
    <n v="3"/>
    <n v="3"/>
    <s v="Yes"/>
    <d v="2025-08-01T00:00:00"/>
    <n v="2025"/>
    <n v="3"/>
    <s v="Yes"/>
  </r>
  <r>
    <s v="SR-2025-01291"/>
    <x v="1"/>
    <s v="Noise Complaint"/>
    <s v="Medium"/>
    <x v="0"/>
    <s v="Ward 1"/>
    <x v="9"/>
    <d v="2025-10-25T00:00:00"/>
    <s v="Email"/>
    <n v="4"/>
    <n v="7"/>
    <n v="10"/>
    <s v="Yes"/>
    <d v="2025-10-01T00:00:00"/>
    <n v="2025"/>
    <n v="4"/>
    <s v="Yes"/>
  </r>
  <r>
    <s v="SR-2025-01292"/>
    <x v="5"/>
    <s v="Tree Maintenance"/>
    <s v="Critical"/>
    <x v="0"/>
    <s v="Ward 5"/>
    <x v="252"/>
    <d v="2025-07-31T00:00:00"/>
    <s v="Mobile App"/>
    <n v="4"/>
    <n v="2"/>
    <n v="3"/>
    <s v="Yes"/>
    <d v="2025-07-01T00:00:00"/>
    <n v="2025"/>
    <n v="3"/>
    <s v="Yes"/>
  </r>
  <r>
    <s v="SR-2025-01293"/>
    <x v="4"/>
    <s v="Water Leak"/>
    <s v="Low"/>
    <x v="1"/>
    <s v="Ward 2"/>
    <x v="221"/>
    <m/>
    <s v="Mobile App"/>
    <m/>
    <m/>
    <n v="14"/>
    <s v="Pending"/>
    <d v="2025-08-01T00:00:00"/>
    <n v="2025"/>
    <n v="3"/>
    <s v="No"/>
  </r>
  <r>
    <s v="SR-2025-01294"/>
    <x v="5"/>
    <s v="Tree Maintenance"/>
    <s v="Low"/>
    <x v="0"/>
    <s v="Ward 1"/>
    <x v="140"/>
    <d v="2025-03-31T00:00:00"/>
    <s v="Mobile App"/>
    <n v="4"/>
    <n v="15"/>
    <n v="14"/>
    <s v="No"/>
    <d v="2025-03-01T00:00:00"/>
    <n v="2025"/>
    <n v="1"/>
    <s v="Yes"/>
  </r>
  <r>
    <s v="SR-2025-01295"/>
    <x v="0"/>
    <s v="Streetlight Repair"/>
    <s v="High"/>
    <x v="0"/>
    <s v="Ward 2"/>
    <x v="9"/>
    <d v="2025-10-25T00:00:00"/>
    <s v="In Person"/>
    <n v="4"/>
    <n v="7"/>
    <n v="7"/>
    <s v="Yes"/>
    <d v="2025-10-01T00:00:00"/>
    <n v="2025"/>
    <n v="4"/>
    <s v="Yes"/>
  </r>
  <r>
    <s v="SR-2025-01296"/>
    <x v="3"/>
    <s v="Snow Removal"/>
    <s v="Medium"/>
    <x v="0"/>
    <s v="Ward 5"/>
    <x v="186"/>
    <d v="2025-04-25T00:00:00"/>
    <s v="Web"/>
    <n v="4"/>
    <n v="3"/>
    <n v="10"/>
    <s v="Yes"/>
    <d v="2025-04-01T00:00:00"/>
    <n v="2025"/>
    <n v="2"/>
    <s v="Yes"/>
  </r>
  <r>
    <s v="SR-2025-01297"/>
    <x v="1"/>
    <s v="Animal Complaint"/>
    <s v="Medium"/>
    <x v="0"/>
    <s v="Ward 4"/>
    <x v="165"/>
    <d v="2025-06-18T00:00:00"/>
    <s v="Email"/>
    <n v="3"/>
    <n v="5"/>
    <n v="10"/>
    <s v="Yes"/>
    <d v="2025-06-01T00:00:00"/>
    <n v="2025"/>
    <n v="2"/>
    <s v="Yes"/>
  </r>
  <r>
    <s v="SR-2025-01298"/>
    <x v="3"/>
    <s v="Sidewalk Damage"/>
    <s v="Medium"/>
    <x v="0"/>
    <s v="Ward 2"/>
    <x v="173"/>
    <d v="2025-04-05T00:00:00"/>
    <s v="In Person"/>
    <n v="4"/>
    <n v="7"/>
    <n v="10"/>
    <s v="Yes"/>
    <d v="2025-03-01T00:00:00"/>
    <n v="2025"/>
    <n v="1"/>
    <s v="Yes"/>
  </r>
  <r>
    <s v="SR-2025-01299"/>
    <x v="3"/>
    <s v="Sidewalk Damage"/>
    <s v="Low"/>
    <x v="1"/>
    <s v="Ward 1"/>
    <x v="83"/>
    <m/>
    <s v="Email"/>
    <m/>
    <m/>
    <n v="14"/>
    <s v="Pending"/>
    <d v="2025-10-01T00:00:00"/>
    <n v="2025"/>
    <n v="4"/>
    <s v="No"/>
  </r>
  <r>
    <s v="SR-2025-01300"/>
    <x v="2"/>
    <s v="Recycling Issue"/>
    <s v="High"/>
    <x v="0"/>
    <s v="Ward 1"/>
    <x v="194"/>
    <d v="2025-10-06T00:00:00"/>
    <s v="Web"/>
    <n v="1"/>
    <n v="5"/>
    <n v="7"/>
    <s v="Yes"/>
    <d v="2025-10-01T00:00:00"/>
    <n v="2025"/>
    <n v="4"/>
    <s v="Yes"/>
  </r>
  <r>
    <s v="SR-2025-01301"/>
    <x v="4"/>
    <s v="Water Leak"/>
    <s v="High"/>
    <x v="0"/>
    <s v="Ward 3"/>
    <x v="142"/>
    <d v="2025-06-07T00:00:00"/>
    <s v="Email"/>
    <n v="4"/>
    <n v="3"/>
    <n v="7"/>
    <s v="Yes"/>
    <d v="2025-06-01T00:00:00"/>
    <n v="2025"/>
    <n v="2"/>
    <s v="Yes"/>
  </r>
  <r>
    <s v="SR-2025-01302"/>
    <x v="3"/>
    <s v="Sidewalk Damage"/>
    <s v="Medium"/>
    <x v="0"/>
    <s v="Ward 1"/>
    <x v="175"/>
    <d v="2025-06-11T00:00:00"/>
    <s v="Mobile App"/>
    <n v="4"/>
    <n v="9"/>
    <n v="10"/>
    <s v="Yes"/>
    <d v="2025-06-01T00:00:00"/>
    <n v="2025"/>
    <n v="2"/>
    <s v="Yes"/>
  </r>
  <r>
    <s v="SR-2025-01303"/>
    <x v="1"/>
    <s v="Noise Complaint"/>
    <s v="Low"/>
    <x v="0"/>
    <s v="Ward 3"/>
    <x v="353"/>
    <d v="2025-01-11T00:00:00"/>
    <s v="Email"/>
    <n v="2"/>
    <n v="5"/>
    <n v="14"/>
    <s v="Yes"/>
    <d v="2025-01-01T00:00:00"/>
    <n v="2025"/>
    <n v="1"/>
    <s v="Yes"/>
  </r>
  <r>
    <s v="SR-2025-01304"/>
    <x v="5"/>
    <s v="Park Equipment Damage"/>
    <s v="Low"/>
    <x v="0"/>
    <s v="Ward 1"/>
    <x v="333"/>
    <d v="2025-07-19T00:00:00"/>
    <s v="Mobile App"/>
    <n v="5"/>
    <n v="11"/>
    <n v="14"/>
    <s v="Yes"/>
    <d v="2025-07-01T00:00:00"/>
    <n v="2025"/>
    <n v="3"/>
    <s v="Yes"/>
  </r>
  <r>
    <s v="SR-2025-01305"/>
    <x v="3"/>
    <s v="Pothole Repair"/>
    <s v="Low"/>
    <x v="0"/>
    <s v="Ward 4"/>
    <x v="284"/>
    <d v="2025-05-24T00:00:00"/>
    <s v="Mobile App"/>
    <n v="5"/>
    <n v="8"/>
    <n v="14"/>
    <s v="Yes"/>
    <d v="2025-05-01T00:00:00"/>
    <n v="2025"/>
    <n v="2"/>
    <s v="Yes"/>
  </r>
  <r>
    <s v="SR-2025-01306"/>
    <x v="0"/>
    <s v="Traffic Signal Issue"/>
    <s v="High"/>
    <x v="0"/>
    <s v="Ward 2"/>
    <x v="340"/>
    <d v="2025-03-05T00:00:00"/>
    <s v="In Person"/>
    <n v="4"/>
    <n v="2"/>
    <n v="7"/>
    <s v="Yes"/>
    <d v="2025-03-01T00:00:00"/>
    <n v="2025"/>
    <n v="1"/>
    <s v="Yes"/>
  </r>
  <r>
    <s v="SR-2025-01307"/>
    <x v="4"/>
    <s v="Water Quality Concern"/>
    <s v="Medium"/>
    <x v="0"/>
    <s v="Ward 3"/>
    <x v="272"/>
    <d v="2025-05-13T00:00:00"/>
    <s v="Mobile App"/>
    <n v="5"/>
    <n v="9"/>
    <n v="10"/>
    <s v="Yes"/>
    <d v="2025-05-01T00:00:00"/>
    <n v="2025"/>
    <n v="2"/>
    <s v="Yes"/>
  </r>
  <r>
    <s v="SR-2025-01308"/>
    <x v="0"/>
    <s v="Traffic Concern"/>
    <s v="Low"/>
    <x v="0"/>
    <s v="Ward 5"/>
    <x v="137"/>
    <d v="2025-06-15T00:00:00"/>
    <s v="Phone"/>
    <n v="2"/>
    <n v="14"/>
    <n v="14"/>
    <s v="Yes"/>
    <d v="2025-06-01T00:00:00"/>
    <n v="2025"/>
    <n v="2"/>
    <s v="Yes"/>
  </r>
  <r>
    <s v="SR-2025-01309"/>
    <x v="0"/>
    <s v="Traffic Signal Issue"/>
    <s v="Medium"/>
    <x v="0"/>
    <s v="Ward 2"/>
    <x v="192"/>
    <d v="2025-09-13T00:00:00"/>
    <s v="Email"/>
    <n v="3"/>
    <n v="2"/>
    <n v="10"/>
    <s v="Yes"/>
    <d v="2025-09-01T00:00:00"/>
    <n v="2025"/>
    <n v="3"/>
    <s v="Yes"/>
  </r>
  <r>
    <s v="SR-2025-01310"/>
    <x v="4"/>
    <s v="Low Water Pressure"/>
    <s v="Medium"/>
    <x v="0"/>
    <s v="Ward 3"/>
    <x v="245"/>
    <d v="2025-11-09T00:00:00"/>
    <s v="Mobile App"/>
    <n v="4"/>
    <n v="10"/>
    <n v="10"/>
    <s v="Yes"/>
    <d v="2025-10-01T00:00:00"/>
    <n v="2025"/>
    <n v="4"/>
    <s v="Yes"/>
  </r>
  <r>
    <s v="SR-2025-01311"/>
    <x v="0"/>
    <s v="Traffic Concern"/>
    <s v="Medium"/>
    <x v="1"/>
    <s v="Ward 2"/>
    <x v="295"/>
    <m/>
    <s v="Phone"/>
    <m/>
    <m/>
    <n v="10"/>
    <s v="Pending"/>
    <d v="2025-02-01T00:00:00"/>
    <n v="2025"/>
    <n v="1"/>
    <s v="No"/>
  </r>
  <r>
    <s v="SR-2025-01312"/>
    <x v="2"/>
    <s v="Green Bin Issue"/>
    <s v="Critical"/>
    <x v="2"/>
    <s v="Ward 2"/>
    <x v="277"/>
    <m/>
    <s v="Email"/>
    <m/>
    <m/>
    <n v="3"/>
    <s v="Pending"/>
    <d v="2025-09-01T00:00:00"/>
    <n v="2025"/>
    <n v="3"/>
    <s v="No"/>
  </r>
  <r>
    <s v="SR-2025-01313"/>
    <x v="5"/>
    <s v="Tree Maintenance"/>
    <s v="Medium"/>
    <x v="0"/>
    <s v="Ward 1"/>
    <x v="188"/>
    <d v="2025-06-10T00:00:00"/>
    <s v="Web"/>
    <n v="3"/>
    <n v="3"/>
    <n v="10"/>
    <s v="Yes"/>
    <d v="2025-06-01T00:00:00"/>
    <n v="2025"/>
    <n v="2"/>
    <s v="Yes"/>
  </r>
  <r>
    <s v="SR-2025-01314"/>
    <x v="5"/>
    <s v="Tree Maintenance"/>
    <s v="High"/>
    <x v="0"/>
    <s v="Ward 4"/>
    <x v="59"/>
    <d v="2025-01-19T00:00:00"/>
    <s v="Mobile App"/>
    <n v="5"/>
    <n v="4"/>
    <n v="7"/>
    <s v="Yes"/>
    <d v="2025-01-01T00:00:00"/>
    <n v="2025"/>
    <n v="1"/>
    <s v="Yes"/>
  </r>
  <r>
    <s v="SR-2025-01315"/>
    <x v="2"/>
    <s v="Missed Garbage Pickup"/>
    <s v="High"/>
    <x v="0"/>
    <s v="Ward 5"/>
    <x v="124"/>
    <d v="2025-08-11T00:00:00"/>
    <s v="Email"/>
    <n v="3"/>
    <n v="2"/>
    <n v="7"/>
    <s v="Yes"/>
    <d v="2025-08-01T00:00:00"/>
    <n v="2025"/>
    <n v="3"/>
    <s v="Yes"/>
  </r>
  <r>
    <s v="SR-2025-01316"/>
    <x v="1"/>
    <s v="Parking Complaint"/>
    <s v="Low"/>
    <x v="0"/>
    <s v="Ward 4"/>
    <x v="308"/>
    <d v="2025-02-23T00:00:00"/>
    <s v="Phone"/>
    <n v="4"/>
    <n v="3"/>
    <n v="14"/>
    <s v="Yes"/>
    <d v="2025-02-01T00:00:00"/>
    <n v="2025"/>
    <n v="1"/>
    <s v="Yes"/>
  </r>
  <r>
    <s v="SR-2025-01317"/>
    <x v="2"/>
    <s v="Recycling Issue"/>
    <s v="Medium"/>
    <x v="0"/>
    <s v="Ward 1"/>
    <x v="312"/>
    <d v="2025-10-08T00:00:00"/>
    <s v="Web"/>
    <n v="4"/>
    <n v="9"/>
    <n v="10"/>
    <s v="Yes"/>
    <d v="2025-09-01T00:00:00"/>
    <n v="2025"/>
    <n v="3"/>
    <s v="Yes"/>
  </r>
  <r>
    <s v="SR-2025-01318"/>
    <x v="0"/>
    <s v="Traffic Signal Issue"/>
    <s v="Critical"/>
    <x v="0"/>
    <s v="Ward 2"/>
    <x v="216"/>
    <d v="2025-01-28T00:00:00"/>
    <s v="Web"/>
    <n v="4"/>
    <n v="0"/>
    <n v="3"/>
    <s v="Yes"/>
    <d v="2025-01-01T00:00:00"/>
    <n v="2025"/>
    <n v="1"/>
    <s v="Yes"/>
  </r>
  <r>
    <s v="SR-2025-01319"/>
    <x v="1"/>
    <s v="Noise Complaint"/>
    <s v="Medium"/>
    <x v="2"/>
    <s v="Ward 4"/>
    <x v="341"/>
    <m/>
    <s v="Email"/>
    <m/>
    <m/>
    <n v="10"/>
    <s v="Pending"/>
    <d v="2025-12-01T00:00:00"/>
    <n v="2025"/>
    <n v="4"/>
    <s v="No"/>
  </r>
  <r>
    <s v="SR-2025-01320"/>
    <x v="4"/>
    <s v="Water Leak"/>
    <s v="Low"/>
    <x v="1"/>
    <s v="Ward 3"/>
    <x v="208"/>
    <m/>
    <s v="Email"/>
    <m/>
    <m/>
    <n v="14"/>
    <s v="Pending"/>
    <d v="2025-12-01T00:00:00"/>
    <n v="2025"/>
    <n v="4"/>
    <s v="No"/>
  </r>
  <r>
    <s v="SR-2025-01321"/>
    <x v="5"/>
    <s v="Park Equipment Damage"/>
    <s v="High"/>
    <x v="0"/>
    <s v="Ward 1"/>
    <x v="355"/>
    <d v="2025-06-03T00:00:00"/>
    <s v="Web"/>
    <n v="4"/>
    <n v="6"/>
    <n v="7"/>
    <s v="Yes"/>
    <d v="2025-05-01T00:00:00"/>
    <n v="2025"/>
    <n v="2"/>
    <s v="Yes"/>
  </r>
  <r>
    <s v="SR-2025-01322"/>
    <x v="5"/>
    <s v="Trail Maintenance"/>
    <s v="High"/>
    <x v="1"/>
    <s v="Ward 2"/>
    <x v="80"/>
    <m/>
    <s v="Phone"/>
    <m/>
    <m/>
    <n v="7"/>
    <s v="Pending"/>
    <d v="2025-12-01T00:00:00"/>
    <n v="2025"/>
    <n v="4"/>
    <s v="No"/>
  </r>
  <r>
    <s v="SR-2025-01323"/>
    <x v="2"/>
    <s v="Missed Garbage Pickup"/>
    <s v="Low"/>
    <x v="0"/>
    <s v="Ward 4"/>
    <x v="267"/>
    <d v="2025-08-27T00:00:00"/>
    <s v="Email"/>
    <n v="5"/>
    <n v="5"/>
    <n v="14"/>
    <s v="Yes"/>
    <d v="2025-08-01T00:00:00"/>
    <n v="2025"/>
    <n v="3"/>
    <s v="Yes"/>
  </r>
  <r>
    <s v="SR-2025-01324"/>
    <x v="2"/>
    <s v="Missed Garbage Pickup"/>
    <s v="Low"/>
    <x v="0"/>
    <s v="Ward 1"/>
    <x v="153"/>
    <d v="2025-02-14T00:00:00"/>
    <s v="In Person"/>
    <n v="5"/>
    <n v="5"/>
    <n v="14"/>
    <s v="Yes"/>
    <d v="2025-02-01T00:00:00"/>
    <n v="2025"/>
    <n v="1"/>
    <s v="Yes"/>
  </r>
  <r>
    <s v="SR-2025-01325"/>
    <x v="2"/>
    <s v="Green Bin Issue"/>
    <s v="Medium"/>
    <x v="0"/>
    <s v="Ward 1"/>
    <x v="219"/>
    <d v="2025-05-16T00:00:00"/>
    <s v="In Person"/>
    <n v="2"/>
    <n v="9"/>
    <n v="10"/>
    <s v="Yes"/>
    <d v="2025-05-01T00:00:00"/>
    <n v="2025"/>
    <n v="2"/>
    <s v="Yes"/>
  </r>
  <r>
    <s v="SR-2025-01326"/>
    <x v="0"/>
    <s v="Road Sign Damage"/>
    <s v="High"/>
    <x v="0"/>
    <s v="Ward 1"/>
    <x v="248"/>
    <d v="2025-04-03T00:00:00"/>
    <s v="Web"/>
    <n v="3"/>
    <n v="7"/>
    <n v="7"/>
    <s v="Yes"/>
    <d v="2025-03-01T00:00:00"/>
    <n v="2025"/>
    <n v="1"/>
    <s v="Yes"/>
  </r>
  <r>
    <s v="SR-2025-01327"/>
    <x v="2"/>
    <s v="Illegal Dumping"/>
    <s v="Medium"/>
    <x v="0"/>
    <s v="Ward 3"/>
    <x v="325"/>
    <d v="2025-10-13T00:00:00"/>
    <s v="Mobile App"/>
    <n v="5"/>
    <n v="6"/>
    <n v="10"/>
    <s v="Yes"/>
    <d v="2025-10-01T00:00:00"/>
    <n v="2025"/>
    <n v="4"/>
    <s v="Yes"/>
  </r>
  <r>
    <s v="SR-2025-01328"/>
    <x v="4"/>
    <s v="Water Leak"/>
    <s v="High"/>
    <x v="0"/>
    <s v="Ward 5"/>
    <x v="170"/>
    <d v="2025-06-25T00:00:00"/>
    <s v="Email"/>
    <n v="5"/>
    <n v="5"/>
    <n v="7"/>
    <s v="Yes"/>
    <d v="2025-06-01T00:00:00"/>
    <n v="2025"/>
    <n v="2"/>
    <s v="Yes"/>
  </r>
  <r>
    <s v="SR-2025-01329"/>
    <x v="3"/>
    <s v="Sidewalk Damage"/>
    <s v="Medium"/>
    <x v="0"/>
    <s v="Ward 2"/>
    <x v="250"/>
    <d v="2025-01-15T00:00:00"/>
    <s v="Phone"/>
    <n v="5"/>
    <n v="4"/>
    <n v="10"/>
    <s v="Yes"/>
    <d v="2025-01-01T00:00:00"/>
    <n v="2025"/>
    <n v="1"/>
    <s v="Yes"/>
  </r>
  <r>
    <s v="SR-2025-01330"/>
    <x v="2"/>
    <s v="Green Bin Issue"/>
    <s v="Low"/>
    <x v="0"/>
    <s v="Ward 1"/>
    <x v="197"/>
    <d v="2026-01-01T00:00:00"/>
    <s v="Phone"/>
    <n v="4"/>
    <n v="9"/>
    <n v="14"/>
    <s v="Yes"/>
    <d v="2025-12-01T00:00:00"/>
    <n v="2025"/>
    <n v="4"/>
    <s v="Yes"/>
  </r>
  <r>
    <s v="SR-2025-01331"/>
    <x v="4"/>
    <s v="Water Leak"/>
    <s v="Critical"/>
    <x v="2"/>
    <s v="Ward 5"/>
    <x v="122"/>
    <m/>
    <s v="Email"/>
    <m/>
    <m/>
    <n v="3"/>
    <s v="Pending"/>
    <d v="2025-12-01T00:00:00"/>
    <n v="2025"/>
    <n v="4"/>
    <s v="No"/>
  </r>
  <r>
    <s v="SR-2025-01332"/>
    <x v="1"/>
    <s v="Property Standards"/>
    <s v="Medium"/>
    <x v="0"/>
    <s v="Ward 3"/>
    <x v="22"/>
    <d v="2025-06-27T00:00:00"/>
    <s v="Mobile App"/>
    <n v="4"/>
    <n v="8"/>
    <n v="10"/>
    <s v="Yes"/>
    <d v="2025-06-01T00:00:00"/>
    <n v="2025"/>
    <n v="2"/>
    <s v="Yes"/>
  </r>
  <r>
    <s v="SR-2025-01333"/>
    <x v="5"/>
    <s v="Tree Maintenance"/>
    <s v="Medium"/>
    <x v="0"/>
    <s v="Ward 4"/>
    <x v="34"/>
    <d v="2025-11-13T00:00:00"/>
    <s v="In Person"/>
    <n v="4"/>
    <n v="3"/>
    <n v="10"/>
    <s v="Yes"/>
    <d v="2025-11-01T00:00:00"/>
    <n v="2025"/>
    <n v="4"/>
    <s v="Yes"/>
  </r>
  <r>
    <s v="SR-2025-01334"/>
    <x v="2"/>
    <s v="Illegal Dumping"/>
    <s v="Low"/>
    <x v="0"/>
    <s v="Ward 2"/>
    <x v="255"/>
    <d v="2025-12-22T00:00:00"/>
    <s v="In Person"/>
    <n v="4"/>
    <n v="5"/>
    <n v="14"/>
    <s v="Yes"/>
    <d v="2025-12-01T00:00:00"/>
    <n v="2025"/>
    <n v="4"/>
    <s v="Yes"/>
  </r>
  <r>
    <s v="SR-2025-01335"/>
    <x v="2"/>
    <s v="Recycling Issue"/>
    <s v="Medium"/>
    <x v="0"/>
    <s v="Ward 2"/>
    <x v="114"/>
    <d v="2025-06-02T00:00:00"/>
    <s v="Mobile App"/>
    <n v="4"/>
    <n v="2"/>
    <n v="10"/>
    <s v="Yes"/>
    <d v="2025-05-01T00:00:00"/>
    <n v="2025"/>
    <n v="2"/>
    <s v="Yes"/>
  </r>
  <r>
    <s v="SR-2025-01336"/>
    <x v="1"/>
    <s v="Noise Complaint"/>
    <s v="Low"/>
    <x v="0"/>
    <s v="Ward 1"/>
    <x v="124"/>
    <d v="2025-08-17T00:00:00"/>
    <s v="Web"/>
    <n v="5"/>
    <n v="8"/>
    <n v="14"/>
    <s v="Yes"/>
    <d v="2025-08-01T00:00:00"/>
    <n v="2025"/>
    <n v="3"/>
    <s v="Yes"/>
  </r>
  <r>
    <s v="SR-2025-01337"/>
    <x v="2"/>
    <s v="Recycling Issue"/>
    <s v="Medium"/>
    <x v="0"/>
    <s v="Ward 1"/>
    <x v="92"/>
    <d v="2025-09-25T00:00:00"/>
    <s v="Mobile App"/>
    <n v="3"/>
    <n v="10"/>
    <n v="10"/>
    <s v="Yes"/>
    <d v="2025-09-01T00:00:00"/>
    <n v="2025"/>
    <n v="3"/>
    <s v="Yes"/>
  </r>
  <r>
    <s v="SR-2025-01338"/>
    <x v="5"/>
    <s v="Park Equipment Damage"/>
    <s v="Medium"/>
    <x v="2"/>
    <s v="Ward 2"/>
    <x v="270"/>
    <m/>
    <s v="Web"/>
    <m/>
    <m/>
    <n v="10"/>
    <s v="Pending"/>
    <d v="2025-05-01T00:00:00"/>
    <n v="2025"/>
    <n v="2"/>
    <s v="No"/>
  </r>
  <r>
    <s v="SR-2025-01339"/>
    <x v="4"/>
    <s v="Sewer Backup"/>
    <s v="Low"/>
    <x v="0"/>
    <s v="Ward 1"/>
    <x v="318"/>
    <d v="2025-07-26T00:00:00"/>
    <s v="Mobile App"/>
    <n v="4"/>
    <n v="9"/>
    <n v="14"/>
    <s v="Yes"/>
    <d v="2025-07-01T00:00:00"/>
    <n v="2025"/>
    <n v="3"/>
    <s v="Yes"/>
  </r>
  <r>
    <s v="SR-2025-01340"/>
    <x v="2"/>
    <s v="Illegal Dumping"/>
    <s v="Low"/>
    <x v="0"/>
    <s v="Ward 2"/>
    <x v="112"/>
    <d v="2025-06-30T00:00:00"/>
    <s v="Mobile App"/>
    <n v="4"/>
    <n v="15"/>
    <n v="14"/>
    <s v="No"/>
    <d v="2025-06-01T00:00:00"/>
    <n v="2025"/>
    <n v="2"/>
    <s v="Yes"/>
  </r>
  <r>
    <s v="SR-2025-01341"/>
    <x v="5"/>
    <s v="Trail Maintenance"/>
    <s v="Medium"/>
    <x v="0"/>
    <s v="Ward 4"/>
    <x v="18"/>
    <d v="2025-02-19T00:00:00"/>
    <s v="In Person"/>
    <n v="4"/>
    <n v="6"/>
    <n v="10"/>
    <s v="Yes"/>
    <d v="2025-02-01T00:00:00"/>
    <n v="2025"/>
    <n v="1"/>
    <s v="Yes"/>
  </r>
  <r>
    <s v="SR-2025-01342"/>
    <x v="5"/>
    <s v="Trail Maintenance"/>
    <s v="High"/>
    <x v="1"/>
    <s v="Ward 2"/>
    <x v="106"/>
    <m/>
    <s v="In Person"/>
    <m/>
    <m/>
    <n v="7"/>
    <s v="Pending"/>
    <d v="2025-02-01T00:00:00"/>
    <n v="2025"/>
    <n v="1"/>
    <s v="No"/>
  </r>
  <r>
    <s v="SR-2025-01343"/>
    <x v="4"/>
    <s v="Sewer Backup"/>
    <s v="Medium"/>
    <x v="0"/>
    <s v="Ward 4"/>
    <x v="242"/>
    <d v="2025-07-12T00:00:00"/>
    <s v="Email"/>
    <n v="4"/>
    <n v="9"/>
    <n v="10"/>
    <s v="Yes"/>
    <d v="2025-07-01T00:00:00"/>
    <n v="2025"/>
    <n v="3"/>
    <s v="Yes"/>
  </r>
  <r>
    <s v="SR-2025-01344"/>
    <x v="4"/>
    <s v="Water Quality Concern"/>
    <s v="Low"/>
    <x v="0"/>
    <s v="Ward 5"/>
    <x v="204"/>
    <d v="2025-08-08T00:00:00"/>
    <s v="Mobile App"/>
    <n v="5"/>
    <n v="4"/>
    <n v="14"/>
    <s v="Yes"/>
    <d v="2025-08-01T00:00:00"/>
    <n v="2025"/>
    <n v="3"/>
    <s v="Yes"/>
  </r>
  <r>
    <s v="SR-2025-01345"/>
    <x v="5"/>
    <s v="Grass Cutting"/>
    <s v="Low"/>
    <x v="0"/>
    <s v="Ward 4"/>
    <x v="119"/>
    <d v="2025-10-24T00:00:00"/>
    <s v="Phone"/>
    <n v="2"/>
    <n v="7"/>
    <n v="14"/>
    <s v="Yes"/>
    <d v="2025-10-01T00:00:00"/>
    <n v="2025"/>
    <n v="4"/>
    <s v="Yes"/>
  </r>
  <r>
    <s v="SR-2025-01346"/>
    <x v="4"/>
    <s v="Water Leak"/>
    <s v="Medium"/>
    <x v="1"/>
    <s v="Ward 4"/>
    <x v="54"/>
    <m/>
    <s v="Web"/>
    <m/>
    <m/>
    <n v="10"/>
    <s v="Pending"/>
    <d v="2025-09-01T00:00:00"/>
    <n v="2025"/>
    <n v="3"/>
    <s v="No"/>
  </r>
  <r>
    <s v="SR-2025-01347"/>
    <x v="3"/>
    <s v="Pothole Repair"/>
    <s v="Medium"/>
    <x v="2"/>
    <s v="Ward 3"/>
    <x v="295"/>
    <m/>
    <s v="In Person"/>
    <m/>
    <m/>
    <n v="10"/>
    <s v="Pending"/>
    <d v="2025-02-01T00:00:00"/>
    <n v="2025"/>
    <n v="1"/>
    <s v="No"/>
  </r>
  <r>
    <s v="SR-2025-01348"/>
    <x v="3"/>
    <s v="Sidewalk Damage"/>
    <s v="Medium"/>
    <x v="0"/>
    <s v="Ward 5"/>
    <x v="306"/>
    <d v="2025-02-04T00:00:00"/>
    <s v="Web"/>
    <n v="5"/>
    <n v="3"/>
    <n v="10"/>
    <s v="Yes"/>
    <d v="2025-02-01T00:00:00"/>
    <n v="2025"/>
    <n v="1"/>
    <s v="Yes"/>
  </r>
  <r>
    <s v="SR-2025-01349"/>
    <x v="0"/>
    <s v="Traffic Signal Issue"/>
    <s v="Medium"/>
    <x v="0"/>
    <s v="Ward 2"/>
    <x v="192"/>
    <d v="2025-09-15T00:00:00"/>
    <s v="Mobile App"/>
    <n v="3"/>
    <n v="4"/>
    <n v="10"/>
    <s v="Yes"/>
    <d v="2025-09-01T00:00:00"/>
    <n v="2025"/>
    <n v="3"/>
    <s v="Yes"/>
  </r>
  <r>
    <s v="SR-2025-01350"/>
    <x v="0"/>
    <s v="Road Sign Damage"/>
    <s v="High"/>
    <x v="2"/>
    <s v="Ward 5"/>
    <x v="121"/>
    <m/>
    <s v="Phone"/>
    <m/>
    <m/>
    <n v="7"/>
    <s v="Pending"/>
    <d v="2025-09-01T00:00:00"/>
    <n v="2025"/>
    <n v="3"/>
    <s v="No"/>
  </r>
  <r>
    <s v="SR-2025-01351"/>
    <x v="3"/>
    <s v="Pothole Repair"/>
    <s v="Low"/>
    <x v="0"/>
    <s v="Ward 2"/>
    <x v="340"/>
    <d v="2025-03-14T00:00:00"/>
    <s v="Web"/>
    <n v="2"/>
    <n v="11"/>
    <n v="14"/>
    <s v="Yes"/>
    <d v="2025-03-01T00:00:00"/>
    <n v="2025"/>
    <n v="1"/>
    <s v="Yes"/>
  </r>
  <r>
    <s v="SR-2025-01352"/>
    <x v="4"/>
    <s v="Water Leak"/>
    <s v="High"/>
    <x v="0"/>
    <s v="Ward 4"/>
    <x v="187"/>
    <d v="2025-01-30T00:00:00"/>
    <s v="Phone"/>
    <n v="4"/>
    <n v="1"/>
    <n v="7"/>
    <s v="Yes"/>
    <d v="2025-01-01T00:00:00"/>
    <n v="2025"/>
    <n v="1"/>
    <s v="Yes"/>
  </r>
  <r>
    <s v="SR-2025-01353"/>
    <x v="5"/>
    <s v="Grass Cutting"/>
    <s v="High"/>
    <x v="0"/>
    <s v="Ward 2"/>
    <x v="243"/>
    <d v="2025-12-08T00:00:00"/>
    <s v="Web"/>
    <n v="3"/>
    <n v="5"/>
    <n v="7"/>
    <s v="Yes"/>
    <d v="2025-12-01T00:00:00"/>
    <n v="2025"/>
    <n v="4"/>
    <s v="Yes"/>
  </r>
  <r>
    <s v="SR-2025-01354"/>
    <x v="5"/>
    <s v="Park Equipment Damage"/>
    <s v="High"/>
    <x v="0"/>
    <s v="Ward 5"/>
    <x v="173"/>
    <d v="2025-04-03T00:00:00"/>
    <s v="Phone"/>
    <n v="5"/>
    <n v="5"/>
    <n v="7"/>
    <s v="Yes"/>
    <d v="2025-03-01T00:00:00"/>
    <n v="2025"/>
    <n v="1"/>
    <s v="Yes"/>
  </r>
  <r>
    <s v="SR-2025-01355"/>
    <x v="4"/>
    <s v="Water Quality Concern"/>
    <s v="Medium"/>
    <x v="0"/>
    <s v="Ward 3"/>
    <x v="21"/>
    <d v="2025-11-07T00:00:00"/>
    <s v="Email"/>
    <n v="4"/>
    <n v="9"/>
    <n v="10"/>
    <s v="Yes"/>
    <d v="2025-10-01T00:00:00"/>
    <n v="2025"/>
    <n v="4"/>
    <s v="Yes"/>
  </r>
  <r>
    <s v="SR-2025-01356"/>
    <x v="4"/>
    <s v="Water Leak"/>
    <s v="Medium"/>
    <x v="1"/>
    <s v="Ward 1"/>
    <x v="110"/>
    <m/>
    <s v="Mobile App"/>
    <m/>
    <m/>
    <n v="10"/>
    <s v="Pending"/>
    <d v="2025-03-01T00:00:00"/>
    <n v="2025"/>
    <n v="1"/>
    <s v="No"/>
  </r>
  <r>
    <s v="SR-2025-01357"/>
    <x v="4"/>
    <s v="Water Leak"/>
    <s v="Medium"/>
    <x v="0"/>
    <s v="Ward 5"/>
    <x v="81"/>
    <d v="2025-06-07T00:00:00"/>
    <s v="Email"/>
    <n v="4"/>
    <n v="2"/>
    <n v="10"/>
    <s v="Yes"/>
    <d v="2025-06-01T00:00:00"/>
    <n v="2025"/>
    <n v="2"/>
    <s v="Yes"/>
  </r>
  <r>
    <s v="SR-2025-01358"/>
    <x v="3"/>
    <s v="Sidewalk Damage"/>
    <s v="Critical"/>
    <x v="0"/>
    <s v="Ward 2"/>
    <x v="10"/>
    <d v="2025-08-25T00:00:00"/>
    <s v="Mobile App"/>
    <n v="1"/>
    <n v="2"/>
    <n v="3"/>
    <s v="Yes"/>
    <d v="2025-08-01T00:00:00"/>
    <n v="2025"/>
    <n v="3"/>
    <s v="Yes"/>
  </r>
  <r>
    <s v="SR-2025-01359"/>
    <x v="1"/>
    <s v="Property Standards"/>
    <s v="Medium"/>
    <x v="0"/>
    <s v="Ward 2"/>
    <x v="58"/>
    <d v="2025-07-29T00:00:00"/>
    <s v="Mobile App"/>
    <n v="2"/>
    <n v="10"/>
    <n v="10"/>
    <s v="Yes"/>
    <d v="2025-07-01T00:00:00"/>
    <n v="2025"/>
    <n v="3"/>
    <s v="Yes"/>
  </r>
  <r>
    <s v="SR-2025-01360"/>
    <x v="0"/>
    <s v="Road Sign Damage"/>
    <s v="Medium"/>
    <x v="1"/>
    <s v="Ward 3"/>
    <x v="157"/>
    <m/>
    <s v="Mobile App"/>
    <m/>
    <m/>
    <n v="10"/>
    <s v="Pending"/>
    <d v="2025-03-01T00:00:00"/>
    <n v="2025"/>
    <n v="1"/>
    <s v="No"/>
  </r>
  <r>
    <s v="SR-2025-01361"/>
    <x v="4"/>
    <s v="Water Leak"/>
    <s v="High"/>
    <x v="0"/>
    <s v="Ward 2"/>
    <x v="120"/>
    <d v="2025-07-16T00:00:00"/>
    <s v="In Person"/>
    <n v="4"/>
    <n v="4"/>
    <n v="7"/>
    <s v="Yes"/>
    <d v="2025-07-01T00:00:00"/>
    <n v="2025"/>
    <n v="3"/>
    <s v="Yes"/>
  </r>
  <r>
    <s v="SR-2025-01362"/>
    <x v="0"/>
    <s v="Road Sign Damage"/>
    <s v="Low"/>
    <x v="0"/>
    <s v="Ward 4"/>
    <x v="73"/>
    <d v="2025-11-02T00:00:00"/>
    <s v="Web"/>
    <n v="4"/>
    <n v="8"/>
    <n v="14"/>
    <s v="Yes"/>
    <d v="2025-10-01T00:00:00"/>
    <n v="2025"/>
    <n v="4"/>
    <s v="Yes"/>
  </r>
  <r>
    <s v="SR-2025-01363"/>
    <x v="3"/>
    <s v="Pothole Repair"/>
    <s v="High"/>
    <x v="0"/>
    <s v="Ward 4"/>
    <x v="106"/>
    <d v="2025-02-25T00:00:00"/>
    <s v="Mobile App"/>
    <n v="2"/>
    <n v="6"/>
    <n v="7"/>
    <s v="Yes"/>
    <d v="2025-02-01T00:00:00"/>
    <n v="2025"/>
    <n v="1"/>
    <s v="Yes"/>
  </r>
  <r>
    <s v="SR-2025-01364"/>
    <x v="5"/>
    <s v="Park Equipment Damage"/>
    <s v="Low"/>
    <x v="2"/>
    <s v="Ward 4"/>
    <x v="99"/>
    <m/>
    <s v="Web"/>
    <m/>
    <m/>
    <n v="14"/>
    <s v="Pending"/>
    <d v="2025-07-01T00:00:00"/>
    <n v="2025"/>
    <n v="3"/>
    <s v="No"/>
  </r>
  <r>
    <s v="SR-2025-01365"/>
    <x v="3"/>
    <s v="Sidewalk Damage"/>
    <s v="Low"/>
    <x v="1"/>
    <s v="Ward 4"/>
    <x v="227"/>
    <m/>
    <s v="Mobile App"/>
    <m/>
    <m/>
    <n v="14"/>
    <s v="Pending"/>
    <d v="2025-02-01T00:00:00"/>
    <n v="2025"/>
    <n v="1"/>
    <s v="No"/>
  </r>
  <r>
    <s v="SR-2025-01366"/>
    <x v="1"/>
    <s v="Noise Complaint"/>
    <s v="High"/>
    <x v="0"/>
    <s v="Ward 5"/>
    <x v="77"/>
    <d v="2025-12-28T00:00:00"/>
    <s v="In Person"/>
    <n v="4"/>
    <n v="4"/>
    <n v="7"/>
    <s v="Yes"/>
    <d v="2025-12-01T00:00:00"/>
    <n v="2025"/>
    <n v="4"/>
    <s v="Yes"/>
  </r>
  <r>
    <s v="SR-2025-01367"/>
    <x v="5"/>
    <s v="Park Equipment Damage"/>
    <s v="Medium"/>
    <x v="0"/>
    <s v="Ward 2"/>
    <x v="307"/>
    <d v="2025-06-01T00:00:00"/>
    <s v="Email"/>
    <n v="3"/>
    <n v="5"/>
    <n v="10"/>
    <s v="Yes"/>
    <d v="2025-05-01T00:00:00"/>
    <n v="2025"/>
    <n v="2"/>
    <s v="Yes"/>
  </r>
  <r>
    <s v="SR-2025-01368"/>
    <x v="1"/>
    <s v="Property Standards"/>
    <s v="Low"/>
    <x v="0"/>
    <s v="Ward 2"/>
    <x v="69"/>
    <d v="2025-12-13T00:00:00"/>
    <s v="Web"/>
    <n v="3"/>
    <n v="4"/>
    <n v="14"/>
    <s v="Yes"/>
    <d v="2025-12-01T00:00:00"/>
    <n v="2025"/>
    <n v="4"/>
    <s v="Yes"/>
  </r>
  <r>
    <s v="SR-2025-01369"/>
    <x v="2"/>
    <s v="Green Bin Issue"/>
    <s v="Medium"/>
    <x v="2"/>
    <s v="Ward 2"/>
    <x v="70"/>
    <m/>
    <s v="In Person"/>
    <m/>
    <m/>
    <n v="10"/>
    <s v="Pending"/>
    <d v="2025-06-01T00:00:00"/>
    <n v="2025"/>
    <n v="2"/>
    <s v="No"/>
  </r>
  <r>
    <s v="SR-2025-01370"/>
    <x v="4"/>
    <s v="Low Water Pressure"/>
    <s v="High"/>
    <x v="0"/>
    <s v="Ward 5"/>
    <x v="287"/>
    <d v="2025-09-05T00:00:00"/>
    <s v="In Person"/>
    <n v="4"/>
    <n v="5"/>
    <n v="7"/>
    <s v="Yes"/>
    <d v="2025-08-01T00:00:00"/>
    <n v="2025"/>
    <n v="3"/>
    <s v="Yes"/>
  </r>
  <r>
    <s v="SR-2025-01371"/>
    <x v="5"/>
    <s v="Tree Maintenance"/>
    <s v="Medium"/>
    <x v="0"/>
    <s v="Ward 5"/>
    <x v="226"/>
    <d v="2025-02-09T00:00:00"/>
    <s v="Mobile App"/>
    <n v="3"/>
    <n v="3"/>
    <n v="10"/>
    <s v="Yes"/>
    <d v="2025-02-01T00:00:00"/>
    <n v="2025"/>
    <n v="1"/>
    <s v="Yes"/>
  </r>
  <r>
    <s v="SR-2025-01372"/>
    <x v="3"/>
    <s v="Pothole Repair"/>
    <s v="Medium"/>
    <x v="0"/>
    <s v="Ward 3"/>
    <x v="62"/>
    <d v="2025-10-11T00:00:00"/>
    <s v="Mobile App"/>
    <n v="1"/>
    <n v="7"/>
    <n v="10"/>
    <s v="Yes"/>
    <d v="2025-10-01T00:00:00"/>
    <n v="2025"/>
    <n v="4"/>
    <s v="Yes"/>
  </r>
  <r>
    <s v="SR-2025-01373"/>
    <x v="4"/>
    <s v="Sewer Backup"/>
    <s v="Low"/>
    <x v="2"/>
    <s v="Ward 1"/>
    <x v="355"/>
    <m/>
    <s v="In Person"/>
    <m/>
    <m/>
    <n v="14"/>
    <s v="Pending"/>
    <d v="2025-05-01T00:00:00"/>
    <n v="2025"/>
    <n v="2"/>
    <s v="No"/>
  </r>
  <r>
    <s v="SR-2025-01374"/>
    <x v="1"/>
    <s v="Property Standards"/>
    <s v="High"/>
    <x v="2"/>
    <s v="Ward 3"/>
    <x v="299"/>
    <m/>
    <s v="Email"/>
    <m/>
    <m/>
    <n v="7"/>
    <s v="Pending"/>
    <d v="2025-09-01T00:00:00"/>
    <n v="2025"/>
    <n v="3"/>
    <s v="No"/>
  </r>
  <r>
    <s v="SR-2025-01375"/>
    <x v="1"/>
    <s v="Noise Complaint"/>
    <s v="Medium"/>
    <x v="2"/>
    <s v="Ward 4"/>
    <x v="38"/>
    <m/>
    <s v="Mobile App"/>
    <m/>
    <m/>
    <n v="10"/>
    <s v="Pending"/>
    <d v="2025-10-01T00:00:00"/>
    <n v="2025"/>
    <n v="4"/>
    <s v="No"/>
  </r>
  <r>
    <s v="SR-2025-01376"/>
    <x v="0"/>
    <s v="Streetlight Repair"/>
    <s v="Low"/>
    <x v="0"/>
    <s v="Ward 1"/>
    <x v="283"/>
    <d v="2025-04-21T00:00:00"/>
    <s v="Phone"/>
    <n v="5"/>
    <n v="8"/>
    <n v="14"/>
    <s v="Yes"/>
    <d v="2025-04-01T00:00:00"/>
    <n v="2025"/>
    <n v="2"/>
    <s v="Yes"/>
  </r>
  <r>
    <s v="SR-2025-01377"/>
    <x v="5"/>
    <s v="Grass Cutting"/>
    <s v="High"/>
    <x v="0"/>
    <s v="Ward 5"/>
    <x v="306"/>
    <d v="2025-02-03T00:00:00"/>
    <s v="In Person"/>
    <n v="4"/>
    <n v="2"/>
    <n v="7"/>
    <s v="Yes"/>
    <d v="2025-02-01T00:00:00"/>
    <n v="2025"/>
    <n v="1"/>
    <s v="Yes"/>
  </r>
  <r>
    <s v="SR-2025-01378"/>
    <x v="0"/>
    <s v="Streetlight Repair"/>
    <s v="Medium"/>
    <x v="0"/>
    <s v="Ward 4"/>
    <x v="332"/>
    <d v="2025-08-05T00:00:00"/>
    <s v="Phone"/>
    <n v="5"/>
    <n v="3"/>
    <n v="10"/>
    <s v="Yes"/>
    <d v="2025-08-01T00:00:00"/>
    <n v="2025"/>
    <n v="3"/>
    <s v="Yes"/>
  </r>
  <r>
    <s v="SR-2025-01379"/>
    <x v="2"/>
    <s v="Missed Garbage Pickup"/>
    <s v="Low"/>
    <x v="0"/>
    <s v="Ward 4"/>
    <x v="103"/>
    <d v="2025-05-09T00:00:00"/>
    <s v="Mobile App"/>
    <n v="4"/>
    <n v="13"/>
    <n v="14"/>
    <s v="Yes"/>
    <d v="2025-04-01T00:00:00"/>
    <n v="2025"/>
    <n v="2"/>
    <s v="Yes"/>
  </r>
  <r>
    <s v="SR-2025-01380"/>
    <x v="5"/>
    <s v="Tree Maintenance"/>
    <s v="High"/>
    <x v="0"/>
    <s v="Ward 4"/>
    <x v="232"/>
    <d v="2025-04-16T00:00:00"/>
    <s v="Web"/>
    <n v="4"/>
    <n v="5"/>
    <n v="7"/>
    <s v="Yes"/>
    <d v="2025-04-01T00:00:00"/>
    <n v="2025"/>
    <n v="2"/>
    <s v="Yes"/>
  </r>
  <r>
    <s v="SR-2025-01381"/>
    <x v="1"/>
    <s v="Animal Complaint"/>
    <s v="Low"/>
    <x v="1"/>
    <s v="Ward 2"/>
    <x v="197"/>
    <m/>
    <s v="Email"/>
    <m/>
    <m/>
    <n v="14"/>
    <s v="Pending"/>
    <d v="2025-12-01T00:00:00"/>
    <n v="2025"/>
    <n v="4"/>
    <s v="No"/>
  </r>
  <r>
    <s v="SR-2025-01382"/>
    <x v="0"/>
    <s v="Traffic Concern"/>
    <s v="Medium"/>
    <x v="0"/>
    <s v="Ward 3"/>
    <x v="220"/>
    <d v="2025-03-09T00:00:00"/>
    <s v="Email"/>
    <n v="4"/>
    <n v="7"/>
    <n v="10"/>
    <s v="Yes"/>
    <d v="2025-03-01T00:00:00"/>
    <n v="2025"/>
    <n v="1"/>
    <s v="Yes"/>
  </r>
  <r>
    <s v="SR-2025-01383"/>
    <x v="3"/>
    <s v="Road Damage"/>
    <s v="Low"/>
    <x v="0"/>
    <s v="Ward 5"/>
    <x v="297"/>
    <d v="2025-05-06T00:00:00"/>
    <s v="In Person"/>
    <n v="5"/>
    <n v="9"/>
    <n v="14"/>
    <s v="Yes"/>
    <d v="2025-04-01T00:00:00"/>
    <n v="2025"/>
    <n v="2"/>
    <s v="Yes"/>
  </r>
  <r>
    <s v="SR-2025-01384"/>
    <x v="3"/>
    <s v="Pothole Repair"/>
    <s v="High"/>
    <x v="0"/>
    <s v="Ward 4"/>
    <x v="228"/>
    <d v="2025-01-31T00:00:00"/>
    <s v="Phone"/>
    <n v="2"/>
    <n v="1"/>
    <n v="7"/>
    <s v="Yes"/>
    <d v="2025-01-01T00:00:00"/>
    <n v="2025"/>
    <n v="1"/>
    <s v="Yes"/>
  </r>
  <r>
    <s v="SR-2025-01385"/>
    <x v="2"/>
    <s v="Missed Garbage Pickup"/>
    <s v="Medium"/>
    <x v="0"/>
    <s v="Ward 4"/>
    <x v="33"/>
    <d v="2025-05-12T00:00:00"/>
    <s v="Email"/>
    <n v="3"/>
    <n v="6"/>
    <n v="10"/>
    <s v="Yes"/>
    <d v="2025-05-01T00:00:00"/>
    <n v="2025"/>
    <n v="2"/>
    <s v="Yes"/>
  </r>
  <r>
    <s v="SR-2025-01386"/>
    <x v="0"/>
    <s v="Streetlight Repair"/>
    <s v="Medium"/>
    <x v="0"/>
    <s v="Ward 3"/>
    <x v="146"/>
    <d v="2025-10-11T00:00:00"/>
    <s v="Phone"/>
    <n v="4"/>
    <n v="5"/>
    <n v="10"/>
    <s v="Yes"/>
    <d v="2025-10-01T00:00:00"/>
    <n v="2025"/>
    <n v="4"/>
    <s v="Yes"/>
  </r>
  <r>
    <s v="SR-2025-01387"/>
    <x v="4"/>
    <s v="Sewer Backup"/>
    <s v="Critical"/>
    <x v="1"/>
    <s v="Ward 2"/>
    <x v="207"/>
    <m/>
    <s v="In Person"/>
    <m/>
    <m/>
    <n v="3"/>
    <s v="Pending"/>
    <d v="2025-05-01T00:00:00"/>
    <n v="2025"/>
    <n v="2"/>
    <s v="No"/>
  </r>
  <r>
    <s v="SR-2025-01388"/>
    <x v="2"/>
    <s v="Illegal Dumping"/>
    <s v="Medium"/>
    <x v="0"/>
    <s v="Ward 5"/>
    <x v="216"/>
    <d v="2025-02-04T00:00:00"/>
    <s v="Email"/>
    <n v="5"/>
    <n v="7"/>
    <n v="10"/>
    <s v="Yes"/>
    <d v="2025-01-01T00:00:00"/>
    <n v="2025"/>
    <n v="1"/>
    <s v="Yes"/>
  </r>
  <r>
    <s v="SR-2025-01389"/>
    <x v="2"/>
    <s v="Missed Garbage Pickup"/>
    <s v="Low"/>
    <x v="0"/>
    <s v="Ward 5"/>
    <x v="254"/>
    <d v="2025-09-30T00:00:00"/>
    <s v="Phone"/>
    <n v="4"/>
    <n v="6"/>
    <n v="14"/>
    <s v="Yes"/>
    <d v="2025-09-01T00:00:00"/>
    <n v="2025"/>
    <n v="3"/>
    <s v="Yes"/>
  </r>
  <r>
    <s v="SR-2025-01390"/>
    <x v="3"/>
    <s v="Sidewalk Damage"/>
    <s v="High"/>
    <x v="1"/>
    <s v="Ward 2"/>
    <x v="230"/>
    <m/>
    <s v="Email"/>
    <m/>
    <m/>
    <n v="7"/>
    <s v="Pending"/>
    <d v="2025-01-01T00:00:00"/>
    <n v="2025"/>
    <n v="1"/>
    <s v="No"/>
  </r>
  <r>
    <s v="SR-2025-01391"/>
    <x v="0"/>
    <s v="Traffic Concern"/>
    <s v="Critical"/>
    <x v="0"/>
    <s v="Ward 4"/>
    <x v="356"/>
    <d v="2025-01-20T00:00:00"/>
    <s v="Mobile App"/>
    <n v="3"/>
    <n v="2"/>
    <n v="3"/>
    <s v="Yes"/>
    <d v="2025-01-01T00:00:00"/>
    <n v="2025"/>
    <n v="1"/>
    <s v="Yes"/>
  </r>
  <r>
    <s v="SR-2025-01392"/>
    <x v="3"/>
    <s v="Pothole Repair"/>
    <s v="Medium"/>
    <x v="0"/>
    <s v="Ward 4"/>
    <x v="192"/>
    <d v="2025-09-13T00:00:00"/>
    <s v="Email"/>
    <n v="5"/>
    <n v="2"/>
    <n v="10"/>
    <s v="Yes"/>
    <d v="2025-09-01T00:00:00"/>
    <n v="2025"/>
    <n v="3"/>
    <s v="Yes"/>
  </r>
  <r>
    <s v="SR-2025-01393"/>
    <x v="3"/>
    <s v="Road Damage"/>
    <s v="Low"/>
    <x v="0"/>
    <s v="Ward 3"/>
    <x v="124"/>
    <d v="2025-08-20T00:00:00"/>
    <s v="Web"/>
    <n v="2"/>
    <n v="11"/>
    <n v="14"/>
    <s v="Yes"/>
    <d v="2025-08-01T00:00:00"/>
    <n v="2025"/>
    <n v="3"/>
    <s v="Yes"/>
  </r>
  <r>
    <s v="SR-2025-01394"/>
    <x v="1"/>
    <s v="Parking Complaint"/>
    <s v="High"/>
    <x v="2"/>
    <s v="Ward 3"/>
    <x v="183"/>
    <m/>
    <s v="In Person"/>
    <m/>
    <m/>
    <n v="7"/>
    <s v="Pending"/>
    <d v="2025-06-01T00:00:00"/>
    <n v="2025"/>
    <n v="2"/>
    <s v="No"/>
  </r>
  <r>
    <s v="SR-2025-01395"/>
    <x v="5"/>
    <s v="Tree Maintenance"/>
    <s v="Medium"/>
    <x v="1"/>
    <s v="Ward 4"/>
    <x v="234"/>
    <m/>
    <s v="Web"/>
    <m/>
    <m/>
    <n v="10"/>
    <s v="Pending"/>
    <d v="2025-08-01T00:00:00"/>
    <n v="2025"/>
    <n v="3"/>
    <s v="No"/>
  </r>
  <r>
    <s v="SR-2025-01396"/>
    <x v="3"/>
    <s v="Snow Removal"/>
    <s v="Critical"/>
    <x v="2"/>
    <s v="Ward 5"/>
    <x v="355"/>
    <m/>
    <s v="Email"/>
    <m/>
    <m/>
    <n v="3"/>
    <s v="Pending"/>
    <d v="2025-05-01T00:00:00"/>
    <n v="2025"/>
    <n v="2"/>
    <s v="No"/>
  </r>
  <r>
    <s v="SR-2025-01397"/>
    <x v="4"/>
    <s v="Sewer Backup"/>
    <s v="Low"/>
    <x v="0"/>
    <s v="Ward 3"/>
    <x v="40"/>
    <d v="2025-05-07T00:00:00"/>
    <s v="Mobile App"/>
    <n v="5"/>
    <n v="5"/>
    <n v="14"/>
    <s v="Yes"/>
    <d v="2025-05-01T00:00:00"/>
    <n v="2025"/>
    <n v="2"/>
    <s v="Yes"/>
  </r>
  <r>
    <s v="SR-2025-01398"/>
    <x v="3"/>
    <s v="Road Damage"/>
    <s v="High"/>
    <x v="0"/>
    <s v="Ward 3"/>
    <x v="296"/>
    <d v="2025-10-24T00:00:00"/>
    <s v="Mobile App"/>
    <n v="1"/>
    <n v="4"/>
    <n v="7"/>
    <s v="Yes"/>
    <d v="2025-10-01T00:00:00"/>
    <n v="2025"/>
    <n v="4"/>
    <s v="Yes"/>
  </r>
  <r>
    <s v="SR-2025-01399"/>
    <x v="2"/>
    <s v="Illegal Dumping"/>
    <s v="High"/>
    <x v="1"/>
    <s v="Ward 1"/>
    <x v="151"/>
    <m/>
    <s v="Web"/>
    <m/>
    <m/>
    <n v="7"/>
    <s v="Pending"/>
    <d v="2025-11-01T00:00:00"/>
    <n v="2025"/>
    <n v="4"/>
    <s v="No"/>
  </r>
  <r>
    <s v="SR-2025-01400"/>
    <x v="2"/>
    <s v="Illegal Dumping"/>
    <s v="High"/>
    <x v="1"/>
    <s v="Ward 4"/>
    <x v="155"/>
    <m/>
    <s v="Web"/>
    <m/>
    <m/>
    <n v="7"/>
    <s v="Pending"/>
    <d v="2025-08-01T00:00:00"/>
    <n v="2025"/>
    <n v="3"/>
    <s v="No"/>
  </r>
  <r>
    <s v="SR-2025-01401"/>
    <x v="4"/>
    <s v="Water Leak"/>
    <s v="Medium"/>
    <x v="2"/>
    <s v="Ward 5"/>
    <x v="159"/>
    <m/>
    <s v="Phone"/>
    <m/>
    <m/>
    <n v="10"/>
    <s v="Pending"/>
    <d v="2025-09-01T00:00:00"/>
    <n v="2025"/>
    <n v="3"/>
    <s v="No"/>
  </r>
  <r>
    <s v="SR-2025-01402"/>
    <x v="4"/>
    <s v="Water Leak"/>
    <s v="Medium"/>
    <x v="0"/>
    <s v="Ward 1"/>
    <x v="347"/>
    <d v="2025-11-19T00:00:00"/>
    <s v="Email"/>
    <n v="4"/>
    <n v="10"/>
    <n v="10"/>
    <s v="Yes"/>
    <d v="2025-11-01T00:00:00"/>
    <n v="2025"/>
    <n v="4"/>
    <s v="Yes"/>
  </r>
  <r>
    <s v="SR-2025-01403"/>
    <x v="5"/>
    <s v="Grass Cutting"/>
    <s v="High"/>
    <x v="0"/>
    <s v="Ward 2"/>
    <x v="192"/>
    <d v="2025-09-13T00:00:00"/>
    <s v="Phone"/>
    <n v="3"/>
    <n v="2"/>
    <n v="7"/>
    <s v="Yes"/>
    <d v="2025-09-01T00:00:00"/>
    <n v="2025"/>
    <n v="3"/>
    <s v="Yes"/>
  </r>
  <r>
    <s v="SR-2025-01404"/>
    <x v="1"/>
    <s v="Noise Complaint"/>
    <s v="Low"/>
    <x v="0"/>
    <s v="Ward 4"/>
    <x v="78"/>
    <d v="2025-04-18T00:00:00"/>
    <s v="In Person"/>
    <n v="4"/>
    <n v="13"/>
    <n v="14"/>
    <s v="Yes"/>
    <d v="2025-04-01T00:00:00"/>
    <n v="2025"/>
    <n v="2"/>
    <s v="Yes"/>
  </r>
  <r>
    <s v="SR-2025-01405"/>
    <x v="2"/>
    <s v="Missed Garbage Pickup"/>
    <s v="Medium"/>
    <x v="0"/>
    <s v="Ward 3"/>
    <x v="229"/>
    <d v="2025-05-19T00:00:00"/>
    <s v="In Person"/>
    <n v="1"/>
    <n v="6"/>
    <n v="10"/>
    <s v="Yes"/>
    <d v="2025-05-01T00:00:00"/>
    <n v="2025"/>
    <n v="2"/>
    <s v="Yes"/>
  </r>
  <r>
    <s v="SR-2025-01406"/>
    <x v="0"/>
    <s v="Streetlight Repair"/>
    <s v="Medium"/>
    <x v="0"/>
    <s v="Ward 5"/>
    <x v="153"/>
    <d v="2025-02-19T00:00:00"/>
    <s v="Web"/>
    <n v="4"/>
    <n v="10"/>
    <n v="10"/>
    <s v="Yes"/>
    <d v="2025-02-01T00:00:00"/>
    <n v="2025"/>
    <n v="1"/>
    <s v="Yes"/>
  </r>
  <r>
    <s v="SR-2025-01407"/>
    <x v="5"/>
    <s v="Park Equipment Damage"/>
    <s v="Medium"/>
    <x v="0"/>
    <s v="Ward 4"/>
    <x v="352"/>
    <d v="2025-12-23T00:00:00"/>
    <s v="Mobile App"/>
    <n v="2"/>
    <n v="8"/>
    <n v="10"/>
    <s v="Yes"/>
    <d v="2025-12-01T00:00:00"/>
    <n v="2025"/>
    <n v="4"/>
    <s v="Yes"/>
  </r>
  <r>
    <s v="SR-2025-01408"/>
    <x v="5"/>
    <s v="Tree Maintenance"/>
    <s v="Medium"/>
    <x v="1"/>
    <s v="Ward 4"/>
    <x v="181"/>
    <m/>
    <s v="Mobile App"/>
    <m/>
    <m/>
    <n v="10"/>
    <s v="Pending"/>
    <d v="2025-06-01T00:00:00"/>
    <n v="2025"/>
    <n v="2"/>
    <s v="No"/>
  </r>
  <r>
    <s v="SR-2025-01409"/>
    <x v="4"/>
    <s v="Sewer Backup"/>
    <s v="Medium"/>
    <x v="0"/>
    <s v="Ward 5"/>
    <x v="4"/>
    <d v="2025-01-29T00:00:00"/>
    <s v="Web"/>
    <n v="5"/>
    <n v="6"/>
    <n v="10"/>
    <s v="Yes"/>
    <d v="2025-01-01T00:00:00"/>
    <n v="2025"/>
    <n v="1"/>
    <s v="Yes"/>
  </r>
  <r>
    <s v="SR-2025-01410"/>
    <x v="3"/>
    <s v="Road Damage"/>
    <s v="High"/>
    <x v="0"/>
    <s v="Ward 3"/>
    <x v="88"/>
    <d v="2025-09-25T00:00:00"/>
    <s v="Phone"/>
    <n v="4"/>
    <n v="7"/>
    <n v="7"/>
    <s v="Yes"/>
    <d v="2025-09-01T00:00:00"/>
    <n v="2025"/>
    <n v="3"/>
    <s v="Yes"/>
  </r>
  <r>
    <s v="SR-2025-01411"/>
    <x v="4"/>
    <s v="Water Leak"/>
    <s v="Medium"/>
    <x v="0"/>
    <s v="Ward 2"/>
    <x v="279"/>
    <d v="2025-12-02T00:00:00"/>
    <s v="In Person"/>
    <n v="5"/>
    <n v="3"/>
    <n v="10"/>
    <s v="Yes"/>
    <d v="2025-11-01T00:00:00"/>
    <n v="2025"/>
    <n v="4"/>
    <s v="Yes"/>
  </r>
  <r>
    <s v="SR-2025-01412"/>
    <x v="1"/>
    <s v="Animal Complaint"/>
    <s v="Medium"/>
    <x v="0"/>
    <s v="Ward 5"/>
    <x v="350"/>
    <d v="2025-09-30T00:00:00"/>
    <s v="In Person"/>
    <n v="4"/>
    <n v="2"/>
    <n v="10"/>
    <s v="Yes"/>
    <d v="2025-09-01T00:00:00"/>
    <n v="2025"/>
    <n v="3"/>
    <s v="Yes"/>
  </r>
  <r>
    <s v="SR-2025-01413"/>
    <x v="4"/>
    <s v="Sewer Backup"/>
    <s v="Medium"/>
    <x v="1"/>
    <s v="Ward 2"/>
    <x v="114"/>
    <m/>
    <s v="Mobile App"/>
    <m/>
    <m/>
    <n v="10"/>
    <s v="Pending"/>
    <d v="2025-05-01T00:00:00"/>
    <n v="2025"/>
    <n v="2"/>
    <s v="No"/>
  </r>
  <r>
    <s v="SR-2025-01414"/>
    <x v="5"/>
    <s v="Grass Cutting"/>
    <s v="Low"/>
    <x v="0"/>
    <s v="Ward 4"/>
    <x v="35"/>
    <d v="2025-03-15T00:00:00"/>
    <s v="Mobile App"/>
    <n v="3"/>
    <n v="14"/>
    <n v="14"/>
    <s v="Yes"/>
    <d v="2025-03-01T00:00:00"/>
    <n v="2025"/>
    <n v="1"/>
    <s v="Yes"/>
  </r>
  <r>
    <s v="SR-2025-01415"/>
    <x v="3"/>
    <s v="Sidewalk Damage"/>
    <s v="Medium"/>
    <x v="0"/>
    <s v="Ward 4"/>
    <x v="5"/>
    <d v="2025-07-14T00:00:00"/>
    <s v="Email"/>
    <n v="4"/>
    <n v="9"/>
    <n v="10"/>
    <s v="Yes"/>
    <d v="2025-07-01T00:00:00"/>
    <n v="2025"/>
    <n v="3"/>
    <s v="Yes"/>
  </r>
  <r>
    <s v="SR-2025-01416"/>
    <x v="5"/>
    <s v="Park Equipment Damage"/>
    <s v="High"/>
    <x v="0"/>
    <s v="Ward 2"/>
    <x v="324"/>
    <d v="2025-08-03T00:00:00"/>
    <s v="In Person"/>
    <n v="4"/>
    <n v="6"/>
    <n v="7"/>
    <s v="Yes"/>
    <d v="2025-07-01T00:00:00"/>
    <n v="2025"/>
    <n v="3"/>
    <s v="Yes"/>
  </r>
  <r>
    <s v="SR-2025-01417"/>
    <x v="2"/>
    <s v="Illegal Dumping"/>
    <s v="Medium"/>
    <x v="0"/>
    <s v="Ward 2"/>
    <x v="252"/>
    <d v="2025-08-06T00:00:00"/>
    <s v="In Person"/>
    <n v="4"/>
    <n v="8"/>
    <n v="10"/>
    <s v="Yes"/>
    <d v="2025-07-01T00:00:00"/>
    <n v="2025"/>
    <n v="3"/>
    <s v="Yes"/>
  </r>
  <r>
    <s v="SR-2025-01418"/>
    <x v="4"/>
    <s v="Low Water Pressure"/>
    <s v="High"/>
    <x v="2"/>
    <s v="Ward 2"/>
    <x v="26"/>
    <m/>
    <s v="Web"/>
    <m/>
    <m/>
    <n v="7"/>
    <s v="Pending"/>
    <d v="2025-01-01T00:00:00"/>
    <n v="2025"/>
    <n v="1"/>
    <s v="No"/>
  </r>
  <r>
    <s v="SR-2025-01419"/>
    <x v="4"/>
    <s v="Sewer Backup"/>
    <s v="High"/>
    <x v="0"/>
    <s v="Ward 1"/>
    <x v="42"/>
    <d v="2025-09-04T00:00:00"/>
    <s v="Email"/>
    <n v="2"/>
    <n v="6"/>
    <n v="7"/>
    <s v="Yes"/>
    <d v="2025-08-01T00:00:00"/>
    <n v="2025"/>
    <n v="3"/>
    <s v="Yes"/>
  </r>
  <r>
    <s v="SR-2025-01420"/>
    <x v="3"/>
    <s v="Road Damage"/>
    <s v="Critical"/>
    <x v="0"/>
    <s v="Ward 3"/>
    <x v="312"/>
    <d v="2025-10-02T00:00:00"/>
    <s v="Phone"/>
    <n v="5"/>
    <n v="3"/>
    <n v="3"/>
    <s v="Yes"/>
    <d v="2025-09-01T00:00:00"/>
    <n v="2025"/>
    <n v="3"/>
    <s v="Yes"/>
  </r>
  <r>
    <s v="SR-2025-01421"/>
    <x v="4"/>
    <s v="Low Water Pressure"/>
    <s v="High"/>
    <x v="0"/>
    <s v="Ward 1"/>
    <x v="183"/>
    <d v="2025-06-27T00:00:00"/>
    <s v="Web"/>
    <n v="4"/>
    <n v="5"/>
    <n v="7"/>
    <s v="Yes"/>
    <d v="2025-06-01T00:00:00"/>
    <n v="2025"/>
    <n v="2"/>
    <s v="Yes"/>
  </r>
  <r>
    <s v="SR-2025-01422"/>
    <x v="3"/>
    <s v="Sidewalk Damage"/>
    <s v="Critical"/>
    <x v="2"/>
    <s v="Ward 4"/>
    <x v="273"/>
    <m/>
    <s v="Email"/>
    <m/>
    <m/>
    <n v="3"/>
    <s v="Pending"/>
    <d v="2025-11-01T00:00:00"/>
    <n v="2025"/>
    <n v="4"/>
    <s v="No"/>
  </r>
  <r>
    <s v="SR-2025-01423"/>
    <x v="2"/>
    <s v="Green Bin Issue"/>
    <s v="High"/>
    <x v="0"/>
    <s v="Ward 1"/>
    <x v="21"/>
    <d v="2025-11-05T00:00:00"/>
    <s v="Phone"/>
    <n v="5"/>
    <n v="7"/>
    <n v="7"/>
    <s v="Yes"/>
    <d v="2025-10-01T00:00:00"/>
    <n v="2025"/>
    <n v="4"/>
    <s v="Yes"/>
  </r>
  <r>
    <s v="SR-2025-01424"/>
    <x v="3"/>
    <s v="Sidewalk Damage"/>
    <s v="Medium"/>
    <x v="0"/>
    <s v="Ward 5"/>
    <x v="256"/>
    <d v="2025-06-23T00:00:00"/>
    <s v="Mobile App"/>
    <n v="3"/>
    <n v="9"/>
    <n v="10"/>
    <s v="Yes"/>
    <d v="2025-06-01T00:00:00"/>
    <n v="2025"/>
    <n v="2"/>
    <s v="Yes"/>
  </r>
  <r>
    <s v="SR-2025-01425"/>
    <x v="3"/>
    <s v="Road Damage"/>
    <s v="Medium"/>
    <x v="0"/>
    <s v="Ward 5"/>
    <x v="32"/>
    <d v="2025-10-26T00:00:00"/>
    <s v="In Person"/>
    <n v="5"/>
    <n v="10"/>
    <n v="10"/>
    <s v="Yes"/>
    <d v="2025-10-01T00:00:00"/>
    <n v="2025"/>
    <n v="4"/>
    <s v="Yes"/>
  </r>
  <r>
    <s v="SR-2025-01426"/>
    <x v="4"/>
    <s v="Sewer Backup"/>
    <s v="Medium"/>
    <x v="0"/>
    <s v="Ward 2"/>
    <x v="274"/>
    <d v="2025-04-06T00:00:00"/>
    <s v="Email"/>
    <n v="2"/>
    <n v="4"/>
    <n v="10"/>
    <s v="Yes"/>
    <d v="2025-04-01T00:00:00"/>
    <n v="2025"/>
    <n v="2"/>
    <s v="Yes"/>
  </r>
  <r>
    <s v="SR-2025-01427"/>
    <x v="1"/>
    <s v="Parking Complaint"/>
    <s v="Medium"/>
    <x v="0"/>
    <s v="Ward 1"/>
    <x v="308"/>
    <d v="2025-02-27T00:00:00"/>
    <s v="Mobile App"/>
    <n v="3"/>
    <n v="7"/>
    <n v="10"/>
    <s v="Yes"/>
    <d v="2025-02-01T00:00:00"/>
    <n v="2025"/>
    <n v="1"/>
    <s v="Yes"/>
  </r>
  <r>
    <s v="SR-2025-01428"/>
    <x v="2"/>
    <s v="Green Bin Issue"/>
    <s v="Medium"/>
    <x v="2"/>
    <s v="Ward 3"/>
    <x v="355"/>
    <m/>
    <s v="In Person"/>
    <m/>
    <m/>
    <n v="10"/>
    <s v="Pending"/>
    <d v="2025-05-01T00:00:00"/>
    <n v="2025"/>
    <n v="2"/>
    <s v="No"/>
  </r>
  <r>
    <s v="SR-2025-01429"/>
    <x v="3"/>
    <s v="Road Damage"/>
    <s v="Medium"/>
    <x v="0"/>
    <s v="Ward 2"/>
    <x v="357"/>
    <d v="2025-04-26T00:00:00"/>
    <s v="Web"/>
    <n v="5"/>
    <n v="10"/>
    <n v="10"/>
    <s v="Yes"/>
    <d v="2025-04-01T00:00:00"/>
    <n v="2025"/>
    <n v="2"/>
    <s v="Yes"/>
  </r>
  <r>
    <s v="SR-2025-01430"/>
    <x v="1"/>
    <s v="Noise Complaint"/>
    <s v="Critical"/>
    <x v="0"/>
    <s v="Ward 1"/>
    <x v="309"/>
    <d v="2025-04-10T00:00:00"/>
    <s v="Mobile App"/>
    <n v="4"/>
    <n v="0"/>
    <n v="3"/>
    <s v="Yes"/>
    <d v="2025-04-01T00:00:00"/>
    <n v="2025"/>
    <n v="2"/>
    <s v="Yes"/>
  </r>
  <r>
    <s v="SR-2025-01431"/>
    <x v="5"/>
    <s v="Grass Cutting"/>
    <s v="Critical"/>
    <x v="0"/>
    <s v="Ward 3"/>
    <x v="155"/>
    <d v="2025-08-17T00:00:00"/>
    <s v="Web"/>
    <n v="5"/>
    <n v="1"/>
    <n v="3"/>
    <s v="Yes"/>
    <d v="2025-08-01T00:00:00"/>
    <n v="2025"/>
    <n v="3"/>
    <s v="Yes"/>
  </r>
  <r>
    <s v="SR-2025-01432"/>
    <x v="0"/>
    <s v="Streetlight Repair"/>
    <s v="Medium"/>
    <x v="0"/>
    <s v="Ward 3"/>
    <x v="15"/>
    <d v="2025-05-18T00:00:00"/>
    <s v="Web"/>
    <n v="5"/>
    <n v="3"/>
    <n v="10"/>
    <s v="Yes"/>
    <d v="2025-05-01T00:00:00"/>
    <n v="2025"/>
    <n v="2"/>
    <s v="Yes"/>
  </r>
  <r>
    <s v="SR-2025-01433"/>
    <x v="2"/>
    <s v="Missed Garbage Pickup"/>
    <s v="High"/>
    <x v="0"/>
    <s v="Ward 3"/>
    <x v="65"/>
    <d v="2025-02-11T00:00:00"/>
    <s v="Mobile App"/>
    <n v="3"/>
    <n v="3"/>
    <n v="7"/>
    <s v="Yes"/>
    <d v="2025-02-01T00:00:00"/>
    <n v="2025"/>
    <n v="1"/>
    <s v="Yes"/>
  </r>
  <r>
    <s v="SR-2025-01434"/>
    <x v="4"/>
    <s v="Water Leak"/>
    <s v="High"/>
    <x v="0"/>
    <s v="Ward 5"/>
    <x v="44"/>
    <d v="2025-01-24T00:00:00"/>
    <s v="Mobile App"/>
    <n v="2"/>
    <n v="4"/>
    <n v="7"/>
    <s v="Yes"/>
    <d v="2025-01-01T00:00:00"/>
    <n v="2025"/>
    <n v="1"/>
    <s v="Yes"/>
  </r>
  <r>
    <s v="SR-2025-01435"/>
    <x v="5"/>
    <s v="Tree Maintenance"/>
    <s v="Critical"/>
    <x v="0"/>
    <s v="Ward 2"/>
    <x v="33"/>
    <d v="2025-05-07T00:00:00"/>
    <s v="Phone"/>
    <n v="4"/>
    <n v="1"/>
    <n v="3"/>
    <s v="Yes"/>
    <d v="2025-05-01T00:00:00"/>
    <n v="2025"/>
    <n v="2"/>
    <s v="Yes"/>
  </r>
  <r>
    <s v="SR-2025-01436"/>
    <x v="2"/>
    <s v="Green Bin Issue"/>
    <s v="Low"/>
    <x v="1"/>
    <s v="Ward 3"/>
    <x v="148"/>
    <m/>
    <s v="Phone"/>
    <m/>
    <m/>
    <n v="14"/>
    <s v="Pending"/>
    <d v="2025-09-01T00:00:00"/>
    <n v="2025"/>
    <n v="3"/>
    <s v="No"/>
  </r>
  <r>
    <s v="SR-2025-01437"/>
    <x v="5"/>
    <s v="Tree Maintenance"/>
    <s v="Critical"/>
    <x v="1"/>
    <s v="Ward 1"/>
    <x v="258"/>
    <m/>
    <s v="Email"/>
    <m/>
    <m/>
    <n v="3"/>
    <s v="Pending"/>
    <d v="2025-04-01T00:00:00"/>
    <n v="2025"/>
    <n v="2"/>
    <s v="No"/>
  </r>
  <r>
    <s v="SR-2025-01438"/>
    <x v="3"/>
    <s v="Snow Removal"/>
    <s v="Medium"/>
    <x v="0"/>
    <s v="Ward 3"/>
    <x v="274"/>
    <d v="2025-04-04T00:00:00"/>
    <s v="In Person"/>
    <n v="4"/>
    <n v="2"/>
    <n v="10"/>
    <s v="Yes"/>
    <d v="2025-04-01T00:00:00"/>
    <n v="2025"/>
    <n v="2"/>
    <s v="Yes"/>
  </r>
  <r>
    <s v="SR-2025-01439"/>
    <x v="4"/>
    <s v="Low Water Pressure"/>
    <s v="Medium"/>
    <x v="0"/>
    <s v="Ward 2"/>
    <x v="243"/>
    <d v="2025-12-07T00:00:00"/>
    <s v="Mobile App"/>
    <n v="5"/>
    <n v="4"/>
    <n v="10"/>
    <s v="Yes"/>
    <d v="2025-12-01T00:00:00"/>
    <n v="2025"/>
    <n v="4"/>
    <s v="Yes"/>
  </r>
  <r>
    <s v="SR-2025-01440"/>
    <x v="0"/>
    <s v="Traffic Concern"/>
    <s v="Medium"/>
    <x v="0"/>
    <s v="Ward 3"/>
    <x v="89"/>
    <d v="2025-11-10T00:00:00"/>
    <s v="Web"/>
    <n v="4"/>
    <n v="7"/>
    <n v="10"/>
    <s v="Yes"/>
    <d v="2025-11-01T00:00:00"/>
    <n v="2025"/>
    <n v="4"/>
    <s v="Yes"/>
  </r>
  <r>
    <s v="SR-2025-01441"/>
    <x v="5"/>
    <s v="Tree Maintenance"/>
    <s v="Critical"/>
    <x v="2"/>
    <s v="Ward 4"/>
    <x v="355"/>
    <m/>
    <s v="Email"/>
    <m/>
    <m/>
    <n v="3"/>
    <s v="Pending"/>
    <d v="2025-05-01T00:00:00"/>
    <n v="2025"/>
    <n v="2"/>
    <s v="No"/>
  </r>
  <r>
    <s v="SR-2025-01442"/>
    <x v="2"/>
    <s v="Recycling Issue"/>
    <s v="Medium"/>
    <x v="0"/>
    <s v="Ward 3"/>
    <x v="105"/>
    <d v="2025-09-02T00:00:00"/>
    <s v="Email"/>
    <n v="5"/>
    <n v="7"/>
    <n v="10"/>
    <s v="Yes"/>
    <d v="2025-08-01T00:00:00"/>
    <n v="2025"/>
    <n v="3"/>
    <s v="Yes"/>
  </r>
  <r>
    <s v="SR-2025-01443"/>
    <x v="0"/>
    <s v="Traffic Signal Issue"/>
    <s v="High"/>
    <x v="0"/>
    <s v="Ward 2"/>
    <x v="107"/>
    <d v="2025-09-13T00:00:00"/>
    <s v="Web"/>
    <n v="4"/>
    <n v="5"/>
    <n v="7"/>
    <s v="Yes"/>
    <d v="2025-09-01T00:00:00"/>
    <n v="2025"/>
    <n v="3"/>
    <s v="Yes"/>
  </r>
  <r>
    <s v="SR-2025-01444"/>
    <x v="2"/>
    <s v="Illegal Dumping"/>
    <s v="Medium"/>
    <x v="2"/>
    <s v="Ward 1"/>
    <x v="252"/>
    <m/>
    <s v="In Person"/>
    <m/>
    <m/>
    <n v="10"/>
    <s v="Pending"/>
    <d v="2025-07-01T00:00:00"/>
    <n v="2025"/>
    <n v="3"/>
    <s v="No"/>
  </r>
  <r>
    <s v="SR-2025-01445"/>
    <x v="2"/>
    <s v="Illegal Dumping"/>
    <s v="Medium"/>
    <x v="0"/>
    <s v="Ward 1"/>
    <x v="131"/>
    <d v="2025-08-23T00:00:00"/>
    <s v="Mobile App"/>
    <n v="4"/>
    <n v="8"/>
    <n v="10"/>
    <s v="Yes"/>
    <d v="2025-08-01T00:00:00"/>
    <n v="2025"/>
    <n v="3"/>
    <s v="Yes"/>
  </r>
  <r>
    <s v="SR-2025-01446"/>
    <x v="4"/>
    <s v="Low Water Pressure"/>
    <s v="Medium"/>
    <x v="1"/>
    <s v="Ward 4"/>
    <x v="188"/>
    <m/>
    <s v="Email"/>
    <m/>
    <m/>
    <n v="10"/>
    <s v="Pending"/>
    <d v="2025-06-01T00:00:00"/>
    <n v="2025"/>
    <n v="2"/>
    <s v="No"/>
  </r>
  <r>
    <s v="SR-2025-01447"/>
    <x v="5"/>
    <s v="Park Equipment Damage"/>
    <s v="Medium"/>
    <x v="1"/>
    <s v="Ward 5"/>
    <x v="111"/>
    <m/>
    <s v="In Person"/>
    <m/>
    <m/>
    <n v="10"/>
    <s v="Pending"/>
    <d v="2025-02-01T00:00:00"/>
    <n v="2025"/>
    <n v="1"/>
    <s v="No"/>
  </r>
  <r>
    <s v="SR-2025-01448"/>
    <x v="2"/>
    <s v="Recycling Issue"/>
    <s v="Medium"/>
    <x v="0"/>
    <s v="Ward 3"/>
    <x v="250"/>
    <d v="2025-01-19T00:00:00"/>
    <s v="Mobile App"/>
    <n v="2"/>
    <n v="8"/>
    <n v="10"/>
    <s v="Yes"/>
    <d v="2025-01-01T00:00:00"/>
    <n v="2025"/>
    <n v="1"/>
    <s v="Yes"/>
  </r>
  <r>
    <s v="SR-2025-01449"/>
    <x v="1"/>
    <s v="Noise Complaint"/>
    <s v="Medium"/>
    <x v="0"/>
    <s v="Ward 2"/>
    <x v="5"/>
    <d v="2025-07-15T00:00:00"/>
    <s v="In Person"/>
    <n v="3"/>
    <n v="10"/>
    <n v="10"/>
    <s v="Yes"/>
    <d v="2025-07-01T00:00:00"/>
    <n v="2025"/>
    <n v="3"/>
    <s v="Yes"/>
  </r>
  <r>
    <s v="SR-2025-01450"/>
    <x v="4"/>
    <s v="Low Water Pressure"/>
    <s v="Medium"/>
    <x v="0"/>
    <s v="Ward 5"/>
    <x v="95"/>
    <d v="2025-07-18T00:00:00"/>
    <s v="Phone"/>
    <n v="4"/>
    <n v="7"/>
    <n v="10"/>
    <s v="Yes"/>
    <d v="2025-07-01T00:00:00"/>
    <n v="2025"/>
    <n v="3"/>
    <s v="Yes"/>
  </r>
  <r>
    <s v="SR-2025-01451"/>
    <x v="3"/>
    <s v="Pothole Repair"/>
    <s v="High"/>
    <x v="1"/>
    <s v="Ward 1"/>
    <x v="144"/>
    <m/>
    <s v="In Person"/>
    <m/>
    <m/>
    <n v="7"/>
    <s v="Pending"/>
    <d v="2025-09-01T00:00:00"/>
    <n v="2025"/>
    <n v="3"/>
    <s v="No"/>
  </r>
  <r>
    <s v="SR-2025-01452"/>
    <x v="4"/>
    <s v="Water Quality Concern"/>
    <s v="Low"/>
    <x v="0"/>
    <s v="Ward 2"/>
    <x v="104"/>
    <d v="2025-01-19T00:00:00"/>
    <s v="Web"/>
    <n v="4"/>
    <n v="6"/>
    <n v="14"/>
    <s v="Yes"/>
    <d v="2025-01-01T00:00:00"/>
    <n v="2025"/>
    <n v="1"/>
    <s v="Yes"/>
  </r>
  <r>
    <s v="SR-2025-01453"/>
    <x v="2"/>
    <s v="Missed Garbage Pickup"/>
    <s v="High"/>
    <x v="0"/>
    <s v="Ward 3"/>
    <x v="27"/>
    <d v="2025-07-27T00:00:00"/>
    <s v="Web"/>
    <n v="5"/>
    <n v="2"/>
    <n v="7"/>
    <s v="Yes"/>
    <d v="2025-07-01T00:00:00"/>
    <n v="2025"/>
    <n v="3"/>
    <s v="Yes"/>
  </r>
  <r>
    <s v="SR-2025-01454"/>
    <x v="3"/>
    <s v="Pothole Repair"/>
    <s v="Medium"/>
    <x v="0"/>
    <s v="Ward 5"/>
    <x v="116"/>
    <d v="2025-08-03T00:00:00"/>
    <s v="In Person"/>
    <n v="1"/>
    <n v="2"/>
    <n v="10"/>
    <s v="Yes"/>
    <d v="2025-08-01T00:00:00"/>
    <n v="2025"/>
    <n v="3"/>
    <s v="Yes"/>
  </r>
  <r>
    <s v="SR-2025-01455"/>
    <x v="5"/>
    <s v="Tree Maintenance"/>
    <s v="High"/>
    <x v="1"/>
    <s v="Ward 5"/>
    <x v="309"/>
    <m/>
    <s v="Mobile App"/>
    <m/>
    <m/>
    <n v="7"/>
    <s v="Pending"/>
    <d v="2025-04-01T00:00:00"/>
    <n v="2025"/>
    <n v="2"/>
    <s v="No"/>
  </r>
  <r>
    <s v="SR-2025-01456"/>
    <x v="2"/>
    <s v="Green Bin Issue"/>
    <s v="Medium"/>
    <x v="0"/>
    <s v="Ward 3"/>
    <x v="161"/>
    <d v="2025-05-30T00:00:00"/>
    <s v="In Person"/>
    <n v="3"/>
    <n v="9"/>
    <n v="10"/>
    <s v="Yes"/>
    <d v="2025-05-01T00:00:00"/>
    <n v="2025"/>
    <n v="2"/>
    <s v="Yes"/>
  </r>
  <r>
    <s v="SR-2025-01457"/>
    <x v="4"/>
    <s v="Water Quality Concern"/>
    <s v="Medium"/>
    <x v="0"/>
    <s v="Ward 3"/>
    <x v="324"/>
    <d v="2025-08-07T00:00:00"/>
    <s v="In Person"/>
    <n v="3"/>
    <n v="10"/>
    <n v="10"/>
    <s v="Yes"/>
    <d v="2025-07-01T00:00:00"/>
    <n v="2025"/>
    <n v="3"/>
    <s v="Yes"/>
  </r>
  <r>
    <s v="SR-2025-01458"/>
    <x v="1"/>
    <s v="Property Standards"/>
    <s v="Medium"/>
    <x v="2"/>
    <s v="Ward 3"/>
    <x v="60"/>
    <m/>
    <s v="In Person"/>
    <m/>
    <m/>
    <n v="10"/>
    <s v="Pending"/>
    <d v="2025-07-01T00:00:00"/>
    <n v="2025"/>
    <n v="3"/>
    <s v="No"/>
  </r>
  <r>
    <s v="SR-2025-01459"/>
    <x v="0"/>
    <s v="Streetlight Repair"/>
    <s v="Medium"/>
    <x v="0"/>
    <s v="Ward 4"/>
    <x v="104"/>
    <d v="2025-01-21T00:00:00"/>
    <s v="Mobile App"/>
    <n v="5"/>
    <n v="8"/>
    <n v="10"/>
    <s v="Yes"/>
    <d v="2025-01-01T00:00:00"/>
    <n v="2025"/>
    <n v="1"/>
    <s v="Yes"/>
  </r>
  <r>
    <s v="SR-2025-01460"/>
    <x v="4"/>
    <s v="Water Leak"/>
    <s v="Medium"/>
    <x v="0"/>
    <s v="Ward 2"/>
    <x v="273"/>
    <d v="2025-11-22T00:00:00"/>
    <s v="Phone"/>
    <n v="2"/>
    <n v="3"/>
    <n v="10"/>
    <s v="Yes"/>
    <d v="2025-11-01T00:00:00"/>
    <n v="2025"/>
    <n v="4"/>
    <s v="Yes"/>
  </r>
  <r>
    <s v="SR-2025-01461"/>
    <x v="4"/>
    <s v="Low Water Pressure"/>
    <s v="Low"/>
    <x v="0"/>
    <s v="Ward 5"/>
    <x v="287"/>
    <d v="2025-09-11T00:00:00"/>
    <s v="Phone"/>
    <n v="5"/>
    <n v="11"/>
    <n v="14"/>
    <s v="Yes"/>
    <d v="2025-08-01T00:00:00"/>
    <n v="2025"/>
    <n v="3"/>
    <s v="Yes"/>
  </r>
  <r>
    <s v="SR-2025-01462"/>
    <x v="3"/>
    <s v="Snow Removal"/>
    <s v="Medium"/>
    <x v="0"/>
    <s v="Ward 5"/>
    <x v="183"/>
    <d v="2025-06-26T00:00:00"/>
    <s v="In Person"/>
    <n v="1"/>
    <n v="4"/>
    <n v="10"/>
    <s v="Yes"/>
    <d v="2025-06-01T00:00:00"/>
    <n v="2025"/>
    <n v="2"/>
    <s v="Yes"/>
  </r>
  <r>
    <s v="SR-2025-01463"/>
    <x v="4"/>
    <s v="Water Leak"/>
    <s v="Medium"/>
    <x v="0"/>
    <s v="Ward 3"/>
    <x v="169"/>
    <d v="2025-10-24T00:00:00"/>
    <s v="Phone"/>
    <n v="4"/>
    <n v="9"/>
    <n v="10"/>
    <s v="Yes"/>
    <d v="2025-10-01T00:00:00"/>
    <n v="2025"/>
    <n v="4"/>
    <s v="Yes"/>
  </r>
  <r>
    <s v="SR-2025-01464"/>
    <x v="2"/>
    <s v="Green Bin Issue"/>
    <s v="High"/>
    <x v="0"/>
    <s v="Ward 1"/>
    <x v="30"/>
    <d v="2025-02-12T00:00:00"/>
    <s v="Email"/>
    <n v="4"/>
    <n v="1"/>
    <n v="7"/>
    <s v="Yes"/>
    <d v="2025-02-01T00:00:00"/>
    <n v="2025"/>
    <n v="1"/>
    <s v="Yes"/>
  </r>
  <r>
    <s v="SR-2025-01465"/>
    <x v="5"/>
    <s v="Tree Maintenance"/>
    <s v="Low"/>
    <x v="1"/>
    <s v="Ward 2"/>
    <x v="248"/>
    <m/>
    <s v="Email"/>
    <m/>
    <m/>
    <n v="14"/>
    <s v="Pending"/>
    <d v="2025-03-01T00:00:00"/>
    <n v="2025"/>
    <n v="1"/>
    <s v="No"/>
  </r>
  <r>
    <s v="SR-2025-01466"/>
    <x v="3"/>
    <s v="Pothole Repair"/>
    <s v="High"/>
    <x v="0"/>
    <s v="Ward 2"/>
    <x v="56"/>
    <d v="2025-11-24T00:00:00"/>
    <s v="In Person"/>
    <n v="4"/>
    <n v="7"/>
    <n v="7"/>
    <s v="Yes"/>
    <d v="2025-11-01T00:00:00"/>
    <n v="2025"/>
    <n v="4"/>
    <s v="Yes"/>
  </r>
  <r>
    <s v="SR-2025-01467"/>
    <x v="4"/>
    <s v="Water Quality Concern"/>
    <s v="Low"/>
    <x v="0"/>
    <s v="Ward 3"/>
    <x v="114"/>
    <d v="2025-06-14T00:00:00"/>
    <s v="In Person"/>
    <n v="5"/>
    <n v="14"/>
    <n v="14"/>
    <s v="Yes"/>
    <d v="2025-05-01T00:00:00"/>
    <n v="2025"/>
    <n v="2"/>
    <s v="Yes"/>
  </r>
  <r>
    <s v="SR-2025-01468"/>
    <x v="2"/>
    <s v="Illegal Dumping"/>
    <s v="Medium"/>
    <x v="0"/>
    <s v="Ward 5"/>
    <x v="270"/>
    <d v="2025-06-08T00:00:00"/>
    <s v="Mobile App"/>
    <n v="5"/>
    <n v="10"/>
    <n v="10"/>
    <s v="Yes"/>
    <d v="2025-05-01T00:00:00"/>
    <n v="2025"/>
    <n v="2"/>
    <s v="Yes"/>
  </r>
  <r>
    <s v="SR-2025-01469"/>
    <x v="1"/>
    <s v="Parking Complaint"/>
    <s v="Medium"/>
    <x v="0"/>
    <s v="Ward 4"/>
    <x v="22"/>
    <d v="2025-06-23T00:00:00"/>
    <s v="Web"/>
    <n v="3"/>
    <n v="4"/>
    <n v="10"/>
    <s v="Yes"/>
    <d v="2025-06-01T00:00:00"/>
    <n v="2025"/>
    <n v="2"/>
    <s v="Yes"/>
  </r>
  <r>
    <s v="SR-2025-01470"/>
    <x v="2"/>
    <s v="Green Bin Issue"/>
    <s v="Low"/>
    <x v="0"/>
    <s v="Ward 2"/>
    <x v="214"/>
    <d v="2025-01-10T00:00:00"/>
    <s v="Web"/>
    <n v="5"/>
    <n v="7"/>
    <n v="14"/>
    <s v="Yes"/>
    <d v="2025-01-01T00:00:00"/>
    <n v="2025"/>
    <n v="1"/>
    <s v="Yes"/>
  </r>
  <r>
    <s v="SR-2025-01471"/>
    <x v="1"/>
    <s v="Animal Complaint"/>
    <s v="Medium"/>
    <x v="0"/>
    <s v="Ward 5"/>
    <x v="13"/>
    <d v="2025-09-01T00:00:00"/>
    <s v="Phone"/>
    <n v="2"/>
    <n v="4"/>
    <n v="10"/>
    <s v="Yes"/>
    <d v="2025-08-01T00:00:00"/>
    <n v="2025"/>
    <n v="3"/>
    <s v="Yes"/>
  </r>
  <r>
    <s v="SR-2025-01472"/>
    <x v="2"/>
    <s v="Missed Garbage Pickup"/>
    <s v="High"/>
    <x v="0"/>
    <s v="Ward 3"/>
    <x v="150"/>
    <d v="2025-08-12T00:00:00"/>
    <s v="In Person"/>
    <n v="5"/>
    <n v="5"/>
    <n v="7"/>
    <s v="Yes"/>
    <d v="2025-08-01T00:00:00"/>
    <n v="2025"/>
    <n v="3"/>
    <s v="Yes"/>
  </r>
  <r>
    <s v="SR-2025-01473"/>
    <x v="4"/>
    <s v="Sewer Backup"/>
    <s v="Medium"/>
    <x v="0"/>
    <s v="Ward 1"/>
    <x v="265"/>
    <d v="2025-04-17T00:00:00"/>
    <s v="Phone"/>
    <n v="4"/>
    <n v="3"/>
    <n v="10"/>
    <s v="Yes"/>
    <d v="2025-04-01T00:00:00"/>
    <n v="2025"/>
    <n v="2"/>
    <s v="Yes"/>
  </r>
  <r>
    <s v="SR-2025-01474"/>
    <x v="2"/>
    <s v="Recycling Issue"/>
    <s v="Medium"/>
    <x v="0"/>
    <s v="Ward 5"/>
    <x v="289"/>
    <d v="2025-10-03T00:00:00"/>
    <s v="In Person"/>
    <n v="4"/>
    <n v="8"/>
    <n v="10"/>
    <s v="Yes"/>
    <d v="2025-09-01T00:00:00"/>
    <n v="2025"/>
    <n v="3"/>
    <s v="Yes"/>
  </r>
  <r>
    <s v="SR-2025-01475"/>
    <x v="2"/>
    <s v="Green Bin Issue"/>
    <s v="Low"/>
    <x v="0"/>
    <s v="Ward 5"/>
    <x v="358"/>
    <d v="2025-05-05T00:00:00"/>
    <s v="Phone"/>
    <n v="2"/>
    <n v="6"/>
    <n v="14"/>
    <s v="Yes"/>
    <d v="2025-04-01T00:00:00"/>
    <n v="2025"/>
    <n v="2"/>
    <s v="Yes"/>
  </r>
  <r>
    <s v="SR-2025-01476"/>
    <x v="5"/>
    <s v="Park Equipment Damage"/>
    <s v="Medium"/>
    <x v="0"/>
    <s v="Ward 4"/>
    <x v="153"/>
    <d v="2025-02-11T00:00:00"/>
    <s v="Email"/>
    <n v="3"/>
    <n v="2"/>
    <n v="10"/>
    <s v="Yes"/>
    <d v="2025-02-01T00:00:00"/>
    <n v="2025"/>
    <n v="1"/>
    <s v="Yes"/>
  </r>
  <r>
    <s v="SR-2025-01477"/>
    <x v="0"/>
    <s v="Traffic Concern"/>
    <s v="Medium"/>
    <x v="0"/>
    <s v="Ward 4"/>
    <x v="220"/>
    <d v="2025-03-07T00:00:00"/>
    <s v="Email"/>
    <n v="4"/>
    <n v="5"/>
    <n v="10"/>
    <s v="Yes"/>
    <d v="2025-03-01T00:00:00"/>
    <n v="2025"/>
    <n v="1"/>
    <s v="Yes"/>
  </r>
  <r>
    <s v="SR-2025-01478"/>
    <x v="0"/>
    <s v="Traffic Concern"/>
    <s v="Medium"/>
    <x v="1"/>
    <s v="Ward 5"/>
    <x v="346"/>
    <m/>
    <s v="Web"/>
    <m/>
    <m/>
    <n v="10"/>
    <s v="Pending"/>
    <d v="2025-06-01T00:00:00"/>
    <n v="2025"/>
    <n v="2"/>
    <s v="No"/>
  </r>
  <r>
    <s v="SR-2025-01479"/>
    <x v="1"/>
    <s v="Property Standards"/>
    <s v="Critical"/>
    <x v="2"/>
    <s v="Ward 2"/>
    <x v="316"/>
    <m/>
    <s v="Email"/>
    <m/>
    <m/>
    <n v="3"/>
    <s v="Pending"/>
    <d v="2025-05-01T00:00:00"/>
    <n v="2025"/>
    <n v="2"/>
    <s v="No"/>
  </r>
  <r>
    <s v="SR-2025-01480"/>
    <x v="1"/>
    <s v="Animal Complaint"/>
    <s v="Medium"/>
    <x v="1"/>
    <s v="Ward 1"/>
    <x v="255"/>
    <m/>
    <s v="In Person"/>
    <m/>
    <m/>
    <n v="10"/>
    <s v="Pending"/>
    <d v="2025-12-01T00:00:00"/>
    <n v="2025"/>
    <n v="4"/>
    <s v="No"/>
  </r>
  <r>
    <s v="SR-2025-01481"/>
    <x v="4"/>
    <s v="Sewer Backup"/>
    <s v="Low"/>
    <x v="2"/>
    <s v="Ward 3"/>
    <x v="345"/>
    <m/>
    <s v="Email"/>
    <m/>
    <m/>
    <n v="14"/>
    <s v="Pending"/>
    <d v="2025-08-01T00:00:00"/>
    <n v="2025"/>
    <n v="3"/>
    <s v="No"/>
  </r>
  <r>
    <s v="SR-2025-01482"/>
    <x v="5"/>
    <s v="Park Equipment Damage"/>
    <s v="Medium"/>
    <x v="0"/>
    <s v="Ward 5"/>
    <x v="353"/>
    <d v="2025-01-11T00:00:00"/>
    <s v="Phone"/>
    <n v="4"/>
    <n v="5"/>
    <n v="10"/>
    <s v="Yes"/>
    <d v="2025-01-01T00:00:00"/>
    <n v="2025"/>
    <n v="1"/>
    <s v="Yes"/>
  </r>
  <r>
    <s v="SR-2025-01483"/>
    <x v="3"/>
    <s v="Sidewalk Damage"/>
    <s v="Medium"/>
    <x v="2"/>
    <s v="Ward 5"/>
    <x v="196"/>
    <m/>
    <s v="Web"/>
    <m/>
    <m/>
    <n v="10"/>
    <s v="Pending"/>
    <d v="2025-05-01T00:00:00"/>
    <n v="2025"/>
    <n v="2"/>
    <s v="No"/>
  </r>
  <r>
    <s v="SR-2025-01484"/>
    <x v="1"/>
    <s v="Parking Complaint"/>
    <s v="Low"/>
    <x v="0"/>
    <s v="Ward 3"/>
    <x v="159"/>
    <d v="2025-09-12T00:00:00"/>
    <s v="Mobile App"/>
    <n v="2"/>
    <n v="9"/>
    <n v="14"/>
    <s v="Yes"/>
    <d v="2025-09-01T00:00:00"/>
    <n v="2025"/>
    <n v="3"/>
    <s v="Yes"/>
  </r>
  <r>
    <s v="SR-2025-01485"/>
    <x v="0"/>
    <s v="Streetlight Repair"/>
    <s v="Critical"/>
    <x v="1"/>
    <s v="Ward 5"/>
    <x v="178"/>
    <m/>
    <s v="Email"/>
    <m/>
    <m/>
    <n v="3"/>
    <s v="Pending"/>
    <d v="2025-08-01T00:00:00"/>
    <n v="2025"/>
    <n v="3"/>
    <s v="No"/>
  </r>
  <r>
    <s v="SR-2025-01486"/>
    <x v="4"/>
    <s v="Low Water Pressure"/>
    <s v="Medium"/>
    <x v="2"/>
    <s v="Ward 1"/>
    <x v="325"/>
    <m/>
    <s v="Web"/>
    <m/>
    <m/>
    <n v="10"/>
    <s v="Pending"/>
    <d v="2025-10-01T00:00:00"/>
    <n v="2025"/>
    <n v="4"/>
    <s v="No"/>
  </r>
  <r>
    <s v="SR-2025-01487"/>
    <x v="2"/>
    <s v="Missed Garbage Pickup"/>
    <s v="Medium"/>
    <x v="0"/>
    <s v="Ward 2"/>
    <x v="37"/>
    <d v="2026-01-01T00:00:00"/>
    <s v="Web"/>
    <n v="5"/>
    <n v="4"/>
    <n v="10"/>
    <s v="Yes"/>
    <d v="2025-12-01T00:00:00"/>
    <n v="2025"/>
    <n v="4"/>
    <s v="Yes"/>
  </r>
  <r>
    <s v="SR-2025-01488"/>
    <x v="4"/>
    <s v="Water Leak"/>
    <s v="Low"/>
    <x v="0"/>
    <s v="Ward 5"/>
    <x v="306"/>
    <d v="2025-02-09T00:00:00"/>
    <s v="Mobile App"/>
    <n v="2"/>
    <n v="8"/>
    <n v="14"/>
    <s v="Yes"/>
    <d v="2025-02-01T00:00:00"/>
    <n v="2025"/>
    <n v="1"/>
    <s v="Yes"/>
  </r>
  <r>
    <s v="SR-2025-01489"/>
    <x v="5"/>
    <s v="Tree Maintenance"/>
    <s v="Medium"/>
    <x v="0"/>
    <s v="Ward 5"/>
    <x v="346"/>
    <d v="2025-06-16T00:00:00"/>
    <s v="Mobile App"/>
    <n v="5"/>
    <n v="4"/>
    <n v="10"/>
    <s v="Yes"/>
    <d v="2025-06-01T00:00:00"/>
    <n v="2025"/>
    <n v="2"/>
    <s v="Yes"/>
  </r>
  <r>
    <s v="SR-2025-01490"/>
    <x v="1"/>
    <s v="Noise Complaint"/>
    <s v="Critical"/>
    <x v="0"/>
    <s v="Ward 5"/>
    <x v="339"/>
    <d v="2025-12-08T00:00:00"/>
    <s v="Phone"/>
    <n v="2"/>
    <n v="0"/>
    <n v="3"/>
    <s v="Yes"/>
    <d v="2025-12-01T00:00:00"/>
    <n v="2025"/>
    <n v="4"/>
    <s v="Yes"/>
  </r>
  <r>
    <s v="SR-2025-01491"/>
    <x v="0"/>
    <s v="Road Sign Damage"/>
    <s v="Low"/>
    <x v="0"/>
    <s v="Ward 5"/>
    <x v="75"/>
    <d v="2025-06-03T00:00:00"/>
    <s v="Email"/>
    <n v="3"/>
    <n v="12"/>
    <n v="14"/>
    <s v="Yes"/>
    <d v="2025-05-01T00:00:00"/>
    <n v="2025"/>
    <n v="2"/>
    <s v="Yes"/>
  </r>
  <r>
    <s v="SR-2025-01492"/>
    <x v="5"/>
    <s v="Tree Maintenance"/>
    <s v="Medium"/>
    <x v="0"/>
    <s v="Ward 1"/>
    <x v="220"/>
    <d v="2025-03-09T00:00:00"/>
    <s v="In Person"/>
    <n v="4"/>
    <n v="7"/>
    <n v="10"/>
    <s v="Yes"/>
    <d v="2025-03-01T00:00:00"/>
    <n v="2025"/>
    <n v="1"/>
    <s v="Yes"/>
  </r>
  <r>
    <s v="SR-2025-01493"/>
    <x v="4"/>
    <s v="Water Leak"/>
    <s v="Low"/>
    <x v="0"/>
    <s v="Ward 1"/>
    <x v="184"/>
    <d v="2025-02-19T00:00:00"/>
    <s v="Phone"/>
    <n v="4"/>
    <n v="5"/>
    <n v="14"/>
    <s v="Yes"/>
    <d v="2025-02-01T00:00:00"/>
    <n v="2025"/>
    <n v="1"/>
    <s v="Yes"/>
  </r>
  <r>
    <s v="SR-2025-01494"/>
    <x v="3"/>
    <s v="Road Damage"/>
    <s v="Medium"/>
    <x v="0"/>
    <s v="Ward 2"/>
    <x v="219"/>
    <d v="2025-05-13T00:00:00"/>
    <s v="Phone"/>
    <n v="5"/>
    <n v="6"/>
    <n v="10"/>
    <s v="Yes"/>
    <d v="2025-05-01T00:00:00"/>
    <n v="2025"/>
    <n v="2"/>
    <s v="Yes"/>
  </r>
  <r>
    <s v="SR-2025-01495"/>
    <x v="2"/>
    <s v="Missed Garbage Pickup"/>
    <s v="Medium"/>
    <x v="0"/>
    <s v="Ward 4"/>
    <x v="316"/>
    <d v="2025-05-27T00:00:00"/>
    <s v="Phone"/>
    <n v="4"/>
    <n v="4"/>
    <n v="10"/>
    <s v="Yes"/>
    <d v="2025-05-01T00:00:00"/>
    <n v="2025"/>
    <n v="2"/>
    <s v="Yes"/>
  </r>
  <r>
    <s v="SR-2025-01496"/>
    <x v="5"/>
    <s v="Grass Cutting"/>
    <s v="High"/>
    <x v="0"/>
    <s v="Ward 3"/>
    <x v="137"/>
    <d v="2025-06-04T00:00:00"/>
    <s v="Web"/>
    <n v="5"/>
    <n v="3"/>
    <n v="7"/>
    <s v="Yes"/>
    <d v="2025-06-01T00:00:00"/>
    <n v="2025"/>
    <n v="2"/>
    <s v="Yes"/>
  </r>
  <r>
    <s v="SR-2025-01497"/>
    <x v="4"/>
    <s v="Sewer Backup"/>
    <s v="Medium"/>
    <x v="0"/>
    <s v="Ward 2"/>
    <x v="189"/>
    <d v="2025-12-05T00:00:00"/>
    <s v="Web"/>
    <n v="4"/>
    <n v="10"/>
    <n v="10"/>
    <s v="Yes"/>
    <d v="2025-11-01T00:00:00"/>
    <n v="2025"/>
    <n v="4"/>
    <s v="Yes"/>
  </r>
  <r>
    <s v="SR-2025-01498"/>
    <x v="1"/>
    <s v="Animal Complaint"/>
    <s v="Low"/>
    <x v="0"/>
    <s v="Ward 3"/>
    <x v="293"/>
    <d v="2026-01-04T00:00:00"/>
    <s v="Phone"/>
    <n v="4"/>
    <n v="9"/>
    <n v="14"/>
    <s v="Yes"/>
    <d v="2025-12-01T00:00:00"/>
    <n v="2025"/>
    <n v="4"/>
    <s v="Yes"/>
  </r>
  <r>
    <s v="SR-2025-01499"/>
    <x v="2"/>
    <s v="Illegal Dumping"/>
    <s v="Low"/>
    <x v="1"/>
    <s v="Ward 2"/>
    <x v="229"/>
    <m/>
    <s v="Email"/>
    <m/>
    <m/>
    <n v="14"/>
    <s v="Pending"/>
    <d v="2025-05-01T00:00:00"/>
    <n v="2025"/>
    <n v="2"/>
    <s v="No"/>
  </r>
  <r>
    <s v="SR-2025-01500"/>
    <x v="2"/>
    <s v="Missed Garbage Pickup"/>
    <s v="High"/>
    <x v="0"/>
    <s v="Ward 4"/>
    <x v="359"/>
    <d v="2025-11-22T00:00:00"/>
    <s v="In Person"/>
    <n v="4"/>
    <n v="2"/>
    <n v="7"/>
    <s v="Yes"/>
    <d v="2025-11-01T00:00:00"/>
    <n v="2025"/>
    <n v="4"/>
    <s v="Yes"/>
  </r>
  <r>
    <s v="SR-2025-01501"/>
    <x v="2"/>
    <s v="Illegal Dumping"/>
    <s v="Medium"/>
    <x v="0"/>
    <s v="Ward 3"/>
    <x v="356"/>
    <d v="2025-01-25T00:00:00"/>
    <s v="Web"/>
    <n v="5"/>
    <n v="7"/>
    <n v="10"/>
    <s v="Yes"/>
    <d v="2025-01-01T00:00:00"/>
    <n v="2025"/>
    <n v="1"/>
    <s v="Yes"/>
  </r>
  <r>
    <s v="SR-2025-01502"/>
    <x v="5"/>
    <s v="Trail Maintenance"/>
    <s v="Medium"/>
    <x v="0"/>
    <s v="Ward 3"/>
    <x v="311"/>
    <d v="2025-02-25T00:00:00"/>
    <s v="Phone"/>
    <n v="5"/>
    <n v="4"/>
    <n v="10"/>
    <s v="Yes"/>
    <d v="2025-02-01T00:00:00"/>
    <n v="2025"/>
    <n v="1"/>
    <s v="Yes"/>
  </r>
  <r>
    <s v="SR-2025-01503"/>
    <x v="4"/>
    <s v="Low Water Pressure"/>
    <s v="High"/>
    <x v="0"/>
    <s v="Ward 4"/>
    <x v="205"/>
    <d v="2025-11-16T00:00:00"/>
    <s v="Email"/>
    <n v="4"/>
    <n v="4"/>
    <n v="7"/>
    <s v="Yes"/>
    <d v="2025-11-01T00:00:00"/>
    <n v="2025"/>
    <n v="4"/>
    <s v="Yes"/>
  </r>
  <r>
    <s v="SR-2025-01504"/>
    <x v="4"/>
    <s v="Low Water Pressure"/>
    <s v="Medium"/>
    <x v="0"/>
    <s v="Ward 3"/>
    <x v="183"/>
    <d v="2025-07-01T00:00:00"/>
    <s v="Web"/>
    <n v="5"/>
    <n v="9"/>
    <n v="10"/>
    <s v="Yes"/>
    <d v="2025-06-01T00:00:00"/>
    <n v="2025"/>
    <n v="2"/>
    <s v="Yes"/>
  </r>
  <r>
    <s v="SR-2025-01505"/>
    <x v="5"/>
    <s v="Tree Maintenance"/>
    <s v="Medium"/>
    <x v="1"/>
    <s v="Ward 4"/>
    <x v="249"/>
    <m/>
    <s v="In Person"/>
    <m/>
    <m/>
    <n v="10"/>
    <s v="Pending"/>
    <d v="2025-10-01T00:00:00"/>
    <n v="2025"/>
    <n v="4"/>
    <s v="No"/>
  </r>
  <r>
    <s v="SR-2025-01506"/>
    <x v="3"/>
    <s v="Road Damage"/>
    <s v="Medium"/>
    <x v="2"/>
    <s v="Ward 5"/>
    <x v="138"/>
    <m/>
    <s v="Phone"/>
    <m/>
    <m/>
    <n v="10"/>
    <s v="Pending"/>
    <d v="2025-11-01T00:00:00"/>
    <n v="2025"/>
    <n v="4"/>
    <s v="No"/>
  </r>
  <r>
    <s v="SR-2025-01507"/>
    <x v="1"/>
    <s v="Property Standards"/>
    <s v="Low"/>
    <x v="0"/>
    <s v="Ward 2"/>
    <x v="216"/>
    <d v="2025-02-01T00:00:00"/>
    <s v="Mobile App"/>
    <n v="4"/>
    <n v="4"/>
    <n v="14"/>
    <s v="Yes"/>
    <d v="2025-01-01T00:00:00"/>
    <n v="2025"/>
    <n v="1"/>
    <s v="Yes"/>
  </r>
  <r>
    <s v="SR-2025-01508"/>
    <x v="4"/>
    <s v="Water Quality Concern"/>
    <s v="Low"/>
    <x v="0"/>
    <s v="Ward 3"/>
    <x v="110"/>
    <d v="2025-03-23T00:00:00"/>
    <s v="Mobile App"/>
    <n v="5"/>
    <n v="6"/>
    <n v="14"/>
    <s v="Yes"/>
    <d v="2025-03-01T00:00:00"/>
    <n v="2025"/>
    <n v="1"/>
    <s v="Yes"/>
  </r>
  <r>
    <s v="SR-2025-01509"/>
    <x v="3"/>
    <s v="Road Damage"/>
    <s v="Low"/>
    <x v="0"/>
    <s v="Ward 5"/>
    <x v="100"/>
    <d v="2025-03-02T00:00:00"/>
    <s v="Mobile App"/>
    <n v="3"/>
    <n v="14"/>
    <n v="14"/>
    <s v="Yes"/>
    <d v="2025-02-01T00:00:00"/>
    <n v="2025"/>
    <n v="1"/>
    <s v="Yes"/>
  </r>
  <r>
    <s v="SR-2025-01510"/>
    <x v="3"/>
    <s v="Snow Removal"/>
    <s v="Low"/>
    <x v="0"/>
    <s v="Ward 2"/>
    <x v="19"/>
    <d v="2025-10-22T00:00:00"/>
    <s v="Email"/>
    <n v="4"/>
    <n v="13"/>
    <n v="14"/>
    <s v="Yes"/>
    <d v="2025-10-01T00:00:00"/>
    <n v="2025"/>
    <n v="4"/>
    <s v="Yes"/>
  </r>
  <r>
    <s v="SR-2025-01511"/>
    <x v="0"/>
    <s v="Traffic Concern"/>
    <s v="High"/>
    <x v="0"/>
    <s v="Ward 2"/>
    <x v="106"/>
    <d v="2025-02-23T00:00:00"/>
    <s v="Email"/>
    <n v="3"/>
    <n v="4"/>
    <n v="7"/>
    <s v="Yes"/>
    <d v="2025-02-01T00:00:00"/>
    <n v="2025"/>
    <n v="1"/>
    <s v="Yes"/>
  </r>
  <r>
    <s v="SR-2025-01512"/>
    <x v="2"/>
    <s v="Illegal Dumping"/>
    <s v="High"/>
    <x v="0"/>
    <s v="Ward 1"/>
    <x v="317"/>
    <d v="2025-08-11T00:00:00"/>
    <s v="Mobile App"/>
    <n v="4"/>
    <n v="5"/>
    <n v="7"/>
    <s v="Yes"/>
    <d v="2025-08-01T00:00:00"/>
    <n v="2025"/>
    <n v="3"/>
    <s v="Yes"/>
  </r>
  <r>
    <s v="SR-2025-01513"/>
    <x v="4"/>
    <s v="Water Leak"/>
    <s v="Low"/>
    <x v="0"/>
    <s v="Ward 5"/>
    <x v="52"/>
    <d v="2025-05-09T00:00:00"/>
    <s v="Web"/>
    <n v="4"/>
    <n v="8"/>
    <n v="14"/>
    <s v="Yes"/>
    <d v="2025-05-01T00:00:00"/>
    <n v="2025"/>
    <n v="2"/>
    <s v="Yes"/>
  </r>
  <r>
    <s v="SR-2025-01514"/>
    <x v="1"/>
    <s v="Animal Complaint"/>
    <s v="High"/>
    <x v="0"/>
    <s v="Ward 2"/>
    <x v="241"/>
    <d v="2025-03-16T00:00:00"/>
    <s v="Mobile App"/>
    <n v="3"/>
    <n v="4"/>
    <n v="7"/>
    <s v="Yes"/>
    <d v="2025-03-01T00:00:00"/>
    <n v="2025"/>
    <n v="1"/>
    <s v="Yes"/>
  </r>
  <r>
    <s v="SR-2025-01515"/>
    <x v="4"/>
    <s v="Water Leak"/>
    <s v="Medium"/>
    <x v="0"/>
    <s v="Ward 4"/>
    <x v="317"/>
    <d v="2025-08-10T00:00:00"/>
    <s v="Email"/>
    <n v="3"/>
    <n v="4"/>
    <n v="10"/>
    <s v="Yes"/>
    <d v="2025-08-01T00:00:00"/>
    <n v="2025"/>
    <n v="3"/>
    <s v="Yes"/>
  </r>
  <r>
    <s v="SR-2025-01516"/>
    <x v="3"/>
    <s v="Sidewalk Damage"/>
    <s v="Critical"/>
    <x v="0"/>
    <s v="Ward 1"/>
    <x v="171"/>
    <d v="2025-03-28T00:00:00"/>
    <s v="Email"/>
    <n v="5"/>
    <n v="3"/>
    <n v="3"/>
    <s v="Yes"/>
    <d v="2025-03-01T00:00:00"/>
    <n v="2025"/>
    <n v="1"/>
    <s v="Yes"/>
  </r>
  <r>
    <s v="SR-2025-01517"/>
    <x v="3"/>
    <s v="Sidewalk Damage"/>
    <s v="Medium"/>
    <x v="0"/>
    <s v="Ward 2"/>
    <x v="213"/>
    <d v="2025-07-29T00:00:00"/>
    <s v="In Person"/>
    <n v="3"/>
    <n v="2"/>
    <n v="10"/>
    <s v="Yes"/>
    <d v="2025-07-01T00:00:00"/>
    <n v="2025"/>
    <n v="3"/>
    <s v="Yes"/>
  </r>
  <r>
    <s v="SR-2025-01518"/>
    <x v="1"/>
    <s v="Animal Complaint"/>
    <s v="Medium"/>
    <x v="0"/>
    <s v="Ward 1"/>
    <x v="251"/>
    <d v="2025-12-09T00:00:00"/>
    <s v="Mobile App"/>
    <n v="4"/>
    <n v="8"/>
    <n v="10"/>
    <s v="Yes"/>
    <d v="2025-12-01T00:00:00"/>
    <n v="2025"/>
    <n v="4"/>
    <s v="Yes"/>
  </r>
  <r>
    <s v="SR-2025-01519"/>
    <x v="4"/>
    <s v="Sewer Backup"/>
    <s v="High"/>
    <x v="0"/>
    <s v="Ward 4"/>
    <x v="139"/>
    <d v="2025-08-24T00:00:00"/>
    <s v="Mobile App"/>
    <n v="4"/>
    <n v="5"/>
    <n v="7"/>
    <s v="Yes"/>
    <d v="2025-08-01T00:00:00"/>
    <n v="2025"/>
    <n v="3"/>
    <s v="Yes"/>
  </r>
  <r>
    <s v="SR-2025-01520"/>
    <x v="1"/>
    <s v="Parking Complaint"/>
    <s v="Low"/>
    <x v="0"/>
    <s v="Ward 1"/>
    <x v="317"/>
    <d v="2025-08-17T00:00:00"/>
    <s v="Phone"/>
    <n v="5"/>
    <n v="11"/>
    <n v="14"/>
    <s v="Yes"/>
    <d v="2025-08-01T00:00:00"/>
    <n v="2025"/>
    <n v="3"/>
    <s v="Yes"/>
  </r>
  <r>
    <s v="SR-2025-01521"/>
    <x v="3"/>
    <s v="Sidewalk Damage"/>
    <s v="Critical"/>
    <x v="0"/>
    <s v="Ward 5"/>
    <x v="229"/>
    <d v="2025-05-14T00:00:00"/>
    <s v="Email"/>
    <n v="4"/>
    <n v="1"/>
    <n v="3"/>
    <s v="Yes"/>
    <d v="2025-05-01T00:00:00"/>
    <n v="2025"/>
    <n v="2"/>
    <s v="Yes"/>
  </r>
  <r>
    <s v="SR-2025-01522"/>
    <x v="4"/>
    <s v="Water Leak"/>
    <s v="Medium"/>
    <x v="0"/>
    <s v="Ward 5"/>
    <x v="107"/>
    <d v="2025-09-17T00:00:00"/>
    <s v="Mobile App"/>
    <n v="4"/>
    <n v="9"/>
    <n v="10"/>
    <s v="Yes"/>
    <d v="2025-09-01T00:00:00"/>
    <n v="2025"/>
    <n v="3"/>
    <s v="Yes"/>
  </r>
  <r>
    <s v="SR-2025-01523"/>
    <x v="2"/>
    <s v="Green Bin Issue"/>
    <s v="Medium"/>
    <x v="0"/>
    <s v="Ward 3"/>
    <x v="104"/>
    <d v="2025-01-23T00:00:00"/>
    <s v="Mobile App"/>
    <n v="3"/>
    <n v="10"/>
    <n v="10"/>
    <s v="Yes"/>
    <d v="2025-01-01T00:00:00"/>
    <n v="2025"/>
    <n v="1"/>
    <s v="Yes"/>
  </r>
  <r>
    <s v="SR-2025-01524"/>
    <x v="4"/>
    <s v="Water Leak"/>
    <s v="Medium"/>
    <x v="0"/>
    <s v="Ward 1"/>
    <x v="230"/>
    <d v="2025-01-22T00:00:00"/>
    <s v="In Person"/>
    <n v="4"/>
    <n v="3"/>
    <n v="10"/>
    <s v="Yes"/>
    <d v="2025-01-01T00:00:00"/>
    <n v="2025"/>
    <n v="1"/>
    <s v="Yes"/>
  </r>
  <r>
    <s v="SR-2025-01525"/>
    <x v="0"/>
    <s v="Traffic Concern"/>
    <s v="Low"/>
    <x v="0"/>
    <s v="Ward 4"/>
    <x v="198"/>
    <d v="2025-02-23T00:00:00"/>
    <s v="Email"/>
    <n v="5"/>
    <n v="5"/>
    <n v="14"/>
    <s v="Yes"/>
    <d v="2025-02-01T00:00:00"/>
    <n v="2025"/>
    <n v="1"/>
    <s v="Yes"/>
  </r>
  <r>
    <s v="SR-2025-01526"/>
    <x v="2"/>
    <s v="Illegal Dumping"/>
    <s v="Critical"/>
    <x v="0"/>
    <s v="Ward 3"/>
    <x v="212"/>
    <d v="2025-05-08T00:00:00"/>
    <s v="Mobile App"/>
    <n v="2"/>
    <n v="3"/>
    <n v="3"/>
    <s v="Yes"/>
    <d v="2025-05-01T00:00:00"/>
    <n v="2025"/>
    <n v="2"/>
    <s v="Yes"/>
  </r>
  <r>
    <s v="SR-2025-01527"/>
    <x v="3"/>
    <s v="Road Damage"/>
    <s v="Medium"/>
    <x v="0"/>
    <s v="Ward 1"/>
    <x v="311"/>
    <d v="2025-03-01T00:00:00"/>
    <s v="Mobile App"/>
    <n v="4"/>
    <n v="8"/>
    <n v="10"/>
    <s v="Yes"/>
    <d v="2025-02-01T00:00:00"/>
    <n v="2025"/>
    <n v="1"/>
    <s v="Yes"/>
  </r>
  <r>
    <s v="SR-2025-01528"/>
    <x v="0"/>
    <s v="Road Sign Damage"/>
    <s v="Medium"/>
    <x v="0"/>
    <s v="Ward 4"/>
    <x v="177"/>
    <d v="2025-05-15T00:00:00"/>
    <s v="Web"/>
    <n v="5"/>
    <n v="3"/>
    <n v="10"/>
    <s v="Yes"/>
    <d v="2025-05-01T00:00:00"/>
    <n v="2025"/>
    <n v="2"/>
    <s v="Yes"/>
  </r>
  <r>
    <s v="SR-2025-01529"/>
    <x v="5"/>
    <s v="Grass Cutting"/>
    <s v="Critical"/>
    <x v="0"/>
    <s v="Ward 1"/>
    <x v="62"/>
    <d v="2025-10-05T00:00:00"/>
    <s v="Mobile App"/>
    <n v="5"/>
    <n v="1"/>
    <n v="3"/>
    <s v="Yes"/>
    <d v="2025-10-01T00:00:00"/>
    <n v="2025"/>
    <n v="4"/>
    <s v="Yes"/>
  </r>
  <r>
    <s v="SR-2025-01530"/>
    <x v="1"/>
    <s v="Animal Complaint"/>
    <s v="Low"/>
    <x v="2"/>
    <s v="Ward 2"/>
    <x v="161"/>
    <m/>
    <s v="Mobile App"/>
    <m/>
    <m/>
    <n v="14"/>
    <s v="Pending"/>
    <d v="2025-05-01T00:00:00"/>
    <n v="2025"/>
    <n v="2"/>
    <s v="No"/>
  </r>
  <r>
    <s v="SR-2025-01531"/>
    <x v="1"/>
    <s v="Noise Complaint"/>
    <s v="Medium"/>
    <x v="2"/>
    <s v="Ward 3"/>
    <x v="122"/>
    <m/>
    <s v="Mobile App"/>
    <m/>
    <m/>
    <n v="10"/>
    <s v="Pending"/>
    <d v="2025-12-01T00:00:00"/>
    <n v="2025"/>
    <n v="4"/>
    <s v="No"/>
  </r>
  <r>
    <s v="SR-2025-01532"/>
    <x v="3"/>
    <s v="Snow Removal"/>
    <s v="Low"/>
    <x v="1"/>
    <s v="Ward 2"/>
    <x v="243"/>
    <m/>
    <s v="Mobile App"/>
    <m/>
    <m/>
    <n v="14"/>
    <s v="Pending"/>
    <d v="2025-12-01T00:00:00"/>
    <n v="2025"/>
    <n v="4"/>
    <s v="No"/>
  </r>
  <r>
    <s v="SR-2025-01533"/>
    <x v="2"/>
    <s v="Green Bin Issue"/>
    <s v="Medium"/>
    <x v="2"/>
    <s v="Ward 1"/>
    <x v="346"/>
    <m/>
    <s v="Phone"/>
    <m/>
    <m/>
    <n v="10"/>
    <s v="Pending"/>
    <d v="2025-06-01T00:00:00"/>
    <n v="2025"/>
    <n v="2"/>
    <s v="No"/>
  </r>
  <r>
    <s v="SR-2025-01534"/>
    <x v="5"/>
    <s v="Tree Maintenance"/>
    <s v="High"/>
    <x v="0"/>
    <s v="Ward 5"/>
    <x v="34"/>
    <d v="2025-11-13T00:00:00"/>
    <s v="Email"/>
    <n v="5"/>
    <n v="3"/>
    <n v="7"/>
    <s v="Yes"/>
    <d v="2025-11-01T00:00:00"/>
    <n v="2025"/>
    <n v="4"/>
    <s v="Yes"/>
  </r>
  <r>
    <s v="SR-2025-01535"/>
    <x v="1"/>
    <s v="Animal Complaint"/>
    <s v="Medium"/>
    <x v="0"/>
    <s v="Ward 1"/>
    <x v="58"/>
    <d v="2025-07-28T00:00:00"/>
    <s v="Mobile App"/>
    <n v="5"/>
    <n v="9"/>
    <n v="10"/>
    <s v="Yes"/>
    <d v="2025-07-01T00:00:00"/>
    <n v="2025"/>
    <n v="3"/>
    <s v="Yes"/>
  </r>
  <r>
    <s v="SR-2025-01536"/>
    <x v="2"/>
    <s v="Illegal Dumping"/>
    <s v="Medium"/>
    <x v="0"/>
    <s v="Ward 2"/>
    <x v="7"/>
    <d v="2025-09-03T00:00:00"/>
    <s v="Email"/>
    <n v="3"/>
    <n v="9"/>
    <n v="10"/>
    <s v="Yes"/>
    <d v="2025-08-01T00:00:00"/>
    <n v="2025"/>
    <n v="3"/>
    <s v="Yes"/>
  </r>
  <r>
    <s v="SR-2025-01537"/>
    <x v="2"/>
    <s v="Green Bin Issue"/>
    <s v="Low"/>
    <x v="1"/>
    <s v="Ward 4"/>
    <x v="141"/>
    <m/>
    <s v="In Person"/>
    <m/>
    <m/>
    <n v="14"/>
    <s v="Pending"/>
    <d v="2025-02-01T00:00:00"/>
    <n v="2025"/>
    <n v="1"/>
    <s v="No"/>
  </r>
  <r>
    <s v="SR-2025-01538"/>
    <x v="2"/>
    <s v="Missed Garbage Pickup"/>
    <s v="Low"/>
    <x v="2"/>
    <s v="Ward 3"/>
    <x v="6"/>
    <m/>
    <s v="Mobile App"/>
    <m/>
    <m/>
    <n v="14"/>
    <s v="Pending"/>
    <d v="2025-07-01T00:00:00"/>
    <n v="2025"/>
    <n v="3"/>
    <s v="No"/>
  </r>
  <r>
    <s v="SR-2025-01539"/>
    <x v="2"/>
    <s v="Green Bin Issue"/>
    <s v="Medium"/>
    <x v="0"/>
    <s v="Ward 5"/>
    <x v="47"/>
    <d v="2025-11-20T00:00:00"/>
    <s v="Email"/>
    <n v="4"/>
    <n v="4"/>
    <n v="10"/>
    <s v="Yes"/>
    <d v="2025-11-01T00:00:00"/>
    <n v="2025"/>
    <n v="4"/>
    <s v="Yes"/>
  </r>
  <r>
    <s v="SR-2025-01540"/>
    <x v="4"/>
    <s v="Water Leak"/>
    <s v="High"/>
    <x v="0"/>
    <s v="Ward 5"/>
    <x v="72"/>
    <d v="2025-09-11T00:00:00"/>
    <s v="Phone"/>
    <n v="4"/>
    <n v="2"/>
    <n v="7"/>
    <s v="Yes"/>
    <d v="2025-09-01T00:00:00"/>
    <n v="2025"/>
    <n v="3"/>
    <s v="Yes"/>
  </r>
  <r>
    <s v="SR-2025-01541"/>
    <x v="4"/>
    <s v="Water Leak"/>
    <s v="Low"/>
    <x v="0"/>
    <s v="Ward 2"/>
    <x v="111"/>
    <d v="2025-03-10T00:00:00"/>
    <s v="Email"/>
    <n v="3"/>
    <n v="12"/>
    <n v="14"/>
    <s v="Yes"/>
    <d v="2025-02-01T00:00:00"/>
    <n v="2025"/>
    <n v="1"/>
    <s v="Yes"/>
  </r>
  <r>
    <s v="SR-2025-01542"/>
    <x v="1"/>
    <s v="Animal Complaint"/>
    <s v="Medium"/>
    <x v="0"/>
    <s v="Ward 3"/>
    <x v="89"/>
    <d v="2025-11-09T00:00:00"/>
    <s v="Web"/>
    <n v="4"/>
    <n v="6"/>
    <n v="10"/>
    <s v="Yes"/>
    <d v="2025-11-01T00:00:00"/>
    <n v="2025"/>
    <n v="4"/>
    <s v="Yes"/>
  </r>
  <r>
    <s v="SR-2025-01543"/>
    <x v="0"/>
    <s v="Road Sign Damage"/>
    <s v="Medium"/>
    <x v="0"/>
    <s v="Ward 4"/>
    <x v="103"/>
    <d v="2025-05-04T00:00:00"/>
    <s v="Mobile App"/>
    <n v="4"/>
    <n v="8"/>
    <n v="10"/>
    <s v="Yes"/>
    <d v="2025-04-01T00:00:00"/>
    <n v="2025"/>
    <n v="2"/>
    <s v="Yes"/>
  </r>
  <r>
    <s v="SR-2025-01544"/>
    <x v="4"/>
    <s v="Low Water Pressure"/>
    <s v="High"/>
    <x v="0"/>
    <s v="Ward 3"/>
    <x v="355"/>
    <d v="2025-05-29T00:00:00"/>
    <s v="Email"/>
    <n v="4"/>
    <n v="1"/>
    <n v="7"/>
    <s v="Yes"/>
    <d v="2025-05-01T00:00:00"/>
    <n v="2025"/>
    <n v="2"/>
    <s v="Yes"/>
  </r>
  <r>
    <s v="SR-2025-01545"/>
    <x v="0"/>
    <s v="Traffic Signal Issue"/>
    <s v="Medium"/>
    <x v="0"/>
    <s v="Ward 4"/>
    <x v="73"/>
    <d v="2025-11-02T00:00:00"/>
    <s v="Phone"/>
    <n v="5"/>
    <n v="8"/>
    <n v="10"/>
    <s v="Yes"/>
    <d v="2025-10-01T00:00:00"/>
    <n v="2025"/>
    <n v="4"/>
    <s v="Yes"/>
  </r>
  <r>
    <s v="SR-2025-01546"/>
    <x v="0"/>
    <s v="Streetlight Repair"/>
    <s v="Medium"/>
    <x v="0"/>
    <s v="Ward 5"/>
    <x v="240"/>
    <d v="2025-11-24T00:00:00"/>
    <s v="In Person"/>
    <n v="5"/>
    <n v="10"/>
    <n v="10"/>
    <s v="Yes"/>
    <d v="2025-11-01T00:00:00"/>
    <n v="2025"/>
    <n v="4"/>
    <s v="Yes"/>
  </r>
  <r>
    <s v="SR-2025-01547"/>
    <x v="0"/>
    <s v="Traffic Concern"/>
    <s v="Critical"/>
    <x v="0"/>
    <s v="Ward 4"/>
    <x v="269"/>
    <d v="2025-05-09T00:00:00"/>
    <s v="Web"/>
    <n v="4"/>
    <n v="1"/>
    <n v="3"/>
    <s v="Yes"/>
    <d v="2025-05-01T00:00:00"/>
    <n v="2025"/>
    <n v="2"/>
    <s v="Yes"/>
  </r>
  <r>
    <s v="SR-2025-01548"/>
    <x v="2"/>
    <s v="Missed Garbage Pickup"/>
    <s v="High"/>
    <x v="2"/>
    <s v="Ward 4"/>
    <x v="251"/>
    <m/>
    <s v="In Person"/>
    <m/>
    <m/>
    <n v="7"/>
    <s v="Pending"/>
    <d v="2025-12-01T00:00:00"/>
    <n v="2025"/>
    <n v="4"/>
    <s v="No"/>
  </r>
  <r>
    <s v="SR-2025-01549"/>
    <x v="1"/>
    <s v="Property Standards"/>
    <s v="High"/>
    <x v="0"/>
    <s v="Ward 2"/>
    <x v="333"/>
    <d v="2025-07-14T00:00:00"/>
    <s v="Email"/>
    <n v="5"/>
    <n v="6"/>
    <n v="7"/>
    <s v="Yes"/>
    <d v="2025-07-01T00:00:00"/>
    <n v="2025"/>
    <n v="3"/>
    <s v="Yes"/>
  </r>
  <r>
    <s v="SR-2025-01550"/>
    <x v="0"/>
    <s v="Traffic Signal Issue"/>
    <s v="Medium"/>
    <x v="0"/>
    <s v="Ward 4"/>
    <x v="63"/>
    <d v="2025-01-21T00:00:00"/>
    <s v="Phone"/>
    <n v="4"/>
    <n v="5"/>
    <n v="10"/>
    <s v="Yes"/>
    <d v="2025-01-01T00:00:00"/>
    <n v="2025"/>
    <n v="1"/>
    <s v="Yes"/>
  </r>
  <r>
    <s v="SR-2025-01551"/>
    <x v="0"/>
    <s v="Traffic Concern"/>
    <s v="Critical"/>
    <x v="1"/>
    <s v="Ward 5"/>
    <x v="7"/>
    <m/>
    <s v="Web"/>
    <m/>
    <m/>
    <n v="3"/>
    <s v="Pending"/>
    <d v="2025-08-01T00:00:00"/>
    <n v="2025"/>
    <n v="3"/>
    <s v="No"/>
  </r>
  <r>
    <s v="SR-2025-01552"/>
    <x v="1"/>
    <s v="Parking Complaint"/>
    <s v="High"/>
    <x v="2"/>
    <s v="Ward 4"/>
    <x v="33"/>
    <m/>
    <s v="Web"/>
    <m/>
    <m/>
    <n v="7"/>
    <s v="Pending"/>
    <d v="2025-05-01T00:00:00"/>
    <n v="2025"/>
    <n v="2"/>
    <s v="No"/>
  </r>
  <r>
    <s v="SR-2025-01553"/>
    <x v="3"/>
    <s v="Pothole Repair"/>
    <s v="Medium"/>
    <x v="0"/>
    <s v="Ward 1"/>
    <x v="254"/>
    <d v="2025-10-03T00:00:00"/>
    <s v="Email"/>
    <n v="5"/>
    <n v="9"/>
    <n v="10"/>
    <s v="Yes"/>
    <d v="2025-09-01T00:00:00"/>
    <n v="2025"/>
    <n v="3"/>
    <s v="Yes"/>
  </r>
  <r>
    <s v="SR-2025-01554"/>
    <x v="2"/>
    <s v="Missed Garbage Pickup"/>
    <s v="High"/>
    <x v="0"/>
    <s v="Ward 4"/>
    <x v="194"/>
    <d v="2025-10-07T00:00:00"/>
    <s v="Web"/>
    <n v="1"/>
    <n v="6"/>
    <n v="7"/>
    <s v="Yes"/>
    <d v="2025-10-01T00:00:00"/>
    <n v="2025"/>
    <n v="4"/>
    <s v="Yes"/>
  </r>
  <r>
    <s v="SR-2025-01555"/>
    <x v="2"/>
    <s v="Green Bin Issue"/>
    <s v="High"/>
    <x v="0"/>
    <s v="Ward 5"/>
    <x v="39"/>
    <d v="2025-01-24T00:00:00"/>
    <s v="Email"/>
    <n v="4"/>
    <n v="3"/>
    <n v="7"/>
    <s v="Yes"/>
    <d v="2025-01-01T00:00:00"/>
    <n v="2025"/>
    <n v="1"/>
    <s v="Yes"/>
  </r>
  <r>
    <s v="SR-2025-01556"/>
    <x v="4"/>
    <s v="Water Leak"/>
    <s v="Low"/>
    <x v="1"/>
    <s v="Ward 1"/>
    <x v="130"/>
    <m/>
    <s v="Phone"/>
    <m/>
    <m/>
    <n v="14"/>
    <s v="Pending"/>
    <d v="2025-10-01T00:00:00"/>
    <n v="2025"/>
    <n v="4"/>
    <s v="No"/>
  </r>
  <r>
    <s v="SR-2025-01557"/>
    <x v="2"/>
    <s v="Green Bin Issue"/>
    <s v="Medium"/>
    <x v="0"/>
    <s v="Ward 1"/>
    <x v="212"/>
    <d v="2025-05-14T00:00:00"/>
    <s v="Mobile App"/>
    <n v="3"/>
    <n v="9"/>
    <n v="10"/>
    <s v="Yes"/>
    <d v="2025-05-01T00:00:00"/>
    <n v="2025"/>
    <n v="2"/>
    <s v="Yes"/>
  </r>
  <r>
    <s v="SR-2025-01558"/>
    <x v="0"/>
    <s v="Streetlight Repair"/>
    <s v="Medium"/>
    <x v="0"/>
    <s v="Ward 4"/>
    <x v="33"/>
    <d v="2025-05-12T00:00:00"/>
    <s v="Mobile App"/>
    <n v="4"/>
    <n v="6"/>
    <n v="10"/>
    <s v="Yes"/>
    <d v="2025-05-01T00:00:00"/>
    <n v="2025"/>
    <n v="2"/>
    <s v="Yes"/>
  </r>
  <r>
    <s v="SR-2025-01559"/>
    <x v="4"/>
    <s v="Sewer Backup"/>
    <s v="Medium"/>
    <x v="0"/>
    <s v="Ward 1"/>
    <x v="157"/>
    <d v="2025-03-17T00:00:00"/>
    <s v="Phone"/>
    <n v="4"/>
    <n v="4"/>
    <n v="10"/>
    <s v="Yes"/>
    <d v="2025-03-01T00:00:00"/>
    <n v="2025"/>
    <n v="1"/>
    <s v="Yes"/>
  </r>
  <r>
    <s v="SR-2025-01560"/>
    <x v="2"/>
    <s v="Illegal Dumping"/>
    <s v="High"/>
    <x v="0"/>
    <s v="Ward 4"/>
    <x v="166"/>
    <d v="2025-03-28T00:00:00"/>
    <s v="Email"/>
    <n v="4"/>
    <n v="5"/>
    <n v="7"/>
    <s v="Yes"/>
    <d v="2025-03-01T00:00:00"/>
    <n v="2025"/>
    <n v="1"/>
    <s v="Yes"/>
  </r>
  <r>
    <s v="SR-2025-01561"/>
    <x v="0"/>
    <s v="Road Sign Damage"/>
    <s v="Low"/>
    <x v="1"/>
    <s v="Ward 2"/>
    <x v="330"/>
    <m/>
    <s v="In Person"/>
    <m/>
    <m/>
    <n v="14"/>
    <s v="Pending"/>
    <d v="2025-03-01T00:00:00"/>
    <n v="2025"/>
    <n v="1"/>
    <s v="No"/>
  </r>
  <r>
    <s v="SR-2025-01562"/>
    <x v="2"/>
    <s v="Green Bin Issue"/>
    <s v="Medium"/>
    <x v="0"/>
    <s v="Ward 1"/>
    <x v="61"/>
    <d v="2025-04-25T00:00:00"/>
    <s v="Mobile App"/>
    <n v="3"/>
    <n v="6"/>
    <n v="10"/>
    <s v="Yes"/>
    <d v="2025-04-01T00:00:00"/>
    <n v="2025"/>
    <n v="2"/>
    <s v="Yes"/>
  </r>
  <r>
    <s v="SR-2025-01563"/>
    <x v="2"/>
    <s v="Green Bin Issue"/>
    <s v="Medium"/>
    <x v="2"/>
    <s v="Ward 2"/>
    <x v="176"/>
    <m/>
    <s v="In Person"/>
    <m/>
    <m/>
    <n v="10"/>
    <s v="Pending"/>
    <d v="2025-06-01T00:00:00"/>
    <n v="2025"/>
    <n v="2"/>
    <s v="No"/>
  </r>
  <r>
    <s v="SR-2025-01564"/>
    <x v="1"/>
    <s v="Parking Complaint"/>
    <s v="Medium"/>
    <x v="0"/>
    <s v="Ward 4"/>
    <x v="121"/>
    <d v="2025-09-10T00:00:00"/>
    <s v="Phone"/>
    <n v="5"/>
    <n v="4"/>
    <n v="10"/>
    <s v="Yes"/>
    <d v="2025-09-01T00:00:00"/>
    <n v="2025"/>
    <n v="3"/>
    <s v="Yes"/>
  </r>
  <r>
    <s v="SR-2025-01565"/>
    <x v="4"/>
    <s v="Water Quality Concern"/>
    <s v="Low"/>
    <x v="2"/>
    <s v="Ward 2"/>
    <x v="223"/>
    <m/>
    <s v="Mobile App"/>
    <m/>
    <m/>
    <n v="14"/>
    <s v="Pending"/>
    <d v="2025-06-01T00:00:00"/>
    <n v="2025"/>
    <n v="2"/>
    <s v="No"/>
  </r>
  <r>
    <s v="SR-2025-01566"/>
    <x v="5"/>
    <s v="Park Equipment Damage"/>
    <s v="Low"/>
    <x v="0"/>
    <s v="Ward 4"/>
    <x v="340"/>
    <d v="2025-03-16T00:00:00"/>
    <s v="Email"/>
    <n v="3"/>
    <n v="13"/>
    <n v="14"/>
    <s v="Yes"/>
    <d v="2025-03-01T00:00:00"/>
    <n v="2025"/>
    <n v="1"/>
    <s v="Yes"/>
  </r>
  <r>
    <s v="SR-2025-01567"/>
    <x v="1"/>
    <s v="Noise Complaint"/>
    <s v="High"/>
    <x v="1"/>
    <s v="Ward 2"/>
    <x v="128"/>
    <m/>
    <s v="Phone"/>
    <m/>
    <m/>
    <n v="7"/>
    <s v="Pending"/>
    <d v="2025-09-01T00:00:00"/>
    <n v="2025"/>
    <n v="3"/>
    <s v="No"/>
  </r>
  <r>
    <s v="SR-2025-01568"/>
    <x v="2"/>
    <s v="Missed Garbage Pickup"/>
    <s v="Medium"/>
    <x v="0"/>
    <s v="Ward 5"/>
    <x v="117"/>
    <d v="2025-06-28T00:00:00"/>
    <s v="In Person"/>
    <n v="2"/>
    <n v="10"/>
    <n v="10"/>
    <s v="Yes"/>
    <d v="2025-06-01T00:00:00"/>
    <n v="2025"/>
    <n v="2"/>
    <s v="Yes"/>
  </r>
  <r>
    <s v="SR-2025-01569"/>
    <x v="0"/>
    <s v="Streetlight Repair"/>
    <s v="Critical"/>
    <x v="0"/>
    <s v="Ward 2"/>
    <x v="9"/>
    <d v="2025-10-19T00:00:00"/>
    <s v="Phone"/>
    <n v="3"/>
    <n v="1"/>
    <n v="3"/>
    <s v="Yes"/>
    <d v="2025-10-01T00:00:00"/>
    <n v="2025"/>
    <n v="4"/>
    <s v="Yes"/>
  </r>
  <r>
    <s v="SR-2025-01570"/>
    <x v="5"/>
    <s v="Trail Maintenance"/>
    <s v="Low"/>
    <x v="2"/>
    <s v="Ward 5"/>
    <x v="14"/>
    <m/>
    <s v="Mobile App"/>
    <m/>
    <m/>
    <n v="14"/>
    <s v="Pending"/>
    <d v="2025-05-01T00:00:00"/>
    <n v="2025"/>
    <n v="2"/>
    <s v="No"/>
  </r>
  <r>
    <s v="SR-2025-01571"/>
    <x v="3"/>
    <s v="Road Damage"/>
    <s v="High"/>
    <x v="2"/>
    <s v="Ward 5"/>
    <x v="23"/>
    <m/>
    <s v="Mobile App"/>
    <m/>
    <m/>
    <n v="7"/>
    <s v="Pending"/>
    <d v="2025-03-01T00:00:00"/>
    <n v="2025"/>
    <n v="1"/>
    <s v="No"/>
  </r>
  <r>
    <s v="SR-2025-01572"/>
    <x v="3"/>
    <s v="Road Damage"/>
    <s v="Low"/>
    <x v="0"/>
    <s v="Ward 5"/>
    <x v="73"/>
    <d v="2025-11-04T00:00:00"/>
    <s v="Web"/>
    <n v="4"/>
    <n v="10"/>
    <n v="14"/>
    <s v="Yes"/>
    <d v="2025-10-01T00:00:00"/>
    <n v="2025"/>
    <n v="4"/>
    <s v="Yes"/>
  </r>
  <r>
    <s v="SR-2025-01573"/>
    <x v="2"/>
    <s v="Missed Garbage Pickup"/>
    <s v="Low"/>
    <x v="0"/>
    <s v="Ward 5"/>
    <x v="224"/>
    <d v="2025-02-22T00:00:00"/>
    <s v="In Person"/>
    <n v="3"/>
    <n v="10"/>
    <n v="14"/>
    <s v="Yes"/>
    <d v="2025-02-01T00:00:00"/>
    <n v="2025"/>
    <n v="1"/>
    <s v="Yes"/>
  </r>
  <r>
    <s v="SR-2025-01574"/>
    <x v="5"/>
    <s v="Trail Maintenance"/>
    <s v="Medium"/>
    <x v="0"/>
    <s v="Ward 4"/>
    <x v="124"/>
    <d v="2025-08-12T00:00:00"/>
    <s v="Phone"/>
    <n v="5"/>
    <n v="3"/>
    <n v="10"/>
    <s v="Yes"/>
    <d v="2025-08-01T00:00:00"/>
    <n v="2025"/>
    <n v="3"/>
    <s v="Yes"/>
  </r>
  <r>
    <s v="SR-2025-01575"/>
    <x v="1"/>
    <s v="Animal Complaint"/>
    <s v="Critical"/>
    <x v="0"/>
    <s v="Ward 2"/>
    <x v="324"/>
    <d v="2025-07-30T00:00:00"/>
    <s v="Mobile App"/>
    <n v="4"/>
    <n v="2"/>
    <n v="3"/>
    <s v="Yes"/>
    <d v="2025-07-01T00:00:00"/>
    <n v="2025"/>
    <n v="3"/>
    <s v="Yes"/>
  </r>
  <r>
    <s v="SR-2025-01576"/>
    <x v="1"/>
    <s v="Animal Complaint"/>
    <s v="Medium"/>
    <x v="2"/>
    <s v="Ward 3"/>
    <x v="156"/>
    <m/>
    <s v="In Person"/>
    <m/>
    <m/>
    <n v="10"/>
    <s v="Pending"/>
    <d v="2025-06-01T00:00:00"/>
    <n v="2025"/>
    <n v="2"/>
    <s v="No"/>
  </r>
  <r>
    <s v="SR-2025-01577"/>
    <x v="5"/>
    <s v="Grass Cutting"/>
    <s v="Medium"/>
    <x v="0"/>
    <s v="Ward 2"/>
    <x v="136"/>
    <d v="2025-06-17T00:00:00"/>
    <s v="Email"/>
    <n v="3"/>
    <n v="9"/>
    <n v="10"/>
    <s v="Yes"/>
    <d v="2025-06-01T00:00:00"/>
    <n v="2025"/>
    <n v="2"/>
    <s v="Yes"/>
  </r>
  <r>
    <s v="SR-2025-01578"/>
    <x v="3"/>
    <s v="Sidewalk Damage"/>
    <s v="High"/>
    <x v="0"/>
    <s v="Ward 4"/>
    <x v="192"/>
    <d v="2025-09-13T00:00:00"/>
    <s v="Mobile App"/>
    <n v="3"/>
    <n v="2"/>
    <n v="7"/>
    <s v="Yes"/>
    <d v="2025-09-01T00:00:00"/>
    <n v="2025"/>
    <n v="3"/>
    <s v="Yes"/>
  </r>
  <r>
    <s v="SR-2025-01579"/>
    <x v="3"/>
    <s v="Snow Removal"/>
    <s v="Medium"/>
    <x v="0"/>
    <s v="Ward 2"/>
    <x v="334"/>
    <d v="2025-04-09T00:00:00"/>
    <s v="Phone"/>
    <n v="5"/>
    <n v="5"/>
    <n v="10"/>
    <s v="Yes"/>
    <d v="2025-04-01T00:00:00"/>
    <n v="2025"/>
    <n v="2"/>
    <s v="Yes"/>
  </r>
  <r>
    <s v="SR-2025-01580"/>
    <x v="2"/>
    <s v="Illegal Dumping"/>
    <s v="Medium"/>
    <x v="0"/>
    <s v="Ward 2"/>
    <x v="3"/>
    <d v="2025-02-28T00:00:00"/>
    <s v="In Person"/>
    <n v="5"/>
    <n v="6"/>
    <n v="10"/>
    <s v="Yes"/>
    <d v="2025-02-01T00:00:00"/>
    <n v="2025"/>
    <n v="1"/>
    <s v="Yes"/>
  </r>
  <r>
    <s v="SR-2025-01581"/>
    <x v="0"/>
    <s v="Traffic Signal Issue"/>
    <s v="Medium"/>
    <x v="0"/>
    <s v="Ward 5"/>
    <x v="329"/>
    <d v="2025-07-26T00:00:00"/>
    <s v="Phone"/>
    <n v="5"/>
    <n v="4"/>
    <n v="10"/>
    <s v="Yes"/>
    <d v="2025-07-01T00:00:00"/>
    <n v="2025"/>
    <n v="3"/>
    <s v="Yes"/>
  </r>
  <r>
    <s v="SR-2025-01582"/>
    <x v="2"/>
    <s v="Green Bin Issue"/>
    <s v="Medium"/>
    <x v="1"/>
    <s v="Ward 2"/>
    <x v="68"/>
    <m/>
    <s v="Mobile App"/>
    <m/>
    <m/>
    <n v="10"/>
    <s v="Pending"/>
    <d v="2025-05-01T00:00:00"/>
    <n v="2025"/>
    <n v="2"/>
    <s v="No"/>
  </r>
  <r>
    <s v="SR-2025-01583"/>
    <x v="4"/>
    <s v="Sewer Backup"/>
    <s v="Medium"/>
    <x v="0"/>
    <s v="Ward 4"/>
    <x v="328"/>
    <d v="2025-07-08T00:00:00"/>
    <s v="In Person"/>
    <n v="4"/>
    <n v="7"/>
    <n v="10"/>
    <s v="Yes"/>
    <d v="2025-07-01T00:00:00"/>
    <n v="2025"/>
    <n v="3"/>
    <s v="Yes"/>
  </r>
  <r>
    <s v="SR-2025-01584"/>
    <x v="4"/>
    <s v="Water Quality Concern"/>
    <s v="Low"/>
    <x v="2"/>
    <s v="Ward 4"/>
    <x v="187"/>
    <m/>
    <s v="Mobile App"/>
    <m/>
    <m/>
    <n v="14"/>
    <s v="Pending"/>
    <d v="2025-01-01T00:00:00"/>
    <n v="2025"/>
    <n v="1"/>
    <s v="No"/>
  </r>
  <r>
    <s v="SR-2025-01585"/>
    <x v="0"/>
    <s v="Traffic Signal Issue"/>
    <s v="Critical"/>
    <x v="1"/>
    <s v="Ward 2"/>
    <x v="281"/>
    <m/>
    <s v="Phone"/>
    <m/>
    <m/>
    <n v="3"/>
    <s v="Pending"/>
    <d v="2025-01-01T00:00:00"/>
    <n v="2025"/>
    <n v="1"/>
    <s v="No"/>
  </r>
  <r>
    <s v="SR-2025-01586"/>
    <x v="0"/>
    <s v="Road Sign Damage"/>
    <s v="Medium"/>
    <x v="0"/>
    <s v="Ward 3"/>
    <x v="256"/>
    <d v="2025-06-22T00:00:00"/>
    <s v="In Person"/>
    <n v="5"/>
    <n v="8"/>
    <n v="10"/>
    <s v="Yes"/>
    <d v="2025-06-01T00:00:00"/>
    <n v="2025"/>
    <n v="2"/>
    <s v="Yes"/>
  </r>
  <r>
    <s v="SR-2025-01587"/>
    <x v="1"/>
    <s v="Property Standards"/>
    <s v="High"/>
    <x v="0"/>
    <s v="Ward 1"/>
    <x v="218"/>
    <d v="2025-08-21T00:00:00"/>
    <s v="Phone"/>
    <n v="3"/>
    <n v="7"/>
    <n v="7"/>
    <s v="Yes"/>
    <d v="2025-08-01T00:00:00"/>
    <n v="2025"/>
    <n v="3"/>
    <s v="Yes"/>
  </r>
  <r>
    <s v="SR-2025-01588"/>
    <x v="5"/>
    <s v="Grass Cutting"/>
    <s v="High"/>
    <x v="2"/>
    <s v="Ward 4"/>
    <x v="206"/>
    <m/>
    <s v="Web"/>
    <m/>
    <m/>
    <n v="7"/>
    <s v="Pending"/>
    <d v="2025-10-01T00:00:00"/>
    <n v="2025"/>
    <n v="4"/>
    <s v="No"/>
  </r>
  <r>
    <s v="SR-2025-01589"/>
    <x v="0"/>
    <s v="Traffic Concern"/>
    <s v="Medium"/>
    <x v="2"/>
    <s v="Ward 2"/>
    <x v="320"/>
    <m/>
    <s v="Mobile App"/>
    <m/>
    <m/>
    <n v="10"/>
    <s v="Pending"/>
    <d v="2025-09-01T00:00:00"/>
    <n v="2025"/>
    <n v="3"/>
    <s v="No"/>
  </r>
  <r>
    <s v="SR-2025-01590"/>
    <x v="1"/>
    <s v="Animal Complaint"/>
    <s v="Low"/>
    <x v="0"/>
    <s v="Ward 4"/>
    <x v="223"/>
    <d v="2025-07-02T00:00:00"/>
    <s v="Mobile App"/>
    <n v="4"/>
    <n v="7"/>
    <n v="14"/>
    <s v="Yes"/>
    <d v="2025-06-01T00:00:00"/>
    <n v="2025"/>
    <n v="2"/>
    <s v="Yes"/>
  </r>
  <r>
    <s v="SR-2025-01591"/>
    <x v="3"/>
    <s v="Snow Removal"/>
    <s v="Low"/>
    <x v="1"/>
    <s v="Ward 4"/>
    <x v="202"/>
    <m/>
    <s v="Phone"/>
    <m/>
    <m/>
    <n v="14"/>
    <s v="Pending"/>
    <d v="2025-06-01T00:00:00"/>
    <n v="2025"/>
    <n v="2"/>
    <s v="No"/>
  </r>
  <r>
    <s v="SR-2025-01592"/>
    <x v="5"/>
    <s v="Grass Cutting"/>
    <s v="Medium"/>
    <x v="0"/>
    <s v="Ward 5"/>
    <x v="134"/>
    <d v="2025-08-18T00:00:00"/>
    <s v="Mobile App"/>
    <n v="4"/>
    <n v="5"/>
    <n v="10"/>
    <s v="Yes"/>
    <d v="2025-08-01T00:00:00"/>
    <n v="2025"/>
    <n v="3"/>
    <s v="Yes"/>
  </r>
  <r>
    <s v="SR-2025-01593"/>
    <x v="1"/>
    <s v="Parking Complaint"/>
    <s v="Medium"/>
    <x v="0"/>
    <s v="Ward 3"/>
    <x v="29"/>
    <d v="2025-02-11T00:00:00"/>
    <s v="Email"/>
    <n v="5"/>
    <n v="7"/>
    <n v="10"/>
    <s v="Yes"/>
    <d v="2025-02-01T00:00:00"/>
    <n v="2025"/>
    <n v="1"/>
    <s v="Yes"/>
  </r>
  <r>
    <s v="SR-2025-01594"/>
    <x v="0"/>
    <s v="Traffic Signal Issue"/>
    <s v="Low"/>
    <x v="0"/>
    <s v="Ward 3"/>
    <x v="322"/>
    <d v="2025-09-01T00:00:00"/>
    <s v="Mobile App"/>
    <n v="4"/>
    <n v="8"/>
    <n v="14"/>
    <s v="Yes"/>
    <d v="2025-08-01T00:00:00"/>
    <n v="2025"/>
    <n v="3"/>
    <s v="Yes"/>
  </r>
  <r>
    <s v="SR-2025-01595"/>
    <x v="1"/>
    <s v="Noise Complaint"/>
    <s v="Low"/>
    <x v="0"/>
    <s v="Ward 1"/>
    <x v="150"/>
    <d v="2025-08-16T00:00:00"/>
    <s v="In Person"/>
    <n v="5"/>
    <n v="9"/>
    <n v="14"/>
    <s v="Yes"/>
    <d v="2025-08-01T00:00:00"/>
    <n v="2025"/>
    <n v="3"/>
    <s v="Yes"/>
  </r>
  <r>
    <s v="SR-2025-01596"/>
    <x v="3"/>
    <s v="Sidewalk Damage"/>
    <s v="Low"/>
    <x v="0"/>
    <s v="Ward 3"/>
    <x v="152"/>
    <d v="2025-01-28T00:00:00"/>
    <s v="In Person"/>
    <n v="5"/>
    <n v="11"/>
    <n v="14"/>
    <s v="Yes"/>
    <d v="2025-01-01T00:00:00"/>
    <n v="2025"/>
    <n v="1"/>
    <s v="Yes"/>
  </r>
  <r>
    <s v="SR-2025-01597"/>
    <x v="4"/>
    <s v="Sewer Backup"/>
    <s v="Medium"/>
    <x v="0"/>
    <s v="Ward 1"/>
    <x v="65"/>
    <d v="2025-02-11T00:00:00"/>
    <s v="In Person"/>
    <n v="5"/>
    <n v="3"/>
    <n v="10"/>
    <s v="Yes"/>
    <d v="2025-02-01T00:00:00"/>
    <n v="2025"/>
    <n v="1"/>
    <s v="Yes"/>
  </r>
  <r>
    <s v="SR-2025-01598"/>
    <x v="5"/>
    <s v="Tree Maintenance"/>
    <s v="Medium"/>
    <x v="0"/>
    <s v="Ward 4"/>
    <x v="279"/>
    <d v="2025-12-04T00:00:00"/>
    <s v="Mobile App"/>
    <n v="5"/>
    <n v="5"/>
    <n v="10"/>
    <s v="Yes"/>
    <d v="2025-11-01T00:00:00"/>
    <n v="2025"/>
    <n v="4"/>
    <s v="Yes"/>
  </r>
  <r>
    <s v="SR-2025-01599"/>
    <x v="4"/>
    <s v="Water Quality Concern"/>
    <s v="High"/>
    <x v="2"/>
    <s v="Ward 3"/>
    <x v="133"/>
    <m/>
    <s v="Web"/>
    <m/>
    <m/>
    <n v="7"/>
    <s v="Pending"/>
    <d v="2025-03-01T00:00:00"/>
    <n v="2025"/>
    <n v="1"/>
    <s v="No"/>
  </r>
  <r>
    <s v="SR-2025-01600"/>
    <x v="5"/>
    <s v="Grass Cutting"/>
    <s v="Medium"/>
    <x v="1"/>
    <s v="Ward 1"/>
    <x v="82"/>
    <m/>
    <s v="Email"/>
    <m/>
    <m/>
    <n v="10"/>
    <s v="Pending"/>
    <d v="2025-08-01T00:00:00"/>
    <n v="2025"/>
    <n v="3"/>
    <s v="No"/>
  </r>
  <r>
    <s v="SR-2025-01601"/>
    <x v="1"/>
    <s v="Parking Complaint"/>
    <s v="Low"/>
    <x v="1"/>
    <s v="Ward 1"/>
    <x v="281"/>
    <m/>
    <s v="Phone"/>
    <m/>
    <m/>
    <n v="14"/>
    <s v="Pending"/>
    <d v="2025-01-01T00:00:00"/>
    <n v="2025"/>
    <n v="1"/>
    <s v="No"/>
  </r>
  <r>
    <s v="SR-2025-01602"/>
    <x v="2"/>
    <s v="Green Bin Issue"/>
    <s v="Low"/>
    <x v="1"/>
    <s v="Ward 3"/>
    <x v="11"/>
    <m/>
    <s v="In Person"/>
    <m/>
    <m/>
    <n v="14"/>
    <s v="Pending"/>
    <d v="2025-10-01T00:00:00"/>
    <n v="2025"/>
    <n v="4"/>
    <s v="No"/>
  </r>
  <r>
    <s v="SR-2025-01603"/>
    <x v="4"/>
    <s v="Low Water Pressure"/>
    <s v="High"/>
    <x v="0"/>
    <s v="Ward 2"/>
    <x v="328"/>
    <d v="2025-07-07T00:00:00"/>
    <s v="Phone"/>
    <n v="5"/>
    <n v="6"/>
    <n v="7"/>
    <s v="Yes"/>
    <d v="2025-07-01T00:00:00"/>
    <n v="2025"/>
    <n v="3"/>
    <s v="Yes"/>
  </r>
  <r>
    <s v="SR-2025-01604"/>
    <x v="5"/>
    <s v="Park Equipment Damage"/>
    <s v="Medium"/>
    <x v="0"/>
    <s v="Ward 5"/>
    <x v="194"/>
    <d v="2025-10-03T00:00:00"/>
    <s v="Mobile App"/>
    <n v="5"/>
    <n v="2"/>
    <n v="10"/>
    <s v="Yes"/>
    <d v="2025-10-01T00:00:00"/>
    <n v="2025"/>
    <n v="4"/>
    <s v="Yes"/>
  </r>
  <r>
    <s v="SR-2025-01605"/>
    <x v="3"/>
    <s v="Sidewalk Damage"/>
    <s v="High"/>
    <x v="2"/>
    <s v="Ward 2"/>
    <x v="243"/>
    <m/>
    <s v="Phone"/>
    <m/>
    <m/>
    <n v="7"/>
    <s v="Pending"/>
    <d v="2025-12-01T00:00:00"/>
    <n v="2025"/>
    <n v="4"/>
    <s v="No"/>
  </r>
  <r>
    <s v="SR-2025-01606"/>
    <x v="2"/>
    <s v="Recycling Issue"/>
    <s v="Medium"/>
    <x v="0"/>
    <s v="Ward 4"/>
    <x v="186"/>
    <d v="2025-04-29T00:00:00"/>
    <s v="Web"/>
    <n v="1"/>
    <n v="7"/>
    <n v="10"/>
    <s v="Yes"/>
    <d v="2025-04-01T00:00:00"/>
    <n v="2025"/>
    <n v="2"/>
    <s v="Yes"/>
  </r>
  <r>
    <s v="SR-2025-01607"/>
    <x v="4"/>
    <s v="Water Leak"/>
    <s v="Medium"/>
    <x v="1"/>
    <s v="Ward 4"/>
    <x v="236"/>
    <m/>
    <s v="Web"/>
    <m/>
    <m/>
    <n v="10"/>
    <s v="Pending"/>
    <d v="2025-04-01T00:00:00"/>
    <n v="2025"/>
    <n v="2"/>
    <s v="No"/>
  </r>
  <r>
    <s v="SR-2025-01608"/>
    <x v="4"/>
    <s v="Water Quality Concern"/>
    <s v="Medium"/>
    <x v="0"/>
    <s v="Ward 2"/>
    <x v="203"/>
    <d v="2025-07-17T00:00:00"/>
    <s v="In Person"/>
    <n v="2"/>
    <n v="3"/>
    <n v="10"/>
    <s v="Yes"/>
    <d v="2025-07-01T00:00:00"/>
    <n v="2025"/>
    <n v="3"/>
    <s v="Yes"/>
  </r>
  <r>
    <s v="SR-2025-01609"/>
    <x v="1"/>
    <s v="Noise Complaint"/>
    <s v="Low"/>
    <x v="0"/>
    <s v="Ward 3"/>
    <x v="107"/>
    <d v="2025-09-22T00:00:00"/>
    <s v="Email"/>
    <n v="4"/>
    <n v="14"/>
    <n v="14"/>
    <s v="Yes"/>
    <d v="2025-09-01T00:00:00"/>
    <n v="2025"/>
    <n v="3"/>
    <s v="Yes"/>
  </r>
  <r>
    <s v="SR-2025-01610"/>
    <x v="5"/>
    <s v="Park Equipment Damage"/>
    <s v="Critical"/>
    <x v="1"/>
    <s v="Ward 4"/>
    <x v="76"/>
    <m/>
    <s v="Mobile App"/>
    <m/>
    <m/>
    <n v="3"/>
    <s v="Pending"/>
    <d v="2025-07-01T00:00:00"/>
    <n v="2025"/>
    <n v="3"/>
    <s v="No"/>
  </r>
  <r>
    <s v="SR-2025-01611"/>
    <x v="1"/>
    <s v="Noise Complaint"/>
    <s v="Critical"/>
    <x v="0"/>
    <s v="Ward 1"/>
    <x v="203"/>
    <d v="2025-07-17T00:00:00"/>
    <s v="Mobile App"/>
    <n v="4"/>
    <n v="3"/>
    <n v="3"/>
    <s v="Yes"/>
    <d v="2025-07-01T00:00:00"/>
    <n v="2025"/>
    <n v="3"/>
    <s v="Yes"/>
  </r>
  <r>
    <s v="SR-2025-01612"/>
    <x v="2"/>
    <s v="Illegal Dumping"/>
    <s v="High"/>
    <x v="0"/>
    <s v="Ward 1"/>
    <x v="323"/>
    <d v="2025-12-03T00:00:00"/>
    <s v="Email"/>
    <n v="3"/>
    <n v="3"/>
    <n v="7"/>
    <s v="Yes"/>
    <d v="2025-11-01T00:00:00"/>
    <n v="2025"/>
    <n v="4"/>
    <s v="Yes"/>
  </r>
  <r>
    <s v="SR-2025-01613"/>
    <x v="4"/>
    <s v="Water Leak"/>
    <s v="Critical"/>
    <x v="0"/>
    <s v="Ward 2"/>
    <x v="276"/>
    <d v="2025-11-30T00:00:00"/>
    <s v="Phone"/>
    <n v="2"/>
    <n v="2"/>
    <n v="3"/>
    <s v="Yes"/>
    <d v="2025-11-01T00:00:00"/>
    <n v="2025"/>
    <n v="4"/>
    <s v="Yes"/>
  </r>
  <r>
    <s v="SR-2025-01614"/>
    <x v="1"/>
    <s v="Noise Complaint"/>
    <s v="Low"/>
    <x v="0"/>
    <s v="Ward 1"/>
    <x v="118"/>
    <d v="2026-01-01T00:00:00"/>
    <s v="In Person"/>
    <n v="5"/>
    <n v="10"/>
    <n v="14"/>
    <s v="Yes"/>
    <d v="2025-12-01T00:00:00"/>
    <n v="2025"/>
    <n v="4"/>
    <s v="Yes"/>
  </r>
  <r>
    <s v="SR-2025-01615"/>
    <x v="5"/>
    <s v="Grass Cutting"/>
    <s v="Medium"/>
    <x v="0"/>
    <s v="Ward 5"/>
    <x v="298"/>
    <d v="2025-03-30T00:00:00"/>
    <s v="Phone"/>
    <n v="3"/>
    <n v="8"/>
    <n v="10"/>
    <s v="Yes"/>
    <d v="2025-03-01T00:00:00"/>
    <n v="2025"/>
    <n v="1"/>
    <s v="Yes"/>
  </r>
  <r>
    <s v="SR-2025-01616"/>
    <x v="0"/>
    <s v="Traffic Signal Issue"/>
    <s v="Medium"/>
    <x v="2"/>
    <s v="Ward 1"/>
    <x v="171"/>
    <m/>
    <s v="Email"/>
    <m/>
    <m/>
    <n v="10"/>
    <s v="Pending"/>
    <d v="2025-03-01T00:00:00"/>
    <n v="2025"/>
    <n v="1"/>
    <s v="No"/>
  </r>
  <r>
    <s v="SR-2025-01617"/>
    <x v="5"/>
    <s v="Grass Cutting"/>
    <s v="Medium"/>
    <x v="0"/>
    <s v="Ward 1"/>
    <x v="284"/>
    <d v="2025-05-23T00:00:00"/>
    <s v="Mobile App"/>
    <n v="1"/>
    <n v="7"/>
    <n v="10"/>
    <s v="Yes"/>
    <d v="2025-05-01T00:00:00"/>
    <n v="2025"/>
    <n v="2"/>
    <s v="Yes"/>
  </r>
  <r>
    <s v="SR-2025-01618"/>
    <x v="3"/>
    <s v="Snow Removal"/>
    <s v="Low"/>
    <x v="2"/>
    <s v="Ward 1"/>
    <x v="324"/>
    <m/>
    <s v="In Person"/>
    <m/>
    <m/>
    <n v="14"/>
    <s v="Pending"/>
    <d v="2025-07-01T00:00:00"/>
    <n v="2025"/>
    <n v="3"/>
    <s v="No"/>
  </r>
  <r>
    <s v="SR-2025-01619"/>
    <x v="4"/>
    <s v="Low Water Pressure"/>
    <s v="Low"/>
    <x v="0"/>
    <s v="Ward 1"/>
    <x v="0"/>
    <d v="2025-04-29T00:00:00"/>
    <s v="Web"/>
    <n v="4"/>
    <n v="4"/>
    <n v="14"/>
    <s v="Yes"/>
    <d v="2025-04-01T00:00:00"/>
    <n v="2025"/>
    <n v="2"/>
    <s v="Yes"/>
  </r>
  <r>
    <s v="SR-2025-01620"/>
    <x v="4"/>
    <s v="Water Quality Concern"/>
    <s v="Critical"/>
    <x v="1"/>
    <s v="Ward 4"/>
    <x v="302"/>
    <m/>
    <s v="Phone"/>
    <m/>
    <m/>
    <n v="3"/>
    <s v="Pending"/>
    <d v="2025-10-01T00:00:00"/>
    <n v="2025"/>
    <n v="4"/>
    <s v="No"/>
  </r>
  <r>
    <s v="SR-2025-01621"/>
    <x v="1"/>
    <s v="Noise Complaint"/>
    <s v="Medium"/>
    <x v="0"/>
    <s v="Ward 5"/>
    <x v="177"/>
    <d v="2025-05-16T00:00:00"/>
    <s v="Mobile App"/>
    <n v="4"/>
    <n v="4"/>
    <n v="10"/>
    <s v="Yes"/>
    <d v="2025-05-01T00:00:00"/>
    <n v="2025"/>
    <n v="2"/>
    <s v="Yes"/>
  </r>
  <r>
    <s v="SR-2025-01622"/>
    <x v="1"/>
    <s v="Noise Complaint"/>
    <s v="Medium"/>
    <x v="1"/>
    <s v="Ward 2"/>
    <x v="296"/>
    <m/>
    <s v="Phone"/>
    <m/>
    <m/>
    <n v="10"/>
    <s v="Pending"/>
    <d v="2025-10-01T00:00:00"/>
    <n v="2025"/>
    <n v="4"/>
    <s v="No"/>
  </r>
  <r>
    <s v="SR-2025-01623"/>
    <x v="5"/>
    <s v="Park Equipment Damage"/>
    <s v="High"/>
    <x v="0"/>
    <s v="Ward 4"/>
    <x v="90"/>
    <d v="2025-12-05T00:00:00"/>
    <s v="Mobile App"/>
    <n v="5"/>
    <n v="1"/>
    <n v="7"/>
    <s v="Yes"/>
    <d v="2025-12-01T00:00:00"/>
    <n v="2025"/>
    <n v="4"/>
    <s v="Yes"/>
  </r>
  <r>
    <s v="SR-2025-01624"/>
    <x v="1"/>
    <s v="Noise Complaint"/>
    <s v="Low"/>
    <x v="0"/>
    <s v="Ward 4"/>
    <x v="90"/>
    <d v="2025-12-11T00:00:00"/>
    <s v="In Person"/>
    <n v="4"/>
    <n v="7"/>
    <n v="14"/>
    <s v="Yes"/>
    <d v="2025-12-01T00:00:00"/>
    <n v="2025"/>
    <n v="4"/>
    <s v="Yes"/>
  </r>
  <r>
    <s v="SR-2025-01625"/>
    <x v="1"/>
    <s v="Parking Complaint"/>
    <s v="High"/>
    <x v="0"/>
    <s v="Ward 5"/>
    <x v="24"/>
    <d v="2025-08-08T00:00:00"/>
    <s v="Web"/>
    <n v="5"/>
    <n v="3"/>
    <n v="7"/>
    <s v="Yes"/>
    <d v="2025-08-01T00:00:00"/>
    <n v="2025"/>
    <n v="3"/>
    <s v="Yes"/>
  </r>
  <r>
    <s v="SR-2025-01626"/>
    <x v="0"/>
    <s v="Traffic Concern"/>
    <s v="Medium"/>
    <x v="1"/>
    <s v="Ward 1"/>
    <x v="334"/>
    <m/>
    <s v="Phone"/>
    <m/>
    <m/>
    <n v="10"/>
    <s v="Pending"/>
    <d v="2025-04-01T00:00:00"/>
    <n v="2025"/>
    <n v="2"/>
    <s v="No"/>
  </r>
  <r>
    <s v="SR-2025-01627"/>
    <x v="0"/>
    <s v="Streetlight Repair"/>
    <s v="High"/>
    <x v="0"/>
    <s v="Ward 4"/>
    <x v="180"/>
    <d v="2025-07-26T00:00:00"/>
    <s v="Email"/>
    <n v="1"/>
    <n v="3"/>
    <n v="7"/>
    <s v="Yes"/>
    <d v="2025-07-01T00:00:00"/>
    <n v="2025"/>
    <n v="3"/>
    <s v="Yes"/>
  </r>
  <r>
    <s v="SR-2025-01628"/>
    <x v="2"/>
    <s v="Recycling Issue"/>
    <s v="Medium"/>
    <x v="1"/>
    <s v="Ward 4"/>
    <x v="249"/>
    <m/>
    <s v="Email"/>
    <m/>
    <m/>
    <n v="10"/>
    <s v="Pending"/>
    <d v="2025-10-01T00:00:00"/>
    <n v="2025"/>
    <n v="4"/>
    <s v="No"/>
  </r>
  <r>
    <s v="SR-2025-01629"/>
    <x v="5"/>
    <s v="Trail Maintenance"/>
    <s v="Medium"/>
    <x v="0"/>
    <s v="Ward 5"/>
    <x v="220"/>
    <d v="2025-03-08T00:00:00"/>
    <s v="Mobile App"/>
    <n v="4"/>
    <n v="6"/>
    <n v="10"/>
    <s v="Yes"/>
    <d v="2025-03-01T00:00:00"/>
    <n v="2025"/>
    <n v="1"/>
    <s v="Yes"/>
  </r>
  <r>
    <s v="SR-2025-01630"/>
    <x v="2"/>
    <s v="Recycling Issue"/>
    <s v="Medium"/>
    <x v="1"/>
    <s v="Ward 5"/>
    <x v="320"/>
    <m/>
    <s v="Email"/>
    <m/>
    <m/>
    <n v="10"/>
    <s v="Pending"/>
    <d v="2025-09-01T00:00:00"/>
    <n v="2025"/>
    <n v="3"/>
    <s v="No"/>
  </r>
  <r>
    <s v="SR-2025-01631"/>
    <x v="0"/>
    <s v="Streetlight Repair"/>
    <s v="Medium"/>
    <x v="0"/>
    <s v="Ward 3"/>
    <x v="54"/>
    <d v="2025-09-29T00:00:00"/>
    <s v="Email"/>
    <n v="2"/>
    <n v="6"/>
    <n v="10"/>
    <s v="Yes"/>
    <d v="2025-09-01T00:00:00"/>
    <n v="2025"/>
    <n v="3"/>
    <s v="Yes"/>
  </r>
  <r>
    <s v="SR-2025-01632"/>
    <x v="0"/>
    <s v="Streetlight Repair"/>
    <s v="Critical"/>
    <x v="0"/>
    <s v="Ward 1"/>
    <x v="297"/>
    <d v="2025-04-30T00:00:00"/>
    <s v="In Person"/>
    <n v="5"/>
    <n v="3"/>
    <n v="3"/>
    <s v="Yes"/>
    <d v="2025-04-01T00:00:00"/>
    <n v="2025"/>
    <n v="2"/>
    <s v="Yes"/>
  </r>
  <r>
    <s v="SR-2025-01633"/>
    <x v="0"/>
    <s v="Road Sign Damage"/>
    <s v="Low"/>
    <x v="0"/>
    <s v="Ward 1"/>
    <x v="132"/>
    <d v="2025-08-29T00:00:00"/>
    <s v="In Person"/>
    <n v="4"/>
    <n v="9"/>
    <n v="14"/>
    <s v="Yes"/>
    <d v="2025-08-01T00:00:00"/>
    <n v="2025"/>
    <n v="3"/>
    <s v="Yes"/>
  </r>
  <r>
    <s v="SR-2025-01634"/>
    <x v="5"/>
    <s v="Trail Maintenance"/>
    <s v="High"/>
    <x v="2"/>
    <s v="Ward 2"/>
    <x v="210"/>
    <m/>
    <s v="Phone"/>
    <m/>
    <m/>
    <n v="7"/>
    <s v="Pending"/>
    <d v="2025-09-01T00:00:00"/>
    <n v="2025"/>
    <n v="3"/>
    <s v="No"/>
  </r>
  <r>
    <s v="SR-2025-01635"/>
    <x v="0"/>
    <s v="Traffic Signal Issue"/>
    <s v="High"/>
    <x v="0"/>
    <s v="Ward 2"/>
    <x v="328"/>
    <d v="2025-07-06T00:00:00"/>
    <s v="In Person"/>
    <n v="4"/>
    <n v="5"/>
    <n v="7"/>
    <s v="Yes"/>
    <d v="2025-07-01T00:00:00"/>
    <n v="2025"/>
    <n v="3"/>
    <s v="Yes"/>
  </r>
  <r>
    <s v="SR-2025-01636"/>
    <x v="1"/>
    <s v="Noise Complaint"/>
    <s v="High"/>
    <x v="0"/>
    <s v="Ward 5"/>
    <x v="8"/>
    <d v="2025-05-04T00:00:00"/>
    <s v="Phone"/>
    <n v="5"/>
    <n v="6"/>
    <n v="7"/>
    <s v="Yes"/>
    <d v="2025-04-01T00:00:00"/>
    <n v="2025"/>
    <n v="2"/>
    <s v="Yes"/>
  </r>
  <r>
    <s v="SR-2025-01637"/>
    <x v="2"/>
    <s v="Recycling Issue"/>
    <s v="Low"/>
    <x v="0"/>
    <s v="Ward 2"/>
    <x v="36"/>
    <d v="2025-12-03T00:00:00"/>
    <s v="In Person"/>
    <n v="3"/>
    <n v="12"/>
    <n v="14"/>
    <s v="Yes"/>
    <d v="2025-11-01T00:00:00"/>
    <n v="2025"/>
    <n v="4"/>
    <s v="Yes"/>
  </r>
  <r>
    <s v="SR-2025-01638"/>
    <x v="1"/>
    <s v="Animal Complaint"/>
    <s v="High"/>
    <x v="0"/>
    <s v="Ward 5"/>
    <x v="27"/>
    <d v="2025-07-28T00:00:00"/>
    <s v="Email"/>
    <n v="4"/>
    <n v="3"/>
    <n v="7"/>
    <s v="Yes"/>
    <d v="2025-07-01T00:00:00"/>
    <n v="2025"/>
    <n v="3"/>
    <s v="Yes"/>
  </r>
  <r>
    <s v="SR-2025-01639"/>
    <x v="4"/>
    <s v="Water Quality Concern"/>
    <s v="Medium"/>
    <x v="0"/>
    <s v="Ward 5"/>
    <x v="156"/>
    <d v="2025-06-05T00:00:00"/>
    <s v="Mobile App"/>
    <n v="2"/>
    <n v="2"/>
    <n v="10"/>
    <s v="Yes"/>
    <d v="2025-06-01T00:00:00"/>
    <n v="2025"/>
    <n v="2"/>
    <s v="Yes"/>
  </r>
  <r>
    <s v="SR-2025-01640"/>
    <x v="5"/>
    <s v="Tree Maintenance"/>
    <s v="Low"/>
    <x v="0"/>
    <s v="Ward 2"/>
    <x v="305"/>
    <d v="2025-03-25T00:00:00"/>
    <s v="Email"/>
    <n v="5"/>
    <n v="10"/>
    <n v="14"/>
    <s v="Yes"/>
    <d v="2025-03-01T00:00:00"/>
    <n v="2025"/>
    <n v="1"/>
    <s v="Yes"/>
  </r>
  <r>
    <s v="SR-2025-01641"/>
    <x v="5"/>
    <s v="Trail Maintenance"/>
    <s v="Medium"/>
    <x v="0"/>
    <s v="Ward 3"/>
    <x v="135"/>
    <d v="2025-07-02T00:00:00"/>
    <s v="Phone"/>
    <n v="3"/>
    <n v="3"/>
    <n v="10"/>
    <s v="Yes"/>
    <d v="2025-06-01T00:00:00"/>
    <n v="2025"/>
    <n v="2"/>
    <s v="Yes"/>
  </r>
  <r>
    <s v="SR-2025-01642"/>
    <x v="4"/>
    <s v="Water Leak"/>
    <s v="High"/>
    <x v="0"/>
    <s v="Ward 2"/>
    <x v="191"/>
    <d v="2025-12-13T00:00:00"/>
    <s v="Mobile App"/>
    <n v="3"/>
    <n v="2"/>
    <n v="7"/>
    <s v="Yes"/>
    <d v="2025-12-01T00:00:00"/>
    <n v="2025"/>
    <n v="4"/>
    <s v="Yes"/>
  </r>
  <r>
    <s v="SR-2025-01643"/>
    <x v="2"/>
    <s v="Missed Garbage Pickup"/>
    <s v="Medium"/>
    <x v="0"/>
    <s v="Ward 5"/>
    <x v="128"/>
    <d v="2025-09-29T00:00:00"/>
    <s v="Email"/>
    <n v="5"/>
    <n v="3"/>
    <n v="10"/>
    <s v="Yes"/>
    <d v="2025-09-01T00:00:00"/>
    <n v="2025"/>
    <n v="3"/>
    <s v="Yes"/>
  </r>
  <r>
    <s v="SR-2025-01644"/>
    <x v="5"/>
    <s v="Trail Maintenance"/>
    <s v="Medium"/>
    <x v="0"/>
    <s v="Ward 3"/>
    <x v="347"/>
    <d v="2025-11-18T00:00:00"/>
    <s v="Mobile App"/>
    <n v="3"/>
    <n v="9"/>
    <n v="10"/>
    <s v="Yes"/>
    <d v="2025-11-01T00:00:00"/>
    <n v="2025"/>
    <n v="4"/>
    <s v="Yes"/>
  </r>
  <r>
    <s v="SR-2025-01645"/>
    <x v="3"/>
    <s v="Snow Removal"/>
    <s v="High"/>
    <x v="0"/>
    <s v="Ward 2"/>
    <x v="56"/>
    <d v="2025-11-21T00:00:00"/>
    <s v="Email"/>
    <n v="4"/>
    <n v="4"/>
    <n v="7"/>
    <s v="Yes"/>
    <d v="2025-11-01T00:00:00"/>
    <n v="2025"/>
    <n v="4"/>
    <s v="Yes"/>
  </r>
  <r>
    <s v="SR-2025-01646"/>
    <x v="2"/>
    <s v="Recycling Issue"/>
    <s v="Medium"/>
    <x v="0"/>
    <s v="Ward 4"/>
    <x v="327"/>
    <d v="2025-11-12T00:00:00"/>
    <s v="Email"/>
    <n v="3"/>
    <n v="7"/>
    <n v="10"/>
    <s v="Yes"/>
    <d v="2025-11-01T00:00:00"/>
    <n v="2025"/>
    <n v="4"/>
    <s v="Yes"/>
  </r>
  <r>
    <s v="SR-2025-01647"/>
    <x v="4"/>
    <s v="Water Leak"/>
    <s v="Medium"/>
    <x v="2"/>
    <s v="Ward 3"/>
    <x v="233"/>
    <m/>
    <s v="Mobile App"/>
    <m/>
    <m/>
    <n v="10"/>
    <s v="Pending"/>
    <d v="2025-05-01T00:00:00"/>
    <n v="2025"/>
    <n v="2"/>
    <s v="No"/>
  </r>
  <r>
    <s v="SR-2025-01648"/>
    <x v="0"/>
    <s v="Road Sign Damage"/>
    <s v="Medium"/>
    <x v="1"/>
    <s v="Ward 1"/>
    <x v="237"/>
    <m/>
    <s v="Web"/>
    <m/>
    <m/>
    <n v="10"/>
    <s v="Pending"/>
    <d v="2025-07-01T00:00:00"/>
    <n v="2025"/>
    <n v="3"/>
    <s v="No"/>
  </r>
  <r>
    <s v="SR-2025-01649"/>
    <x v="3"/>
    <s v="Snow Removal"/>
    <s v="Low"/>
    <x v="0"/>
    <s v="Ward 1"/>
    <x v="245"/>
    <d v="2025-11-08T00:00:00"/>
    <s v="Email"/>
    <n v="5"/>
    <n v="9"/>
    <n v="14"/>
    <s v="Yes"/>
    <d v="2025-10-01T00:00:00"/>
    <n v="2025"/>
    <n v="4"/>
    <s v="Yes"/>
  </r>
  <r>
    <s v="SR-2025-01650"/>
    <x v="1"/>
    <s v="Animal Complaint"/>
    <s v="Medium"/>
    <x v="2"/>
    <s v="Ward 4"/>
    <x v="339"/>
    <m/>
    <s v="Web"/>
    <m/>
    <m/>
    <n v="10"/>
    <s v="Pending"/>
    <d v="2025-12-01T00:00:00"/>
    <n v="2025"/>
    <n v="4"/>
    <s v="No"/>
  </r>
  <r>
    <s v="SR-2025-01651"/>
    <x v="1"/>
    <s v="Noise Complaint"/>
    <s v="Medium"/>
    <x v="1"/>
    <s v="Ward 5"/>
    <x v="308"/>
    <m/>
    <s v="Web"/>
    <m/>
    <m/>
    <n v="10"/>
    <s v="Pending"/>
    <d v="2025-02-01T00:00:00"/>
    <n v="2025"/>
    <n v="1"/>
    <s v="No"/>
  </r>
  <r>
    <s v="SR-2025-01652"/>
    <x v="3"/>
    <s v="Road Damage"/>
    <s v="Medium"/>
    <x v="0"/>
    <s v="Ward 1"/>
    <x v="193"/>
    <d v="2025-11-14T00:00:00"/>
    <s v="Mobile App"/>
    <n v="5"/>
    <n v="8"/>
    <n v="10"/>
    <s v="Yes"/>
    <d v="2025-11-01T00:00:00"/>
    <n v="2025"/>
    <n v="4"/>
    <s v="Yes"/>
  </r>
  <r>
    <s v="SR-2025-01653"/>
    <x v="0"/>
    <s v="Traffic Concern"/>
    <s v="High"/>
    <x v="0"/>
    <s v="Ward 4"/>
    <x v="289"/>
    <d v="2025-09-26T00:00:00"/>
    <s v="Web"/>
    <n v="5"/>
    <n v="1"/>
    <n v="7"/>
    <s v="Yes"/>
    <d v="2025-09-01T00:00:00"/>
    <n v="2025"/>
    <n v="3"/>
    <s v="Yes"/>
  </r>
  <r>
    <s v="SR-2025-01654"/>
    <x v="5"/>
    <s v="Park Equipment Damage"/>
    <s v="Low"/>
    <x v="2"/>
    <s v="Ward 3"/>
    <x v="308"/>
    <m/>
    <s v="Email"/>
    <m/>
    <m/>
    <n v="14"/>
    <s v="Pending"/>
    <d v="2025-02-01T00:00:00"/>
    <n v="2025"/>
    <n v="1"/>
    <s v="No"/>
  </r>
  <r>
    <s v="SR-2025-01655"/>
    <x v="3"/>
    <s v="Snow Removal"/>
    <s v="High"/>
    <x v="0"/>
    <s v="Ward 2"/>
    <x v="253"/>
    <d v="2025-12-19T00:00:00"/>
    <s v="Mobile App"/>
    <n v="4"/>
    <n v="3"/>
    <n v="7"/>
    <s v="Yes"/>
    <d v="2025-12-01T00:00:00"/>
    <n v="2025"/>
    <n v="4"/>
    <s v="Yes"/>
  </r>
  <r>
    <s v="SR-2025-01656"/>
    <x v="4"/>
    <s v="Water Leak"/>
    <s v="Medium"/>
    <x v="0"/>
    <s v="Ward 2"/>
    <x v="66"/>
    <d v="2025-11-28T00:00:00"/>
    <s v="Phone"/>
    <n v="5"/>
    <n v="6"/>
    <n v="10"/>
    <s v="Yes"/>
    <d v="2025-11-01T00:00:00"/>
    <n v="2025"/>
    <n v="4"/>
    <s v="Yes"/>
  </r>
  <r>
    <s v="SR-2025-01657"/>
    <x v="1"/>
    <s v="Parking Complaint"/>
    <s v="High"/>
    <x v="1"/>
    <s v="Ward 4"/>
    <x v="244"/>
    <m/>
    <s v="Web"/>
    <m/>
    <m/>
    <n v="7"/>
    <s v="Pending"/>
    <d v="2025-03-01T00:00:00"/>
    <n v="2025"/>
    <n v="1"/>
    <s v="No"/>
  </r>
  <r>
    <s v="SR-2025-01658"/>
    <x v="2"/>
    <s v="Illegal Dumping"/>
    <s v="Medium"/>
    <x v="0"/>
    <s v="Ward 1"/>
    <x v="297"/>
    <d v="2025-05-04T00:00:00"/>
    <s v="Web"/>
    <n v="5"/>
    <n v="7"/>
    <n v="10"/>
    <s v="Yes"/>
    <d v="2025-04-01T00:00:00"/>
    <n v="2025"/>
    <n v="2"/>
    <s v="Yes"/>
  </r>
  <r>
    <s v="SR-2025-01659"/>
    <x v="0"/>
    <s v="Traffic Concern"/>
    <s v="Medium"/>
    <x v="0"/>
    <s v="Ward 4"/>
    <x v="154"/>
    <d v="2025-04-14T00:00:00"/>
    <s v="Mobile App"/>
    <n v="3"/>
    <n v="8"/>
    <n v="10"/>
    <s v="Yes"/>
    <d v="2025-04-01T00:00:00"/>
    <n v="2025"/>
    <n v="2"/>
    <s v="Yes"/>
  </r>
  <r>
    <s v="SR-2025-01660"/>
    <x v="2"/>
    <s v="Green Bin Issue"/>
    <s v="High"/>
    <x v="1"/>
    <s v="Ward 3"/>
    <x v="51"/>
    <m/>
    <s v="Web"/>
    <m/>
    <m/>
    <n v="7"/>
    <s v="Pending"/>
    <d v="2025-03-01T00:00:00"/>
    <n v="2025"/>
    <n v="1"/>
    <s v="No"/>
  </r>
  <r>
    <s v="SR-2025-01661"/>
    <x v="3"/>
    <s v="Road Damage"/>
    <s v="Medium"/>
    <x v="2"/>
    <s v="Ward 5"/>
    <x v="341"/>
    <m/>
    <s v="Mobile App"/>
    <m/>
    <m/>
    <n v="10"/>
    <s v="Pending"/>
    <d v="2025-12-01T00:00:00"/>
    <n v="2025"/>
    <n v="4"/>
    <s v="No"/>
  </r>
  <r>
    <s v="SR-2025-01662"/>
    <x v="1"/>
    <s v="Property Standards"/>
    <s v="Medium"/>
    <x v="0"/>
    <s v="Ward 5"/>
    <x v="129"/>
    <d v="2025-04-15T00:00:00"/>
    <s v="Email"/>
    <n v="2"/>
    <n v="3"/>
    <n v="10"/>
    <s v="Yes"/>
    <d v="2025-04-01T00:00:00"/>
    <n v="2025"/>
    <n v="2"/>
    <s v="Yes"/>
  </r>
  <r>
    <s v="SR-2025-01663"/>
    <x v="2"/>
    <s v="Recycling Issue"/>
    <s v="High"/>
    <x v="0"/>
    <s v="Ward 1"/>
    <x v="180"/>
    <d v="2025-07-25T00:00:00"/>
    <s v="Mobile App"/>
    <n v="5"/>
    <n v="2"/>
    <n v="7"/>
    <s v="Yes"/>
    <d v="2025-07-01T00:00:00"/>
    <n v="2025"/>
    <n v="3"/>
    <s v="Yes"/>
  </r>
  <r>
    <s v="SR-2025-01664"/>
    <x v="1"/>
    <s v="Noise Complaint"/>
    <s v="Medium"/>
    <x v="0"/>
    <s v="Ward 3"/>
    <x v="39"/>
    <d v="2025-01-26T00:00:00"/>
    <s v="Web"/>
    <n v="4"/>
    <n v="5"/>
    <n v="10"/>
    <s v="Yes"/>
    <d v="2025-01-01T00:00:00"/>
    <n v="2025"/>
    <n v="1"/>
    <s v="Yes"/>
  </r>
  <r>
    <s v="SR-2025-01665"/>
    <x v="4"/>
    <s v="Low Water Pressure"/>
    <s v="High"/>
    <x v="2"/>
    <s v="Ward 2"/>
    <x v="33"/>
    <m/>
    <s v="Email"/>
    <m/>
    <m/>
    <n v="7"/>
    <s v="Pending"/>
    <d v="2025-05-01T00:00:00"/>
    <n v="2025"/>
    <n v="2"/>
    <s v="No"/>
  </r>
  <r>
    <s v="SR-2025-01666"/>
    <x v="0"/>
    <s v="Traffic Signal Issue"/>
    <s v="Low"/>
    <x v="0"/>
    <s v="Ward 4"/>
    <x v="250"/>
    <d v="2025-01-23T00:00:00"/>
    <s v="Email"/>
    <n v="4"/>
    <n v="12"/>
    <n v="14"/>
    <s v="Yes"/>
    <d v="2025-01-01T00:00:00"/>
    <n v="2025"/>
    <n v="1"/>
    <s v="Yes"/>
  </r>
  <r>
    <s v="SR-2025-01667"/>
    <x v="1"/>
    <s v="Property Standards"/>
    <s v="Medium"/>
    <x v="1"/>
    <s v="Ward 4"/>
    <x v="73"/>
    <m/>
    <s v="In Person"/>
    <m/>
    <m/>
    <n v="10"/>
    <s v="Pending"/>
    <d v="2025-10-01T00:00:00"/>
    <n v="2025"/>
    <n v="4"/>
    <s v="No"/>
  </r>
  <r>
    <s v="SR-2025-01668"/>
    <x v="4"/>
    <s v="Sewer Backup"/>
    <s v="High"/>
    <x v="2"/>
    <s v="Ward 4"/>
    <x v="15"/>
    <m/>
    <s v="Mobile App"/>
    <m/>
    <m/>
    <n v="7"/>
    <s v="Pending"/>
    <d v="2025-05-01T00:00:00"/>
    <n v="2025"/>
    <n v="2"/>
    <s v="No"/>
  </r>
  <r>
    <s v="SR-2025-01669"/>
    <x v="2"/>
    <s v="Recycling Issue"/>
    <s v="Medium"/>
    <x v="0"/>
    <s v="Ward 2"/>
    <x v="208"/>
    <d v="2025-12-25T00:00:00"/>
    <s v="In Person"/>
    <n v="4"/>
    <n v="4"/>
    <n v="10"/>
    <s v="Yes"/>
    <d v="2025-12-01T00:00:00"/>
    <n v="2025"/>
    <n v="4"/>
    <s v="Yes"/>
  </r>
  <r>
    <s v="SR-2025-01670"/>
    <x v="1"/>
    <s v="Property Standards"/>
    <s v="Low"/>
    <x v="2"/>
    <s v="Ward 4"/>
    <x v="278"/>
    <m/>
    <s v="In Person"/>
    <m/>
    <m/>
    <n v="14"/>
    <s v="Pending"/>
    <d v="2025-09-01T00:00:00"/>
    <n v="2025"/>
    <n v="3"/>
    <s v="No"/>
  </r>
  <r>
    <s v="SR-2025-01671"/>
    <x v="2"/>
    <s v="Missed Garbage Pickup"/>
    <s v="High"/>
    <x v="0"/>
    <s v="Ward 5"/>
    <x v="294"/>
    <d v="2025-07-04T00:00:00"/>
    <s v="Phone"/>
    <n v="5"/>
    <n v="6"/>
    <n v="7"/>
    <s v="Yes"/>
    <d v="2025-06-01T00:00:00"/>
    <n v="2025"/>
    <n v="2"/>
    <s v="Yes"/>
  </r>
  <r>
    <s v="SR-2025-01672"/>
    <x v="4"/>
    <s v="Sewer Backup"/>
    <s v="Medium"/>
    <x v="0"/>
    <s v="Ward 4"/>
    <x v="127"/>
    <d v="2025-11-22T00:00:00"/>
    <s v="Web"/>
    <n v="4"/>
    <n v="9"/>
    <n v="10"/>
    <s v="Yes"/>
    <d v="2025-11-01T00:00:00"/>
    <n v="2025"/>
    <n v="4"/>
    <s v="Yes"/>
  </r>
  <r>
    <s v="SR-2025-01673"/>
    <x v="5"/>
    <s v="Tree Maintenance"/>
    <s v="Medium"/>
    <x v="0"/>
    <s v="Ward 2"/>
    <x v="228"/>
    <d v="2025-02-06T00:00:00"/>
    <s v="Web"/>
    <n v="4"/>
    <n v="7"/>
    <n v="10"/>
    <s v="Yes"/>
    <d v="2025-01-01T00:00:00"/>
    <n v="2025"/>
    <n v="1"/>
    <s v="Yes"/>
  </r>
  <r>
    <s v="SR-2025-01674"/>
    <x v="0"/>
    <s v="Road Sign Damage"/>
    <s v="Low"/>
    <x v="0"/>
    <s v="Ward 1"/>
    <x v="344"/>
    <d v="2025-10-26T00:00:00"/>
    <s v="In Person"/>
    <n v="5"/>
    <n v="7"/>
    <n v="14"/>
    <s v="Yes"/>
    <d v="2025-10-01T00:00:00"/>
    <n v="2025"/>
    <n v="4"/>
    <s v="Yes"/>
  </r>
  <r>
    <s v="SR-2025-01675"/>
    <x v="4"/>
    <s v="Water Quality Concern"/>
    <s v="High"/>
    <x v="2"/>
    <s v="Ward 2"/>
    <x v="329"/>
    <m/>
    <s v="Email"/>
    <m/>
    <m/>
    <n v="7"/>
    <s v="Pending"/>
    <d v="2025-07-01T00:00:00"/>
    <n v="2025"/>
    <n v="3"/>
    <s v="No"/>
  </r>
  <r>
    <s v="SR-2025-01676"/>
    <x v="2"/>
    <s v="Illegal Dumping"/>
    <s v="Medium"/>
    <x v="0"/>
    <s v="Ward 5"/>
    <x v="88"/>
    <d v="2025-09-26T00:00:00"/>
    <s v="In Person"/>
    <n v="3"/>
    <n v="8"/>
    <n v="10"/>
    <s v="Yes"/>
    <d v="2025-09-01T00:00:00"/>
    <n v="2025"/>
    <n v="3"/>
    <s v="Yes"/>
  </r>
  <r>
    <s v="SR-2025-01677"/>
    <x v="2"/>
    <s v="Missed Garbage Pickup"/>
    <s v="Critical"/>
    <x v="0"/>
    <s v="Ward 1"/>
    <x v="242"/>
    <d v="2025-07-03T00:00:00"/>
    <s v="In Person"/>
    <n v="5"/>
    <n v="0"/>
    <n v="3"/>
    <s v="Yes"/>
    <d v="2025-07-01T00:00:00"/>
    <n v="2025"/>
    <n v="3"/>
    <s v="Yes"/>
  </r>
  <r>
    <s v="SR-2025-01678"/>
    <x v="3"/>
    <s v="Snow Removal"/>
    <s v="High"/>
    <x v="0"/>
    <s v="Ward 2"/>
    <x v="269"/>
    <d v="2025-05-13T00:00:00"/>
    <s v="Phone"/>
    <n v="5"/>
    <n v="5"/>
    <n v="7"/>
    <s v="Yes"/>
    <d v="2025-05-01T00:00:00"/>
    <n v="2025"/>
    <n v="2"/>
    <s v="Yes"/>
  </r>
  <r>
    <s v="SR-2025-01679"/>
    <x v="3"/>
    <s v="Snow Removal"/>
    <s v="High"/>
    <x v="0"/>
    <s v="Ward 4"/>
    <x v="198"/>
    <d v="2025-02-22T00:00:00"/>
    <s v="Email"/>
    <n v="4"/>
    <n v="4"/>
    <n v="7"/>
    <s v="Yes"/>
    <d v="2025-02-01T00:00:00"/>
    <n v="2025"/>
    <n v="1"/>
    <s v="Yes"/>
  </r>
  <r>
    <s v="SR-2025-01680"/>
    <x v="4"/>
    <s v="Water Quality Concern"/>
    <s v="Low"/>
    <x v="0"/>
    <s v="Ward 4"/>
    <x v="106"/>
    <d v="2025-02-26T00:00:00"/>
    <s v="Mobile App"/>
    <n v="4"/>
    <n v="7"/>
    <n v="14"/>
    <s v="Yes"/>
    <d v="2025-02-01T00:00:00"/>
    <n v="2025"/>
    <n v="1"/>
    <s v="Yes"/>
  </r>
  <r>
    <s v="SR-2025-01681"/>
    <x v="4"/>
    <s v="Water Leak"/>
    <s v="Low"/>
    <x v="0"/>
    <s v="Ward 1"/>
    <x v="297"/>
    <d v="2025-05-05T00:00:00"/>
    <s v="Mobile App"/>
    <n v="5"/>
    <n v="8"/>
    <n v="14"/>
    <s v="Yes"/>
    <d v="2025-04-01T00:00:00"/>
    <n v="2025"/>
    <n v="2"/>
    <s v="Yes"/>
  </r>
  <r>
    <s v="SR-2025-01682"/>
    <x v="4"/>
    <s v="Water Leak"/>
    <s v="Medium"/>
    <x v="0"/>
    <s v="Ward 1"/>
    <x v="45"/>
    <d v="2025-11-09T00:00:00"/>
    <s v="Mobile App"/>
    <n v="5"/>
    <n v="2"/>
    <n v="10"/>
    <s v="Yes"/>
    <d v="2025-11-01T00:00:00"/>
    <n v="2025"/>
    <n v="4"/>
    <s v="Yes"/>
  </r>
  <r>
    <s v="SR-2025-01683"/>
    <x v="3"/>
    <s v="Road Damage"/>
    <s v="Low"/>
    <x v="2"/>
    <s v="Ward 1"/>
    <x v="310"/>
    <m/>
    <s v="Mobile App"/>
    <m/>
    <m/>
    <n v="14"/>
    <s v="Pending"/>
    <d v="2025-01-01T00:00:00"/>
    <n v="2025"/>
    <n v="1"/>
    <s v="No"/>
  </r>
  <r>
    <s v="SR-2025-01684"/>
    <x v="4"/>
    <s v="Sewer Backup"/>
    <s v="Low"/>
    <x v="2"/>
    <s v="Ward 3"/>
    <x v="32"/>
    <m/>
    <s v="Web"/>
    <m/>
    <m/>
    <n v="14"/>
    <s v="Pending"/>
    <d v="2025-10-01T00:00:00"/>
    <n v="2025"/>
    <n v="4"/>
    <s v="No"/>
  </r>
  <r>
    <s v="SR-2025-01685"/>
    <x v="5"/>
    <s v="Park Equipment Damage"/>
    <s v="Medium"/>
    <x v="0"/>
    <s v="Ward 1"/>
    <x v="302"/>
    <d v="2025-10-07T00:00:00"/>
    <s v="Phone"/>
    <n v="5"/>
    <n v="5"/>
    <n v="10"/>
    <s v="Yes"/>
    <d v="2025-10-01T00:00:00"/>
    <n v="2025"/>
    <n v="4"/>
    <s v="Yes"/>
  </r>
  <r>
    <s v="SR-2025-01686"/>
    <x v="1"/>
    <s v="Parking Complaint"/>
    <s v="Medium"/>
    <x v="2"/>
    <s v="Ward 2"/>
    <x v="37"/>
    <m/>
    <s v="In Person"/>
    <m/>
    <m/>
    <n v="10"/>
    <s v="Pending"/>
    <d v="2025-12-01T00:00:00"/>
    <n v="2025"/>
    <n v="4"/>
    <s v="No"/>
  </r>
  <r>
    <s v="SR-2025-01687"/>
    <x v="5"/>
    <s v="Trail Maintenance"/>
    <s v="Low"/>
    <x v="0"/>
    <s v="Ward 3"/>
    <x v="46"/>
    <d v="2025-10-18T00:00:00"/>
    <s v="Mobile App"/>
    <n v="5"/>
    <n v="15"/>
    <n v="14"/>
    <s v="No"/>
    <d v="2025-10-01T00:00:00"/>
    <n v="2025"/>
    <n v="4"/>
    <s v="Yes"/>
  </r>
  <r>
    <s v="SR-2025-01688"/>
    <x v="3"/>
    <s v="Sidewalk Damage"/>
    <s v="Medium"/>
    <x v="0"/>
    <s v="Ward 5"/>
    <x v="248"/>
    <d v="2025-03-30T00:00:00"/>
    <s v="Phone"/>
    <n v="4"/>
    <n v="3"/>
    <n v="10"/>
    <s v="Yes"/>
    <d v="2025-03-01T00:00:00"/>
    <n v="2025"/>
    <n v="1"/>
    <s v="Yes"/>
  </r>
  <r>
    <s v="SR-2025-01689"/>
    <x v="1"/>
    <s v="Parking Complaint"/>
    <s v="High"/>
    <x v="2"/>
    <s v="Ward 4"/>
    <x v="262"/>
    <m/>
    <s v="Email"/>
    <m/>
    <m/>
    <n v="7"/>
    <s v="Pending"/>
    <d v="2025-10-01T00:00:00"/>
    <n v="2025"/>
    <n v="4"/>
    <s v="No"/>
  </r>
  <r>
    <s v="SR-2025-01690"/>
    <x v="3"/>
    <s v="Pothole Repair"/>
    <s v="Medium"/>
    <x v="0"/>
    <s v="Ward 4"/>
    <x v="31"/>
    <d v="2025-05-12T00:00:00"/>
    <s v="Web"/>
    <n v="3"/>
    <n v="9"/>
    <n v="10"/>
    <s v="Yes"/>
    <d v="2025-05-01T00:00:00"/>
    <n v="2025"/>
    <n v="2"/>
    <s v="Yes"/>
  </r>
  <r>
    <s v="SR-2025-01691"/>
    <x v="2"/>
    <s v="Missed Garbage Pickup"/>
    <s v="High"/>
    <x v="2"/>
    <s v="Ward 5"/>
    <x v="90"/>
    <m/>
    <s v="Web"/>
    <m/>
    <m/>
    <n v="7"/>
    <s v="Pending"/>
    <d v="2025-12-01T00:00:00"/>
    <n v="2025"/>
    <n v="4"/>
    <s v="No"/>
  </r>
  <r>
    <s v="SR-2025-01692"/>
    <x v="1"/>
    <s v="Noise Complaint"/>
    <s v="Medium"/>
    <x v="0"/>
    <s v="Ward 5"/>
    <x v="144"/>
    <d v="2025-10-07T00:00:00"/>
    <s v="Phone"/>
    <n v="4"/>
    <n v="10"/>
    <n v="10"/>
    <s v="Yes"/>
    <d v="2025-09-01T00:00:00"/>
    <n v="2025"/>
    <n v="3"/>
    <s v="Yes"/>
  </r>
  <r>
    <s v="SR-2025-01693"/>
    <x v="2"/>
    <s v="Illegal Dumping"/>
    <s v="Low"/>
    <x v="1"/>
    <s v="Ward 4"/>
    <x v="207"/>
    <m/>
    <s v="Email"/>
    <m/>
    <m/>
    <n v="14"/>
    <s v="Pending"/>
    <d v="2025-05-01T00:00:00"/>
    <n v="2025"/>
    <n v="2"/>
    <s v="No"/>
  </r>
  <r>
    <s v="SR-2025-01694"/>
    <x v="4"/>
    <s v="Water Quality Concern"/>
    <s v="Low"/>
    <x v="0"/>
    <s v="Ward 5"/>
    <x v="84"/>
    <d v="2025-03-03T00:00:00"/>
    <s v="Email"/>
    <n v="4"/>
    <n v="8"/>
    <n v="14"/>
    <s v="Yes"/>
    <d v="2025-02-01T00:00:00"/>
    <n v="2025"/>
    <n v="1"/>
    <s v="Yes"/>
  </r>
  <r>
    <s v="SR-2025-01695"/>
    <x v="2"/>
    <s v="Green Bin Issue"/>
    <s v="Critical"/>
    <x v="1"/>
    <s v="Ward 1"/>
    <x v="255"/>
    <m/>
    <s v="In Person"/>
    <m/>
    <m/>
    <n v="3"/>
    <s v="Pending"/>
    <d v="2025-12-01T00:00:00"/>
    <n v="2025"/>
    <n v="4"/>
    <s v="No"/>
  </r>
  <r>
    <s v="SR-2025-01696"/>
    <x v="3"/>
    <s v="Road Damage"/>
    <s v="Critical"/>
    <x v="0"/>
    <s v="Ward 1"/>
    <x v="98"/>
    <d v="2025-10-29T00:00:00"/>
    <s v="In Person"/>
    <n v="4"/>
    <n v="1"/>
    <n v="3"/>
    <s v="Yes"/>
    <d v="2025-10-01T00:00:00"/>
    <n v="2025"/>
    <n v="4"/>
    <s v="Yes"/>
  </r>
  <r>
    <s v="SR-2025-01697"/>
    <x v="3"/>
    <s v="Pothole Repair"/>
    <s v="Critical"/>
    <x v="0"/>
    <s v="Ward 4"/>
    <x v="168"/>
    <d v="2025-06-30T00:00:00"/>
    <s v="In Person"/>
    <n v="5"/>
    <n v="0"/>
    <n v="3"/>
    <s v="Yes"/>
    <d v="2025-06-01T00:00:00"/>
    <n v="2025"/>
    <n v="2"/>
    <s v="Yes"/>
  </r>
  <r>
    <s v="SR-2025-01698"/>
    <x v="1"/>
    <s v="Property Standards"/>
    <s v="Medium"/>
    <x v="0"/>
    <s v="Ward 2"/>
    <x v="4"/>
    <d v="2025-01-28T00:00:00"/>
    <s v="Phone"/>
    <n v="2"/>
    <n v="5"/>
    <n v="10"/>
    <s v="Yes"/>
    <d v="2025-01-01T00:00:00"/>
    <n v="2025"/>
    <n v="1"/>
    <s v="Yes"/>
  </r>
  <r>
    <s v="SR-2025-01699"/>
    <x v="0"/>
    <s v="Road Sign Damage"/>
    <s v="Low"/>
    <x v="0"/>
    <s v="Ward 1"/>
    <x v="357"/>
    <d v="2025-04-28T00:00:00"/>
    <s v="Web"/>
    <n v="4"/>
    <n v="12"/>
    <n v="14"/>
    <s v="Yes"/>
    <d v="2025-04-01T00:00:00"/>
    <n v="2025"/>
    <n v="2"/>
    <s v="Yes"/>
  </r>
  <r>
    <s v="SR-2025-01700"/>
    <x v="4"/>
    <s v="Low Water Pressure"/>
    <s v="High"/>
    <x v="0"/>
    <s v="Ward 3"/>
    <x v="270"/>
    <d v="2025-05-30T00:00:00"/>
    <s v="Phone"/>
    <n v="5"/>
    <n v="1"/>
    <n v="7"/>
    <s v="Yes"/>
    <d v="2025-05-01T00:00:00"/>
    <n v="2025"/>
    <n v="2"/>
    <s v="Yes"/>
  </r>
  <r>
    <s v="SR-2025-01701"/>
    <x v="4"/>
    <s v="Low Water Pressure"/>
    <s v="Medium"/>
    <x v="1"/>
    <s v="Ward 2"/>
    <x v="4"/>
    <m/>
    <s v="Phone"/>
    <m/>
    <m/>
    <n v="10"/>
    <s v="Pending"/>
    <d v="2025-01-01T00:00:00"/>
    <n v="2025"/>
    <n v="1"/>
    <s v="No"/>
  </r>
  <r>
    <s v="SR-2025-01702"/>
    <x v="1"/>
    <s v="Property Standards"/>
    <s v="Medium"/>
    <x v="0"/>
    <s v="Ward 3"/>
    <x v="24"/>
    <d v="2025-08-11T00:00:00"/>
    <s v="Email"/>
    <n v="3"/>
    <n v="6"/>
    <n v="10"/>
    <s v="Yes"/>
    <d v="2025-08-01T00:00:00"/>
    <n v="2025"/>
    <n v="3"/>
    <s v="Yes"/>
  </r>
  <r>
    <s v="SR-2025-01703"/>
    <x v="0"/>
    <s v="Streetlight Repair"/>
    <s v="Medium"/>
    <x v="0"/>
    <s v="Ward 4"/>
    <x v="316"/>
    <d v="2025-05-28T00:00:00"/>
    <s v="Mobile App"/>
    <n v="5"/>
    <n v="5"/>
    <n v="10"/>
    <s v="Yes"/>
    <d v="2025-05-01T00:00:00"/>
    <n v="2025"/>
    <n v="2"/>
    <s v="Yes"/>
  </r>
  <r>
    <s v="SR-2025-01704"/>
    <x v="1"/>
    <s v="Noise Complaint"/>
    <s v="Medium"/>
    <x v="0"/>
    <s v="Ward 2"/>
    <x v="197"/>
    <d v="2026-01-01T00:00:00"/>
    <s v="Web"/>
    <n v="3"/>
    <n v="9"/>
    <n v="10"/>
    <s v="Yes"/>
    <d v="2025-12-01T00:00:00"/>
    <n v="2025"/>
    <n v="4"/>
    <s v="Yes"/>
  </r>
  <r>
    <s v="SR-2025-01705"/>
    <x v="0"/>
    <s v="Streetlight Repair"/>
    <s v="Low"/>
    <x v="2"/>
    <s v="Ward 1"/>
    <x v="107"/>
    <m/>
    <s v="Phone"/>
    <m/>
    <m/>
    <n v="14"/>
    <s v="Pending"/>
    <d v="2025-09-01T00:00:00"/>
    <n v="2025"/>
    <n v="3"/>
    <s v="No"/>
  </r>
  <r>
    <s v="SR-2025-01706"/>
    <x v="1"/>
    <s v="Parking Complaint"/>
    <s v="Low"/>
    <x v="1"/>
    <s v="Ward 4"/>
    <x v="352"/>
    <m/>
    <s v="Mobile App"/>
    <m/>
    <m/>
    <n v="14"/>
    <s v="Pending"/>
    <d v="2025-12-01T00:00:00"/>
    <n v="2025"/>
    <n v="4"/>
    <s v="No"/>
  </r>
  <r>
    <s v="SR-2025-01707"/>
    <x v="1"/>
    <s v="Parking Complaint"/>
    <s v="Medium"/>
    <x v="0"/>
    <s v="Ward 2"/>
    <x v="25"/>
    <d v="2025-02-28T00:00:00"/>
    <s v="Web"/>
    <n v="4"/>
    <n v="3"/>
    <n v="10"/>
    <s v="Yes"/>
    <d v="2025-02-01T00:00:00"/>
    <n v="2025"/>
    <n v="1"/>
    <s v="Yes"/>
  </r>
  <r>
    <s v="SR-2025-01708"/>
    <x v="1"/>
    <s v="Animal Complaint"/>
    <s v="Low"/>
    <x v="0"/>
    <s v="Ward 1"/>
    <x v="230"/>
    <d v="2025-01-29T00:00:00"/>
    <s v="Phone"/>
    <n v="4"/>
    <n v="10"/>
    <n v="14"/>
    <s v="Yes"/>
    <d v="2025-01-01T00:00:00"/>
    <n v="2025"/>
    <n v="1"/>
    <s v="Yes"/>
  </r>
  <r>
    <s v="SR-2025-01709"/>
    <x v="3"/>
    <s v="Snow Removal"/>
    <s v="Low"/>
    <x v="1"/>
    <s v="Ward 2"/>
    <x v="29"/>
    <m/>
    <s v="Email"/>
    <m/>
    <m/>
    <n v="14"/>
    <s v="Pending"/>
    <d v="2025-02-01T00:00:00"/>
    <n v="2025"/>
    <n v="1"/>
    <s v="No"/>
  </r>
  <r>
    <s v="SR-2025-01710"/>
    <x v="1"/>
    <s v="Parking Complaint"/>
    <s v="Medium"/>
    <x v="0"/>
    <s v="Ward 5"/>
    <x v="138"/>
    <d v="2025-11-04T00:00:00"/>
    <s v="Phone"/>
    <n v="5"/>
    <n v="2"/>
    <n v="10"/>
    <s v="Yes"/>
    <d v="2025-11-01T00:00:00"/>
    <n v="2025"/>
    <n v="4"/>
    <s v="Yes"/>
  </r>
  <r>
    <s v="SR-2025-01711"/>
    <x v="5"/>
    <s v="Grass Cutting"/>
    <s v="Low"/>
    <x v="0"/>
    <s v="Ward 3"/>
    <x v="336"/>
    <d v="2025-03-28T00:00:00"/>
    <s v="Phone"/>
    <n v="5"/>
    <n v="8"/>
    <n v="14"/>
    <s v="Yes"/>
    <d v="2025-03-01T00:00:00"/>
    <n v="2025"/>
    <n v="1"/>
    <s v="Yes"/>
  </r>
  <r>
    <s v="SR-2025-01712"/>
    <x v="2"/>
    <s v="Green Bin Issue"/>
    <s v="Low"/>
    <x v="0"/>
    <s v="Ward 3"/>
    <x v="337"/>
    <d v="2025-07-29T00:00:00"/>
    <s v="In Person"/>
    <n v="3"/>
    <n v="9"/>
    <n v="14"/>
    <s v="Yes"/>
    <d v="2025-07-01T00:00:00"/>
    <n v="2025"/>
    <n v="3"/>
    <s v="Yes"/>
  </r>
  <r>
    <s v="SR-2025-01713"/>
    <x v="3"/>
    <s v="Road Damage"/>
    <s v="Low"/>
    <x v="0"/>
    <s v="Ward 4"/>
    <x v="243"/>
    <d v="2025-12-17T00:00:00"/>
    <s v="Web"/>
    <n v="4"/>
    <n v="14"/>
    <n v="14"/>
    <s v="Yes"/>
    <d v="2025-12-01T00:00:00"/>
    <n v="2025"/>
    <n v="4"/>
    <s v="Yes"/>
  </r>
  <r>
    <s v="SR-2025-01714"/>
    <x v="5"/>
    <s v="Grass Cutting"/>
    <s v="Medium"/>
    <x v="0"/>
    <s v="Ward 1"/>
    <x v="346"/>
    <d v="2025-06-14T00:00:00"/>
    <s v="Email"/>
    <n v="3"/>
    <n v="2"/>
    <n v="10"/>
    <s v="Yes"/>
    <d v="2025-06-01T00:00:00"/>
    <n v="2025"/>
    <n v="2"/>
    <s v="Yes"/>
  </r>
  <r>
    <s v="SR-2025-01715"/>
    <x v="1"/>
    <s v="Noise Complaint"/>
    <s v="Medium"/>
    <x v="0"/>
    <s v="Ward 1"/>
    <x v="256"/>
    <d v="2025-06-21T00:00:00"/>
    <s v="Phone"/>
    <n v="1"/>
    <n v="7"/>
    <n v="10"/>
    <s v="Yes"/>
    <d v="2025-06-01T00:00:00"/>
    <n v="2025"/>
    <n v="2"/>
    <s v="Yes"/>
  </r>
  <r>
    <s v="SR-2025-01716"/>
    <x v="3"/>
    <s v="Snow Removal"/>
    <s v="Low"/>
    <x v="0"/>
    <s v="Ward 2"/>
    <x v="145"/>
    <d v="2025-08-02T00:00:00"/>
    <s v="Web"/>
    <n v="4"/>
    <n v="15"/>
    <n v="14"/>
    <s v="No"/>
    <d v="2025-07-01T00:00:00"/>
    <n v="2025"/>
    <n v="3"/>
    <s v="Yes"/>
  </r>
  <r>
    <s v="SR-2025-01717"/>
    <x v="1"/>
    <s v="Noise Complaint"/>
    <s v="Low"/>
    <x v="1"/>
    <s v="Ward 5"/>
    <x v="53"/>
    <m/>
    <s v="Email"/>
    <m/>
    <m/>
    <n v="14"/>
    <s v="Pending"/>
    <d v="2025-09-01T00:00:00"/>
    <n v="2025"/>
    <n v="3"/>
    <s v="No"/>
  </r>
  <r>
    <s v="SR-2025-01718"/>
    <x v="2"/>
    <s v="Green Bin Issue"/>
    <s v="Medium"/>
    <x v="1"/>
    <s v="Ward 4"/>
    <x v="253"/>
    <m/>
    <s v="In Person"/>
    <m/>
    <m/>
    <n v="10"/>
    <s v="Pending"/>
    <d v="2025-12-01T00:00:00"/>
    <n v="2025"/>
    <n v="4"/>
    <s v="No"/>
  </r>
  <r>
    <s v="SR-2025-01719"/>
    <x v="2"/>
    <s v="Illegal Dumping"/>
    <s v="Critical"/>
    <x v="0"/>
    <s v="Ward 3"/>
    <x v="159"/>
    <d v="2025-09-04T00:00:00"/>
    <s v="Phone"/>
    <n v="4"/>
    <n v="1"/>
    <n v="3"/>
    <s v="Yes"/>
    <d v="2025-09-01T00:00:00"/>
    <n v="2025"/>
    <n v="3"/>
    <s v="Yes"/>
  </r>
  <r>
    <s v="SR-2025-01720"/>
    <x v="5"/>
    <s v="Grass Cutting"/>
    <s v="Medium"/>
    <x v="0"/>
    <s v="Ward 3"/>
    <x v="145"/>
    <d v="2025-07-24T00:00:00"/>
    <s v="Web"/>
    <n v="5"/>
    <n v="6"/>
    <n v="10"/>
    <s v="Yes"/>
    <d v="2025-07-01T00:00:00"/>
    <n v="2025"/>
    <n v="3"/>
    <s v="Yes"/>
  </r>
  <r>
    <s v="SR-2025-01721"/>
    <x v="4"/>
    <s v="Sewer Backup"/>
    <s v="Low"/>
    <x v="0"/>
    <s v="Ward 4"/>
    <x v="160"/>
    <d v="2026-01-10T00:00:00"/>
    <s v="Phone"/>
    <n v="5"/>
    <n v="11"/>
    <n v="14"/>
    <s v="Yes"/>
    <d v="2025-12-01T00:00:00"/>
    <n v="2025"/>
    <n v="4"/>
    <s v="Yes"/>
  </r>
  <r>
    <s v="SR-2025-01722"/>
    <x v="0"/>
    <s v="Road Sign Damage"/>
    <s v="Low"/>
    <x v="0"/>
    <s v="Ward 4"/>
    <x v="332"/>
    <d v="2025-08-12T00:00:00"/>
    <s v="Email"/>
    <n v="5"/>
    <n v="10"/>
    <n v="14"/>
    <s v="Yes"/>
    <d v="2025-08-01T00:00:00"/>
    <n v="2025"/>
    <n v="3"/>
    <s v="Yes"/>
  </r>
  <r>
    <s v="SR-2025-01723"/>
    <x v="4"/>
    <s v="Sewer Backup"/>
    <s v="Medium"/>
    <x v="0"/>
    <s v="Ward 2"/>
    <x v="55"/>
    <d v="2025-03-20T00:00:00"/>
    <s v="Phone"/>
    <n v="3"/>
    <n v="10"/>
    <n v="10"/>
    <s v="Yes"/>
    <d v="2025-03-01T00:00:00"/>
    <n v="2025"/>
    <n v="1"/>
    <s v="Yes"/>
  </r>
  <r>
    <s v="SR-2025-01724"/>
    <x v="1"/>
    <s v="Property Standards"/>
    <s v="Critical"/>
    <x v="0"/>
    <s v="Ward 5"/>
    <x v="127"/>
    <d v="2025-11-15T00:00:00"/>
    <s v="Email"/>
    <n v="5"/>
    <n v="2"/>
    <n v="3"/>
    <s v="Yes"/>
    <d v="2025-11-01T00:00:00"/>
    <n v="2025"/>
    <n v="4"/>
    <s v="Yes"/>
  </r>
  <r>
    <s v="SR-2025-01725"/>
    <x v="2"/>
    <s v="Illegal Dumping"/>
    <s v="Low"/>
    <x v="0"/>
    <s v="Ward 3"/>
    <x v="25"/>
    <d v="2025-03-08T00:00:00"/>
    <s v="In Person"/>
    <n v="4"/>
    <n v="11"/>
    <n v="14"/>
    <s v="Yes"/>
    <d v="2025-02-01T00:00:00"/>
    <n v="2025"/>
    <n v="1"/>
    <s v="Yes"/>
  </r>
  <r>
    <s v="SR-2025-01726"/>
    <x v="4"/>
    <s v="Water Leak"/>
    <s v="Low"/>
    <x v="0"/>
    <s v="Ward 5"/>
    <x v="298"/>
    <d v="2025-04-04T00:00:00"/>
    <s v="Email"/>
    <n v="4"/>
    <n v="13"/>
    <n v="14"/>
    <s v="Yes"/>
    <d v="2025-03-01T00:00:00"/>
    <n v="2025"/>
    <n v="1"/>
    <s v="Yes"/>
  </r>
  <r>
    <s v="SR-2025-01727"/>
    <x v="5"/>
    <s v="Trail Maintenance"/>
    <s v="Low"/>
    <x v="0"/>
    <s v="Ward 5"/>
    <x v="9"/>
    <d v="2025-10-31T00:00:00"/>
    <s v="Phone"/>
    <n v="3"/>
    <n v="13"/>
    <n v="14"/>
    <s v="Yes"/>
    <d v="2025-10-01T00:00:00"/>
    <n v="2025"/>
    <n v="4"/>
    <s v="Yes"/>
  </r>
  <r>
    <s v="SR-2025-01728"/>
    <x v="0"/>
    <s v="Traffic Concern"/>
    <s v="Medium"/>
    <x v="1"/>
    <s v="Ward 4"/>
    <x v="133"/>
    <m/>
    <s v="Mobile App"/>
    <m/>
    <m/>
    <n v="10"/>
    <s v="Pending"/>
    <d v="2025-03-01T00:00:00"/>
    <n v="2025"/>
    <n v="1"/>
    <s v="No"/>
  </r>
  <r>
    <s v="SR-2025-01729"/>
    <x v="4"/>
    <s v="Low Water Pressure"/>
    <s v="High"/>
    <x v="0"/>
    <s v="Ward 5"/>
    <x v="320"/>
    <d v="2025-09-10T00:00:00"/>
    <s v="In Person"/>
    <n v="4"/>
    <n v="3"/>
    <n v="7"/>
    <s v="Yes"/>
    <d v="2025-09-01T00:00:00"/>
    <n v="2025"/>
    <n v="3"/>
    <s v="Yes"/>
  </r>
  <r>
    <s v="SR-2025-01730"/>
    <x v="0"/>
    <s v="Streetlight Repair"/>
    <s v="Medium"/>
    <x v="1"/>
    <s v="Ward 1"/>
    <x v="18"/>
    <m/>
    <s v="Web"/>
    <m/>
    <m/>
    <n v="10"/>
    <s v="Pending"/>
    <d v="2025-02-01T00:00:00"/>
    <n v="2025"/>
    <n v="1"/>
    <s v="No"/>
  </r>
  <r>
    <s v="SR-2025-01731"/>
    <x v="3"/>
    <s v="Sidewalk Damage"/>
    <s v="High"/>
    <x v="0"/>
    <s v="Ward 2"/>
    <x v="237"/>
    <d v="2025-07-04T00:00:00"/>
    <s v="Mobile App"/>
    <n v="5"/>
    <n v="2"/>
    <n v="7"/>
    <s v="Yes"/>
    <d v="2025-07-01T00:00:00"/>
    <n v="2025"/>
    <n v="3"/>
    <s v="Yes"/>
  </r>
  <r>
    <s v="SR-2025-01732"/>
    <x v="3"/>
    <s v="Sidewalk Damage"/>
    <s v="Medium"/>
    <x v="0"/>
    <s v="Ward 2"/>
    <x v="354"/>
    <d v="2025-08-26T00:00:00"/>
    <s v="Mobile App"/>
    <n v="4"/>
    <n v="9"/>
    <n v="10"/>
    <s v="Yes"/>
    <d v="2025-08-01T00:00:00"/>
    <n v="2025"/>
    <n v="3"/>
    <s v="Yes"/>
  </r>
  <r>
    <s v="SR-2025-01733"/>
    <x v="2"/>
    <s v="Missed Garbage Pickup"/>
    <s v="High"/>
    <x v="0"/>
    <s v="Ward 5"/>
    <x v="133"/>
    <d v="2025-03-21T00:00:00"/>
    <s v="In Person"/>
    <n v="4"/>
    <n v="2"/>
    <n v="7"/>
    <s v="Yes"/>
    <d v="2025-03-01T00:00:00"/>
    <n v="2025"/>
    <n v="1"/>
    <s v="Yes"/>
  </r>
  <r>
    <s v="SR-2025-01734"/>
    <x v="4"/>
    <s v="Low Water Pressure"/>
    <s v="Medium"/>
    <x v="0"/>
    <s v="Ward 2"/>
    <x v="341"/>
    <d v="2025-12-31T00:00:00"/>
    <s v="Web"/>
    <n v="5"/>
    <n v="6"/>
    <n v="10"/>
    <s v="Yes"/>
    <d v="2025-12-01T00:00:00"/>
    <n v="2025"/>
    <n v="4"/>
    <s v="Yes"/>
  </r>
  <r>
    <s v="SR-2025-01735"/>
    <x v="0"/>
    <s v="Traffic Signal Issue"/>
    <s v="High"/>
    <x v="0"/>
    <s v="Ward 4"/>
    <x v="39"/>
    <d v="2025-01-23T00:00:00"/>
    <s v="Email"/>
    <n v="5"/>
    <n v="2"/>
    <n v="7"/>
    <s v="Yes"/>
    <d v="2025-01-01T00:00:00"/>
    <n v="2025"/>
    <n v="1"/>
    <s v="Yes"/>
  </r>
  <r>
    <s v="SR-2025-01736"/>
    <x v="4"/>
    <s v="Low Water Pressure"/>
    <s v="High"/>
    <x v="0"/>
    <s v="Ward 2"/>
    <x v="5"/>
    <d v="2025-07-09T00:00:00"/>
    <s v="Email"/>
    <n v="4"/>
    <n v="4"/>
    <n v="7"/>
    <s v="Yes"/>
    <d v="2025-07-01T00:00:00"/>
    <n v="2025"/>
    <n v="3"/>
    <s v="Yes"/>
  </r>
  <r>
    <s v="SR-2025-01737"/>
    <x v="3"/>
    <s v="Snow Removal"/>
    <s v="Critical"/>
    <x v="0"/>
    <s v="Ward 1"/>
    <x v="268"/>
    <d v="2025-06-23T00:00:00"/>
    <s v="Phone"/>
    <n v="5"/>
    <n v="0"/>
    <n v="3"/>
    <s v="Yes"/>
    <d v="2025-06-01T00:00:00"/>
    <n v="2025"/>
    <n v="2"/>
    <s v="Yes"/>
  </r>
  <r>
    <s v="SR-2025-01738"/>
    <x v="5"/>
    <s v="Grass Cutting"/>
    <s v="Medium"/>
    <x v="2"/>
    <s v="Ward 2"/>
    <x v="111"/>
    <m/>
    <s v="Mobile App"/>
    <m/>
    <m/>
    <n v="10"/>
    <s v="Pending"/>
    <d v="2025-02-01T00:00:00"/>
    <n v="2025"/>
    <n v="1"/>
    <s v="No"/>
  </r>
  <r>
    <s v="SR-2025-01739"/>
    <x v="2"/>
    <s v="Missed Garbage Pickup"/>
    <s v="Medium"/>
    <x v="2"/>
    <s v="Ward 1"/>
    <x v="192"/>
    <m/>
    <s v="In Person"/>
    <m/>
    <m/>
    <n v="10"/>
    <s v="Pending"/>
    <d v="2025-09-01T00:00:00"/>
    <n v="2025"/>
    <n v="3"/>
    <s v="No"/>
  </r>
  <r>
    <s v="SR-2025-01740"/>
    <x v="1"/>
    <s v="Animal Complaint"/>
    <s v="Critical"/>
    <x v="0"/>
    <s v="Ward 5"/>
    <x v="196"/>
    <d v="2025-05-11T00:00:00"/>
    <s v="Web"/>
    <n v="4"/>
    <n v="1"/>
    <n v="3"/>
    <s v="Yes"/>
    <d v="2025-05-01T00:00:00"/>
    <n v="2025"/>
    <n v="2"/>
    <s v="Yes"/>
  </r>
  <r>
    <s v="SR-2025-01741"/>
    <x v="4"/>
    <s v="Sewer Backup"/>
    <s v="High"/>
    <x v="0"/>
    <s v="Ward 4"/>
    <x v="31"/>
    <d v="2025-05-09T00:00:00"/>
    <s v="Email"/>
    <n v="4"/>
    <n v="6"/>
    <n v="7"/>
    <s v="Yes"/>
    <d v="2025-05-01T00:00:00"/>
    <n v="2025"/>
    <n v="2"/>
    <s v="Yes"/>
  </r>
  <r>
    <s v="SR-2025-01742"/>
    <x v="2"/>
    <s v="Missed Garbage Pickup"/>
    <s v="Medium"/>
    <x v="2"/>
    <s v="Ward 4"/>
    <x v="243"/>
    <m/>
    <s v="Web"/>
    <m/>
    <m/>
    <n v="10"/>
    <s v="Pending"/>
    <d v="2025-12-01T00:00:00"/>
    <n v="2025"/>
    <n v="4"/>
    <s v="No"/>
  </r>
  <r>
    <s v="SR-2025-01743"/>
    <x v="2"/>
    <s v="Missed Garbage Pickup"/>
    <s v="Low"/>
    <x v="2"/>
    <s v="Ward 1"/>
    <x v="47"/>
    <m/>
    <s v="In Person"/>
    <m/>
    <m/>
    <n v="14"/>
    <s v="Pending"/>
    <d v="2025-11-01T00:00:00"/>
    <n v="2025"/>
    <n v="4"/>
    <s v="No"/>
  </r>
  <r>
    <s v="SR-2025-01744"/>
    <x v="3"/>
    <s v="Sidewalk Damage"/>
    <s v="Medium"/>
    <x v="2"/>
    <s v="Ward 4"/>
    <x v="203"/>
    <m/>
    <s v="Web"/>
    <m/>
    <m/>
    <n v="10"/>
    <s v="Pending"/>
    <d v="2025-07-01T00:00:00"/>
    <n v="2025"/>
    <n v="3"/>
    <s v="No"/>
  </r>
  <r>
    <s v="SR-2025-01745"/>
    <x v="0"/>
    <s v="Road Sign Damage"/>
    <s v="Medium"/>
    <x v="0"/>
    <s v="Ward 3"/>
    <x v="277"/>
    <d v="2025-09-28T00:00:00"/>
    <s v="Phone"/>
    <n v="4"/>
    <n v="8"/>
    <n v="10"/>
    <s v="Yes"/>
    <d v="2025-09-01T00:00:00"/>
    <n v="2025"/>
    <n v="3"/>
    <s v="Yes"/>
  </r>
  <r>
    <s v="SR-2025-01746"/>
    <x v="2"/>
    <s v="Illegal Dumping"/>
    <s v="Medium"/>
    <x v="0"/>
    <s v="Ward 1"/>
    <x v="14"/>
    <d v="2025-05-20T00:00:00"/>
    <s v="Mobile App"/>
    <n v="5"/>
    <n v="3"/>
    <n v="10"/>
    <s v="Yes"/>
    <d v="2025-05-01T00:00:00"/>
    <n v="2025"/>
    <n v="2"/>
    <s v="Yes"/>
  </r>
  <r>
    <s v="SR-2025-01747"/>
    <x v="1"/>
    <s v="Noise Complaint"/>
    <s v="Low"/>
    <x v="0"/>
    <s v="Ward 3"/>
    <x v="295"/>
    <d v="2025-03-02T00:00:00"/>
    <s v="Web"/>
    <n v="2"/>
    <n v="6"/>
    <n v="14"/>
    <s v="Yes"/>
    <d v="2025-02-01T00:00:00"/>
    <n v="2025"/>
    <n v="1"/>
    <s v="Yes"/>
  </r>
  <r>
    <s v="SR-2025-01748"/>
    <x v="5"/>
    <s v="Park Equipment Damage"/>
    <s v="High"/>
    <x v="2"/>
    <s v="Ward 1"/>
    <x v="360"/>
    <m/>
    <s v="Mobile App"/>
    <m/>
    <m/>
    <n v="7"/>
    <s v="Pending"/>
    <d v="2025-01-01T00:00:00"/>
    <n v="2025"/>
    <n v="1"/>
    <s v="No"/>
  </r>
  <r>
    <s v="SR-2025-01749"/>
    <x v="1"/>
    <s v="Noise Complaint"/>
    <s v="Low"/>
    <x v="0"/>
    <s v="Ward 1"/>
    <x v="322"/>
    <d v="2025-09-06T00:00:00"/>
    <s v="In Person"/>
    <n v="5"/>
    <n v="13"/>
    <n v="14"/>
    <s v="Yes"/>
    <d v="2025-08-01T00:00:00"/>
    <n v="2025"/>
    <n v="3"/>
    <s v="Yes"/>
  </r>
  <r>
    <s v="SR-2025-01750"/>
    <x v="3"/>
    <s v="Pothole Repair"/>
    <s v="High"/>
    <x v="0"/>
    <s v="Ward 1"/>
    <x v="30"/>
    <d v="2025-02-13T00:00:00"/>
    <s v="Web"/>
    <n v="2"/>
    <n v="2"/>
    <n v="7"/>
    <s v="Yes"/>
    <d v="2025-02-01T00:00:00"/>
    <n v="2025"/>
    <n v="1"/>
    <s v="Yes"/>
  </r>
  <r>
    <s v="SR-2025-01751"/>
    <x v="4"/>
    <s v="Low Water Pressure"/>
    <s v="Low"/>
    <x v="0"/>
    <s v="Ward 2"/>
    <x v="145"/>
    <d v="2025-07-26T00:00:00"/>
    <s v="Email"/>
    <n v="4"/>
    <n v="8"/>
    <n v="14"/>
    <s v="Yes"/>
    <d v="2025-07-01T00:00:00"/>
    <n v="2025"/>
    <n v="3"/>
    <s v="Yes"/>
  </r>
  <r>
    <s v="SR-2025-01752"/>
    <x v="5"/>
    <s v="Trail Maintenance"/>
    <s v="Medium"/>
    <x v="0"/>
    <s v="Ward 5"/>
    <x v="355"/>
    <d v="2025-05-30T00:00:00"/>
    <s v="Web"/>
    <n v="4"/>
    <n v="2"/>
    <n v="10"/>
    <s v="Yes"/>
    <d v="2025-05-01T00:00:00"/>
    <n v="2025"/>
    <n v="2"/>
    <s v="Yes"/>
  </r>
  <r>
    <s v="SR-2025-01753"/>
    <x v="3"/>
    <s v="Road Damage"/>
    <s v="Critical"/>
    <x v="0"/>
    <s v="Ward 1"/>
    <x v="300"/>
    <d v="2025-10-06T00:00:00"/>
    <s v="Phone"/>
    <n v="5"/>
    <n v="1"/>
    <n v="3"/>
    <s v="Yes"/>
    <d v="2025-10-01T00:00:00"/>
    <n v="2025"/>
    <n v="4"/>
    <s v="Yes"/>
  </r>
  <r>
    <s v="SR-2025-01754"/>
    <x v="5"/>
    <s v="Grass Cutting"/>
    <s v="High"/>
    <x v="0"/>
    <s v="Ward 3"/>
    <x v="329"/>
    <d v="2025-07-28T00:00:00"/>
    <s v="In Person"/>
    <n v="5"/>
    <n v="6"/>
    <n v="7"/>
    <s v="Yes"/>
    <d v="2025-07-01T00:00:00"/>
    <n v="2025"/>
    <n v="3"/>
    <s v="Yes"/>
  </r>
  <r>
    <s v="SR-2025-01755"/>
    <x v="4"/>
    <s v="Sewer Backup"/>
    <s v="Low"/>
    <x v="0"/>
    <s v="Ward 1"/>
    <x v="176"/>
    <d v="2025-07-10T00:00:00"/>
    <s v="Mobile App"/>
    <n v="3"/>
    <n v="14"/>
    <n v="14"/>
    <s v="Yes"/>
    <d v="2025-06-01T00:00:00"/>
    <n v="2025"/>
    <n v="2"/>
    <s v="Yes"/>
  </r>
  <r>
    <s v="SR-2025-01756"/>
    <x v="2"/>
    <s v="Recycling Issue"/>
    <s v="Low"/>
    <x v="0"/>
    <s v="Ward 4"/>
    <x v="176"/>
    <d v="2025-07-10T00:00:00"/>
    <s v="Web"/>
    <n v="2"/>
    <n v="14"/>
    <n v="14"/>
    <s v="Yes"/>
    <d v="2025-06-01T00:00:00"/>
    <n v="2025"/>
    <n v="2"/>
    <s v="Yes"/>
  </r>
  <r>
    <s v="SR-2025-01757"/>
    <x v="0"/>
    <s v="Traffic Concern"/>
    <s v="Low"/>
    <x v="1"/>
    <s v="Ward 3"/>
    <x v="179"/>
    <m/>
    <s v="In Person"/>
    <m/>
    <m/>
    <n v="14"/>
    <s v="Pending"/>
    <d v="2025-02-01T00:00:00"/>
    <n v="2025"/>
    <n v="1"/>
    <s v="No"/>
  </r>
  <r>
    <s v="SR-2025-01758"/>
    <x v="2"/>
    <s v="Missed Garbage Pickup"/>
    <s v="Medium"/>
    <x v="0"/>
    <s v="Ward 4"/>
    <x v="165"/>
    <d v="2025-06-22T00:00:00"/>
    <s v="Mobile App"/>
    <n v="4"/>
    <n v="9"/>
    <n v="10"/>
    <s v="Yes"/>
    <d v="2025-06-01T00:00:00"/>
    <n v="2025"/>
    <n v="2"/>
    <s v="Yes"/>
  </r>
  <r>
    <s v="SR-2025-01759"/>
    <x v="4"/>
    <s v="Sewer Backup"/>
    <s v="High"/>
    <x v="0"/>
    <s v="Ward 1"/>
    <x v="71"/>
    <d v="2025-04-10T00:00:00"/>
    <s v="Mobile App"/>
    <n v="4"/>
    <n v="2"/>
    <n v="7"/>
    <s v="Yes"/>
    <d v="2025-04-01T00:00:00"/>
    <n v="2025"/>
    <n v="2"/>
    <s v="Yes"/>
  </r>
  <r>
    <s v="SR-2025-01760"/>
    <x v="4"/>
    <s v="Water Quality Concern"/>
    <s v="High"/>
    <x v="0"/>
    <s v="Ward 4"/>
    <x v="257"/>
    <d v="2025-07-30T00:00:00"/>
    <s v="Email"/>
    <n v="5"/>
    <n v="4"/>
    <n v="7"/>
    <s v="Yes"/>
    <d v="2025-07-01T00:00:00"/>
    <n v="2025"/>
    <n v="3"/>
    <s v="Yes"/>
  </r>
  <r>
    <s v="SR-2025-01761"/>
    <x v="5"/>
    <s v="Park Equipment Damage"/>
    <s v="High"/>
    <x v="0"/>
    <s v="Ward 3"/>
    <x v="104"/>
    <d v="2025-01-20T00:00:00"/>
    <s v="Email"/>
    <n v="3"/>
    <n v="7"/>
    <n v="7"/>
    <s v="Yes"/>
    <d v="2025-01-01T00:00:00"/>
    <n v="2025"/>
    <n v="1"/>
    <s v="Yes"/>
  </r>
  <r>
    <s v="SR-2025-01762"/>
    <x v="0"/>
    <s v="Traffic Signal Issue"/>
    <s v="Medium"/>
    <x v="0"/>
    <s v="Ward 2"/>
    <x v="199"/>
    <d v="2025-12-09T00:00:00"/>
    <s v="Phone"/>
    <n v="3"/>
    <n v="4"/>
    <n v="10"/>
    <s v="Yes"/>
    <d v="2025-12-01T00:00:00"/>
    <n v="2025"/>
    <n v="4"/>
    <s v="Yes"/>
  </r>
  <r>
    <s v="SR-2025-01763"/>
    <x v="3"/>
    <s v="Pothole Repair"/>
    <s v="Medium"/>
    <x v="0"/>
    <s v="Ward 4"/>
    <x v="183"/>
    <d v="2025-06-27T00:00:00"/>
    <s v="Phone"/>
    <n v="1"/>
    <n v="5"/>
    <n v="10"/>
    <s v="Yes"/>
    <d v="2025-06-01T00:00:00"/>
    <n v="2025"/>
    <n v="2"/>
    <s v="Yes"/>
  </r>
  <r>
    <s v="SR-2025-01764"/>
    <x v="2"/>
    <s v="Illegal Dumping"/>
    <s v="Low"/>
    <x v="0"/>
    <s v="Ward 2"/>
    <x v="167"/>
    <d v="2025-09-22T00:00:00"/>
    <s v="Email"/>
    <n v="4"/>
    <n v="9"/>
    <n v="14"/>
    <s v="Yes"/>
    <d v="2025-09-01T00:00:00"/>
    <n v="2025"/>
    <n v="3"/>
    <s v="Yes"/>
  </r>
  <r>
    <s v="SR-2025-01765"/>
    <x v="0"/>
    <s v="Streetlight Repair"/>
    <s v="Medium"/>
    <x v="0"/>
    <s v="Ward 2"/>
    <x v="112"/>
    <d v="2025-06-24T00:00:00"/>
    <s v="Phone"/>
    <n v="4"/>
    <n v="9"/>
    <n v="10"/>
    <s v="Yes"/>
    <d v="2025-06-01T00:00:00"/>
    <n v="2025"/>
    <n v="2"/>
    <s v="Yes"/>
  </r>
  <r>
    <s v="SR-2025-01766"/>
    <x v="1"/>
    <s v="Animal Complaint"/>
    <s v="High"/>
    <x v="0"/>
    <s v="Ward 3"/>
    <x v="310"/>
    <d v="2025-01-10T00:00:00"/>
    <s v="Mobile App"/>
    <n v="4"/>
    <n v="3"/>
    <n v="7"/>
    <s v="Yes"/>
    <d v="2025-01-01T00:00:00"/>
    <n v="2025"/>
    <n v="1"/>
    <s v="Yes"/>
  </r>
  <r>
    <s v="SR-2025-01767"/>
    <x v="0"/>
    <s v="Traffic Concern"/>
    <s v="Medium"/>
    <x v="0"/>
    <s v="Ward 3"/>
    <x v="312"/>
    <d v="2025-10-05T00:00:00"/>
    <s v="Phone"/>
    <n v="4"/>
    <n v="6"/>
    <n v="10"/>
    <s v="Yes"/>
    <d v="2025-09-01T00:00:00"/>
    <n v="2025"/>
    <n v="3"/>
    <s v="Yes"/>
  </r>
  <r>
    <s v="SR-2025-01768"/>
    <x v="2"/>
    <s v="Green Bin Issue"/>
    <s v="Low"/>
    <x v="0"/>
    <s v="Ward 3"/>
    <x v="332"/>
    <d v="2025-08-08T00:00:00"/>
    <s v="Phone"/>
    <n v="3"/>
    <n v="6"/>
    <n v="14"/>
    <s v="Yes"/>
    <d v="2025-08-01T00:00:00"/>
    <n v="2025"/>
    <n v="3"/>
    <s v="Yes"/>
  </r>
  <r>
    <s v="SR-2025-01769"/>
    <x v="2"/>
    <s v="Green Bin Issue"/>
    <s v="High"/>
    <x v="0"/>
    <s v="Ward 2"/>
    <x v="249"/>
    <d v="2025-10-30T00:00:00"/>
    <s v="Phone"/>
    <n v="4"/>
    <n v="7"/>
    <n v="7"/>
    <s v="Yes"/>
    <d v="2025-10-01T00:00:00"/>
    <n v="2025"/>
    <n v="4"/>
    <s v="Yes"/>
  </r>
  <r>
    <s v="SR-2025-01770"/>
    <x v="2"/>
    <s v="Recycling Issue"/>
    <s v="High"/>
    <x v="0"/>
    <s v="Ward 1"/>
    <x v="269"/>
    <d v="2025-05-12T00:00:00"/>
    <s v="Mobile App"/>
    <n v="4"/>
    <n v="4"/>
    <n v="7"/>
    <s v="Yes"/>
    <d v="2025-05-01T00:00:00"/>
    <n v="2025"/>
    <n v="2"/>
    <s v="Yes"/>
  </r>
  <r>
    <s v="SR-2025-01771"/>
    <x v="1"/>
    <s v="Noise Complaint"/>
    <s v="Medium"/>
    <x v="0"/>
    <s v="Ward 4"/>
    <x v="256"/>
    <d v="2025-06-17T00:00:00"/>
    <s v="In Person"/>
    <n v="4"/>
    <n v="3"/>
    <n v="10"/>
    <s v="Yes"/>
    <d v="2025-06-01T00:00:00"/>
    <n v="2025"/>
    <n v="2"/>
    <s v="Yes"/>
  </r>
  <r>
    <s v="SR-2025-01772"/>
    <x v="0"/>
    <s v="Road Sign Damage"/>
    <s v="Low"/>
    <x v="0"/>
    <s v="Ward 2"/>
    <x v="182"/>
    <d v="2025-04-24T00:00:00"/>
    <s v="Mobile App"/>
    <n v="5"/>
    <n v="15"/>
    <n v="14"/>
    <s v="No"/>
    <d v="2025-04-01T00:00:00"/>
    <n v="2025"/>
    <n v="2"/>
    <s v="Yes"/>
  </r>
  <r>
    <s v="SR-2025-01773"/>
    <x v="3"/>
    <s v="Snow Removal"/>
    <s v="Low"/>
    <x v="0"/>
    <s v="Ward 4"/>
    <x v="48"/>
    <d v="2025-06-25T00:00:00"/>
    <s v="In Person"/>
    <n v="5"/>
    <n v="8"/>
    <n v="14"/>
    <s v="Yes"/>
    <d v="2025-06-01T00:00:00"/>
    <n v="2025"/>
    <n v="2"/>
    <s v="Yes"/>
  </r>
  <r>
    <s v="SR-2025-01774"/>
    <x v="5"/>
    <s v="Grass Cutting"/>
    <s v="Critical"/>
    <x v="0"/>
    <s v="Ward 2"/>
    <x v="361"/>
    <d v="2025-06-11T00:00:00"/>
    <s v="In Person"/>
    <n v="5"/>
    <n v="1"/>
    <n v="3"/>
    <s v="Yes"/>
    <d v="2025-06-01T00:00:00"/>
    <n v="2025"/>
    <n v="2"/>
    <s v="Yes"/>
  </r>
  <r>
    <s v="SR-2025-01775"/>
    <x v="1"/>
    <s v="Noise Complaint"/>
    <s v="Medium"/>
    <x v="0"/>
    <s v="Ward 3"/>
    <x v="309"/>
    <d v="2025-04-20T00:00:00"/>
    <s v="Phone"/>
    <n v="5"/>
    <n v="10"/>
    <n v="10"/>
    <s v="Yes"/>
    <d v="2025-04-01T00:00:00"/>
    <n v="2025"/>
    <n v="2"/>
    <s v="Yes"/>
  </r>
  <r>
    <s v="SR-2025-01776"/>
    <x v="4"/>
    <s v="Water Quality Concern"/>
    <s v="High"/>
    <x v="1"/>
    <s v="Ward 3"/>
    <x v="175"/>
    <m/>
    <s v="Phone"/>
    <m/>
    <m/>
    <n v="7"/>
    <s v="Pending"/>
    <d v="2025-06-01T00:00:00"/>
    <n v="2025"/>
    <n v="2"/>
    <s v="No"/>
  </r>
  <r>
    <s v="SR-2025-01777"/>
    <x v="5"/>
    <s v="Grass Cutting"/>
    <s v="Low"/>
    <x v="0"/>
    <s v="Ward 2"/>
    <x v="204"/>
    <d v="2025-08-08T00:00:00"/>
    <s v="Email"/>
    <n v="4"/>
    <n v="4"/>
    <n v="14"/>
    <s v="Yes"/>
    <d v="2025-08-01T00:00:00"/>
    <n v="2025"/>
    <n v="3"/>
    <s v="Yes"/>
  </r>
  <r>
    <s v="SR-2025-01778"/>
    <x v="0"/>
    <s v="Traffic Concern"/>
    <s v="Medium"/>
    <x v="0"/>
    <s v="Ward 4"/>
    <x v="361"/>
    <d v="2025-06-13T00:00:00"/>
    <s v="Mobile App"/>
    <n v="5"/>
    <n v="3"/>
    <n v="10"/>
    <s v="Yes"/>
    <d v="2025-06-01T00:00:00"/>
    <n v="2025"/>
    <n v="2"/>
    <s v="Yes"/>
  </r>
  <r>
    <s v="SR-2025-01779"/>
    <x v="5"/>
    <s v="Trail Maintenance"/>
    <s v="Medium"/>
    <x v="0"/>
    <s v="Ward 3"/>
    <x v="112"/>
    <d v="2025-06-17T00:00:00"/>
    <s v="In Person"/>
    <n v="3"/>
    <n v="2"/>
    <n v="10"/>
    <s v="Yes"/>
    <d v="2025-06-01T00:00:00"/>
    <n v="2025"/>
    <n v="2"/>
    <s v="Yes"/>
  </r>
  <r>
    <s v="SR-2025-01780"/>
    <x v="4"/>
    <s v="Sewer Backup"/>
    <s v="Low"/>
    <x v="1"/>
    <s v="Ward 5"/>
    <x v="120"/>
    <m/>
    <s v="Web"/>
    <m/>
    <m/>
    <n v="14"/>
    <s v="Pending"/>
    <d v="2025-07-01T00:00:00"/>
    <n v="2025"/>
    <n v="3"/>
    <s v="No"/>
  </r>
  <r>
    <s v="SR-2025-01781"/>
    <x v="0"/>
    <s v="Traffic Concern"/>
    <s v="Medium"/>
    <x v="0"/>
    <s v="Ward 3"/>
    <x v="48"/>
    <d v="2025-06-19T00:00:00"/>
    <s v="In Person"/>
    <n v="4"/>
    <n v="2"/>
    <n v="10"/>
    <s v="Yes"/>
    <d v="2025-06-01T00:00:00"/>
    <n v="2025"/>
    <n v="2"/>
    <s v="Yes"/>
  </r>
  <r>
    <s v="SR-2025-01782"/>
    <x v="1"/>
    <s v="Noise Complaint"/>
    <s v="High"/>
    <x v="0"/>
    <s v="Ward 1"/>
    <x v="23"/>
    <d v="2025-03-13T00:00:00"/>
    <s v="Phone"/>
    <n v="2"/>
    <n v="4"/>
    <n v="7"/>
    <s v="Yes"/>
    <d v="2025-03-01T00:00:00"/>
    <n v="2025"/>
    <n v="1"/>
    <s v="Yes"/>
  </r>
  <r>
    <s v="SR-2025-01783"/>
    <x v="5"/>
    <s v="Tree Maintenance"/>
    <s v="Medium"/>
    <x v="2"/>
    <s v="Ward 1"/>
    <x v="52"/>
    <m/>
    <s v="Mobile App"/>
    <m/>
    <m/>
    <n v="10"/>
    <s v="Pending"/>
    <d v="2025-05-01T00:00:00"/>
    <n v="2025"/>
    <n v="2"/>
    <s v="No"/>
  </r>
  <r>
    <s v="SR-2025-01784"/>
    <x v="2"/>
    <s v="Illegal Dumping"/>
    <s v="Low"/>
    <x v="0"/>
    <s v="Ward 1"/>
    <x v="94"/>
    <d v="2025-02-15T00:00:00"/>
    <s v="In Person"/>
    <n v="4"/>
    <n v="10"/>
    <n v="14"/>
    <s v="Yes"/>
    <d v="2025-02-01T00:00:00"/>
    <n v="2025"/>
    <n v="1"/>
    <s v="Yes"/>
  </r>
  <r>
    <s v="SR-2025-01785"/>
    <x v="4"/>
    <s v="Water Quality Concern"/>
    <s v="Medium"/>
    <x v="0"/>
    <s v="Ward 1"/>
    <x v="179"/>
    <d v="2025-02-20T00:00:00"/>
    <s v="Mobile App"/>
    <n v="4"/>
    <n v="5"/>
    <n v="10"/>
    <s v="Yes"/>
    <d v="2025-02-01T00:00:00"/>
    <n v="2025"/>
    <n v="1"/>
    <s v="Yes"/>
  </r>
  <r>
    <s v="SR-2025-01786"/>
    <x v="5"/>
    <s v="Park Equipment Damage"/>
    <s v="Low"/>
    <x v="0"/>
    <s v="Ward 2"/>
    <x v="104"/>
    <d v="2025-01-16T00:00:00"/>
    <s v="Email"/>
    <n v="4"/>
    <n v="3"/>
    <n v="14"/>
    <s v="Yes"/>
    <d v="2025-01-01T00:00:00"/>
    <n v="2025"/>
    <n v="1"/>
    <s v="Yes"/>
  </r>
  <r>
    <s v="SR-2025-01787"/>
    <x v="3"/>
    <s v="Pothole Repair"/>
    <s v="Low"/>
    <x v="0"/>
    <s v="Ward 3"/>
    <x v="336"/>
    <d v="2025-03-25T00:00:00"/>
    <s v="Email"/>
    <n v="4"/>
    <n v="5"/>
    <n v="14"/>
    <s v="Yes"/>
    <d v="2025-03-01T00:00:00"/>
    <n v="2025"/>
    <n v="1"/>
    <s v="Yes"/>
  </r>
  <r>
    <s v="SR-2025-01788"/>
    <x v="0"/>
    <s v="Traffic Concern"/>
    <s v="Low"/>
    <x v="1"/>
    <s v="Ward 1"/>
    <x v="246"/>
    <m/>
    <s v="Email"/>
    <m/>
    <m/>
    <n v="14"/>
    <s v="Pending"/>
    <d v="2025-09-01T00:00:00"/>
    <n v="2025"/>
    <n v="3"/>
    <s v="No"/>
  </r>
  <r>
    <s v="SR-2025-01789"/>
    <x v="1"/>
    <s v="Noise Complaint"/>
    <s v="Low"/>
    <x v="0"/>
    <s v="Ward 1"/>
    <x v="236"/>
    <d v="2025-04-23T00:00:00"/>
    <s v="Mobile App"/>
    <n v="4"/>
    <n v="6"/>
    <n v="14"/>
    <s v="Yes"/>
    <d v="2025-04-01T00:00:00"/>
    <n v="2025"/>
    <n v="2"/>
    <s v="Yes"/>
  </r>
  <r>
    <s v="SR-2025-01790"/>
    <x v="0"/>
    <s v="Streetlight Repair"/>
    <s v="Medium"/>
    <x v="0"/>
    <s v="Ward 5"/>
    <x v="280"/>
    <d v="2025-04-03T00:00:00"/>
    <s v="Web"/>
    <n v="3"/>
    <n v="8"/>
    <n v="10"/>
    <s v="Yes"/>
    <d v="2025-03-01T00:00:00"/>
    <n v="2025"/>
    <n v="1"/>
    <s v="Yes"/>
  </r>
  <r>
    <s v="SR-2025-01791"/>
    <x v="0"/>
    <s v="Road Sign Damage"/>
    <s v="Medium"/>
    <x v="0"/>
    <s v="Ward 5"/>
    <x v="145"/>
    <d v="2025-07-22T00:00:00"/>
    <s v="Mobile App"/>
    <n v="5"/>
    <n v="4"/>
    <n v="10"/>
    <s v="Yes"/>
    <d v="2025-07-01T00:00:00"/>
    <n v="2025"/>
    <n v="3"/>
    <s v="Yes"/>
  </r>
  <r>
    <s v="SR-2025-01792"/>
    <x v="2"/>
    <s v="Recycling Issue"/>
    <s v="Medium"/>
    <x v="0"/>
    <s v="Ward 4"/>
    <x v="340"/>
    <d v="2025-03-09T00:00:00"/>
    <s v="In Person"/>
    <n v="4"/>
    <n v="6"/>
    <n v="10"/>
    <s v="Yes"/>
    <d v="2025-03-01T00:00:00"/>
    <n v="2025"/>
    <n v="1"/>
    <s v="Yes"/>
  </r>
  <r>
    <s v="SR-2025-01793"/>
    <x v="0"/>
    <s v="Traffic Concern"/>
    <s v="Low"/>
    <x v="0"/>
    <s v="Ward 2"/>
    <x v="145"/>
    <d v="2025-08-02T00:00:00"/>
    <s v="Phone"/>
    <n v="2"/>
    <n v="15"/>
    <n v="14"/>
    <s v="No"/>
    <d v="2025-07-01T00:00:00"/>
    <n v="2025"/>
    <n v="3"/>
    <s v="Yes"/>
  </r>
  <r>
    <s v="SR-2025-01794"/>
    <x v="1"/>
    <s v="Parking Complaint"/>
    <s v="High"/>
    <x v="0"/>
    <s v="Ward 4"/>
    <x v="206"/>
    <d v="2025-11-07T00:00:00"/>
    <s v="Web"/>
    <n v="4"/>
    <n v="7"/>
    <n v="7"/>
    <s v="Yes"/>
    <d v="2025-10-01T00:00:00"/>
    <n v="2025"/>
    <n v="4"/>
    <s v="Yes"/>
  </r>
  <r>
    <s v="SR-2025-01795"/>
    <x v="0"/>
    <s v="Traffic Signal Issue"/>
    <s v="Medium"/>
    <x v="2"/>
    <s v="Ward 2"/>
    <x v="196"/>
    <m/>
    <s v="In Person"/>
    <m/>
    <m/>
    <n v="10"/>
    <s v="Pending"/>
    <d v="2025-05-01T00:00:00"/>
    <n v="2025"/>
    <n v="2"/>
    <s v="No"/>
  </r>
  <r>
    <s v="SR-2025-01796"/>
    <x v="3"/>
    <s v="Sidewalk Damage"/>
    <s v="Low"/>
    <x v="1"/>
    <s v="Ward 2"/>
    <x v="170"/>
    <m/>
    <s v="Email"/>
    <m/>
    <m/>
    <n v="14"/>
    <s v="Pending"/>
    <d v="2025-06-01T00:00:00"/>
    <n v="2025"/>
    <n v="2"/>
    <s v="No"/>
  </r>
  <r>
    <s v="SR-2025-01797"/>
    <x v="0"/>
    <s v="Traffic Concern"/>
    <s v="High"/>
    <x v="0"/>
    <s v="Ward 4"/>
    <x v="337"/>
    <d v="2025-07-25T00:00:00"/>
    <s v="Email"/>
    <n v="5"/>
    <n v="5"/>
    <n v="7"/>
    <s v="Yes"/>
    <d v="2025-07-01T00:00:00"/>
    <n v="2025"/>
    <n v="3"/>
    <s v="Yes"/>
  </r>
  <r>
    <s v="SR-2025-01798"/>
    <x v="1"/>
    <s v="Parking Complaint"/>
    <s v="High"/>
    <x v="0"/>
    <s v="Ward 1"/>
    <x v="269"/>
    <d v="2025-05-09T00:00:00"/>
    <s v="Web"/>
    <n v="4"/>
    <n v="1"/>
    <n v="7"/>
    <s v="Yes"/>
    <d v="2025-05-01T00:00:00"/>
    <n v="2025"/>
    <n v="2"/>
    <s v="Yes"/>
  </r>
  <r>
    <s v="SR-2025-01799"/>
    <x v="1"/>
    <s v="Noise Complaint"/>
    <s v="High"/>
    <x v="2"/>
    <s v="Ward 3"/>
    <x v="143"/>
    <m/>
    <s v="Email"/>
    <m/>
    <m/>
    <n v="7"/>
    <s v="Pending"/>
    <d v="2025-01-01T00:00:00"/>
    <n v="2025"/>
    <n v="1"/>
    <s v="No"/>
  </r>
  <r>
    <s v="SR-2025-01800"/>
    <x v="4"/>
    <s v="Low Water Pressure"/>
    <s v="Low"/>
    <x v="0"/>
    <s v="Ward 3"/>
    <x v="215"/>
    <d v="2025-12-03T00:00:00"/>
    <s v="Web"/>
    <n v="5"/>
    <n v="6"/>
    <n v="14"/>
    <s v="Yes"/>
    <d v="2025-11-01T00:00:00"/>
    <n v="2025"/>
    <n v="4"/>
    <s v="Yes"/>
  </r>
  <r>
    <s v="SR-2025-01801"/>
    <x v="2"/>
    <s v="Green Bin Issue"/>
    <s v="Medium"/>
    <x v="0"/>
    <s v="Ward 3"/>
    <x v="356"/>
    <d v="2025-01-21T00:00:00"/>
    <s v="Email"/>
    <n v="4"/>
    <n v="3"/>
    <n v="10"/>
    <s v="Yes"/>
    <d v="2025-01-01T00:00:00"/>
    <n v="2025"/>
    <n v="1"/>
    <s v="Yes"/>
  </r>
  <r>
    <s v="SR-2025-01802"/>
    <x v="5"/>
    <s v="Tree Maintenance"/>
    <s v="High"/>
    <x v="1"/>
    <s v="Ward 1"/>
    <x v="253"/>
    <m/>
    <s v="Email"/>
    <m/>
    <m/>
    <n v="7"/>
    <s v="Pending"/>
    <d v="2025-12-01T00:00:00"/>
    <n v="2025"/>
    <n v="4"/>
    <s v="No"/>
  </r>
  <r>
    <s v="SR-2025-01803"/>
    <x v="5"/>
    <s v="Tree Maintenance"/>
    <s v="Low"/>
    <x v="0"/>
    <s v="Ward 3"/>
    <x v="267"/>
    <d v="2025-09-03T00:00:00"/>
    <s v="Mobile App"/>
    <n v="5"/>
    <n v="12"/>
    <n v="14"/>
    <s v="Yes"/>
    <d v="2025-08-01T00:00:00"/>
    <n v="2025"/>
    <n v="3"/>
    <s v="Yes"/>
  </r>
  <r>
    <s v="SR-2025-01804"/>
    <x v="3"/>
    <s v="Snow Removal"/>
    <s v="Low"/>
    <x v="0"/>
    <s v="Ward 4"/>
    <x v="313"/>
    <d v="2025-04-25T00:00:00"/>
    <s v="Web"/>
    <n v="4"/>
    <n v="4"/>
    <n v="14"/>
    <s v="Yes"/>
    <d v="2025-04-01T00:00:00"/>
    <n v="2025"/>
    <n v="2"/>
    <s v="Yes"/>
  </r>
  <r>
    <s v="SR-2025-01805"/>
    <x v="3"/>
    <s v="Snow Removal"/>
    <s v="Medium"/>
    <x v="0"/>
    <s v="Ward 1"/>
    <x v="49"/>
    <d v="2025-04-02T00:00:00"/>
    <s v="Web"/>
    <n v="4"/>
    <n v="2"/>
    <n v="10"/>
    <s v="Yes"/>
    <d v="2025-03-01T00:00:00"/>
    <n v="2025"/>
    <n v="1"/>
    <s v="Yes"/>
  </r>
  <r>
    <s v="SR-2025-01806"/>
    <x v="2"/>
    <s v="Illegal Dumping"/>
    <s v="High"/>
    <x v="0"/>
    <s v="Ward 2"/>
    <x v="14"/>
    <d v="2025-05-18T00:00:00"/>
    <s v="Phone"/>
    <n v="5"/>
    <n v="1"/>
    <n v="7"/>
    <s v="Yes"/>
    <d v="2025-05-01T00:00:00"/>
    <n v="2025"/>
    <n v="2"/>
    <s v="Yes"/>
  </r>
  <r>
    <s v="SR-2025-01807"/>
    <x v="0"/>
    <s v="Traffic Concern"/>
    <s v="High"/>
    <x v="2"/>
    <s v="Ward 5"/>
    <x v="4"/>
    <m/>
    <s v="Email"/>
    <m/>
    <m/>
    <n v="7"/>
    <s v="Pending"/>
    <d v="2025-01-01T00:00:00"/>
    <n v="2025"/>
    <n v="1"/>
    <s v="No"/>
  </r>
  <r>
    <s v="SR-2025-01808"/>
    <x v="1"/>
    <s v="Animal Complaint"/>
    <s v="High"/>
    <x v="0"/>
    <s v="Ward 5"/>
    <x v="12"/>
    <d v="2025-01-28T00:00:00"/>
    <s v="Mobile App"/>
    <n v="4"/>
    <n v="3"/>
    <n v="7"/>
    <s v="Yes"/>
    <d v="2025-01-01T00:00:00"/>
    <n v="2025"/>
    <n v="1"/>
    <s v="Yes"/>
  </r>
  <r>
    <s v="SR-2025-01809"/>
    <x v="4"/>
    <s v="Water Quality Concern"/>
    <s v="Medium"/>
    <x v="0"/>
    <s v="Ward 3"/>
    <x v="291"/>
    <d v="2025-07-20T00:00:00"/>
    <s v="Mobile App"/>
    <n v="4"/>
    <n v="10"/>
    <n v="10"/>
    <s v="Yes"/>
    <d v="2025-07-01T00:00:00"/>
    <n v="2025"/>
    <n v="3"/>
    <s v="Yes"/>
  </r>
  <r>
    <s v="SR-2025-01810"/>
    <x v="4"/>
    <s v="Low Water Pressure"/>
    <s v="Medium"/>
    <x v="0"/>
    <s v="Ward 4"/>
    <x v="190"/>
    <d v="2025-07-03T00:00:00"/>
    <s v="In Person"/>
    <n v="3"/>
    <n v="6"/>
    <n v="10"/>
    <s v="Yes"/>
    <d v="2025-06-01T00:00:00"/>
    <n v="2025"/>
    <n v="2"/>
    <s v="Yes"/>
  </r>
  <r>
    <s v="SR-2025-01811"/>
    <x v="4"/>
    <s v="Sewer Backup"/>
    <s v="Critical"/>
    <x v="0"/>
    <s v="Ward 3"/>
    <x v="196"/>
    <d v="2025-05-11T00:00:00"/>
    <s v="Email"/>
    <n v="4"/>
    <n v="1"/>
    <n v="3"/>
    <s v="Yes"/>
    <d v="2025-05-01T00:00:00"/>
    <n v="2025"/>
    <n v="2"/>
    <s v="Yes"/>
  </r>
  <r>
    <s v="SR-2025-01812"/>
    <x v="4"/>
    <s v="Low Water Pressure"/>
    <s v="High"/>
    <x v="0"/>
    <s v="Ward 5"/>
    <x v="56"/>
    <d v="2025-11-19T00:00:00"/>
    <s v="Phone"/>
    <n v="4"/>
    <n v="2"/>
    <n v="7"/>
    <s v="Yes"/>
    <d v="2025-11-01T00:00:00"/>
    <n v="2025"/>
    <n v="4"/>
    <s v="Yes"/>
  </r>
  <r>
    <s v="SR-2025-01813"/>
    <x v="1"/>
    <s v="Property Standards"/>
    <s v="Critical"/>
    <x v="1"/>
    <s v="Ward 4"/>
    <x v="208"/>
    <m/>
    <s v="Web"/>
    <m/>
    <m/>
    <n v="3"/>
    <s v="Pending"/>
    <d v="2025-12-01T00:00:00"/>
    <n v="2025"/>
    <n v="4"/>
    <s v="No"/>
  </r>
  <r>
    <s v="SR-2025-01814"/>
    <x v="4"/>
    <s v="Water Leak"/>
    <s v="Critical"/>
    <x v="0"/>
    <s v="Ward 3"/>
    <x v="254"/>
    <d v="2025-09-24T00:00:00"/>
    <s v="In Person"/>
    <n v="4"/>
    <n v="0"/>
    <n v="3"/>
    <s v="Yes"/>
    <d v="2025-09-01T00:00:00"/>
    <n v="2025"/>
    <n v="3"/>
    <s v="Yes"/>
  </r>
  <r>
    <s v="SR-2025-01815"/>
    <x v="0"/>
    <s v="Traffic Signal Issue"/>
    <s v="High"/>
    <x v="0"/>
    <s v="Ward 3"/>
    <x v="181"/>
    <d v="2025-06-25T00:00:00"/>
    <s v="In Person"/>
    <n v="3"/>
    <n v="4"/>
    <n v="7"/>
    <s v="Yes"/>
    <d v="2025-06-01T00:00:00"/>
    <n v="2025"/>
    <n v="2"/>
    <s v="Yes"/>
  </r>
  <r>
    <s v="SR-2025-01816"/>
    <x v="4"/>
    <s v="Water Quality Concern"/>
    <s v="Low"/>
    <x v="0"/>
    <s v="Ward 1"/>
    <x v="324"/>
    <d v="2025-08-11T00:00:00"/>
    <s v="Phone"/>
    <n v="5"/>
    <n v="14"/>
    <n v="14"/>
    <s v="Yes"/>
    <d v="2025-07-01T00:00:00"/>
    <n v="2025"/>
    <n v="3"/>
    <s v="Yes"/>
  </r>
  <r>
    <s v="SR-2025-01817"/>
    <x v="0"/>
    <s v="Traffic Concern"/>
    <s v="Low"/>
    <x v="0"/>
    <s v="Ward 5"/>
    <x v="290"/>
    <d v="2025-04-21T00:00:00"/>
    <s v="Web"/>
    <n v="1"/>
    <n v="14"/>
    <n v="14"/>
    <s v="Yes"/>
    <d v="2025-04-01T00:00:00"/>
    <n v="2025"/>
    <n v="2"/>
    <s v="Yes"/>
  </r>
  <r>
    <s v="SR-2025-01818"/>
    <x v="4"/>
    <s v="Low Water Pressure"/>
    <s v="High"/>
    <x v="0"/>
    <s v="Ward 3"/>
    <x v="74"/>
    <d v="2025-06-08T00:00:00"/>
    <s v="Phone"/>
    <n v="5"/>
    <n v="2"/>
    <n v="7"/>
    <s v="Yes"/>
    <d v="2025-06-01T00:00:00"/>
    <n v="2025"/>
    <n v="2"/>
    <s v="Yes"/>
  </r>
  <r>
    <s v="SR-2025-01819"/>
    <x v="1"/>
    <s v="Noise Complaint"/>
    <s v="Critical"/>
    <x v="0"/>
    <s v="Ward 2"/>
    <x v="172"/>
    <d v="2025-01-09T00:00:00"/>
    <s v="Phone"/>
    <n v="4"/>
    <n v="0"/>
    <n v="3"/>
    <s v="Yes"/>
    <d v="2025-01-01T00:00:00"/>
    <n v="2025"/>
    <n v="1"/>
    <s v="Yes"/>
  </r>
  <r>
    <s v="SR-2025-01820"/>
    <x v="0"/>
    <s v="Streetlight Repair"/>
    <s v="Low"/>
    <x v="0"/>
    <s v="Ward 4"/>
    <x v="220"/>
    <d v="2025-03-11T00:00:00"/>
    <s v="Web"/>
    <n v="5"/>
    <n v="9"/>
    <n v="14"/>
    <s v="Yes"/>
    <d v="2025-03-01T00:00:00"/>
    <n v="2025"/>
    <n v="1"/>
    <s v="Yes"/>
  </r>
  <r>
    <s v="SR-2025-01821"/>
    <x v="0"/>
    <s v="Road Sign Damage"/>
    <s v="Medium"/>
    <x v="0"/>
    <s v="Ward 4"/>
    <x v="81"/>
    <d v="2025-06-13T00:00:00"/>
    <s v="In Person"/>
    <n v="4"/>
    <n v="8"/>
    <n v="10"/>
    <s v="Yes"/>
    <d v="2025-06-01T00:00:00"/>
    <n v="2025"/>
    <n v="2"/>
    <s v="Yes"/>
  </r>
  <r>
    <s v="SR-2025-01822"/>
    <x v="1"/>
    <s v="Noise Complaint"/>
    <s v="Medium"/>
    <x v="2"/>
    <s v="Ward 3"/>
    <x v="167"/>
    <m/>
    <s v="Mobile App"/>
    <m/>
    <m/>
    <n v="10"/>
    <s v="Pending"/>
    <d v="2025-09-01T00:00:00"/>
    <n v="2025"/>
    <n v="3"/>
    <s v="No"/>
  </r>
  <r>
    <s v="SR-2025-01823"/>
    <x v="3"/>
    <s v="Sidewalk Damage"/>
    <s v="High"/>
    <x v="2"/>
    <s v="Ward 5"/>
    <x v="99"/>
    <m/>
    <s v="Web"/>
    <m/>
    <m/>
    <n v="7"/>
    <s v="Pending"/>
    <d v="2025-07-01T00:00:00"/>
    <n v="2025"/>
    <n v="3"/>
    <s v="No"/>
  </r>
  <r>
    <s v="SR-2025-01824"/>
    <x v="4"/>
    <s v="Sewer Backup"/>
    <s v="Critical"/>
    <x v="0"/>
    <s v="Ward 4"/>
    <x v="301"/>
    <d v="2025-01-17T00:00:00"/>
    <s v="Web"/>
    <n v="1"/>
    <n v="3"/>
    <n v="3"/>
    <s v="Yes"/>
    <d v="2025-01-01T00:00:00"/>
    <n v="2025"/>
    <n v="1"/>
    <s v="Yes"/>
  </r>
  <r>
    <s v="SR-2025-01825"/>
    <x v="4"/>
    <s v="Sewer Backup"/>
    <s v="Medium"/>
    <x v="0"/>
    <s v="Ward 3"/>
    <x v="359"/>
    <d v="2025-11-23T00:00:00"/>
    <s v="Phone"/>
    <n v="4"/>
    <n v="3"/>
    <n v="10"/>
    <s v="Yes"/>
    <d v="2025-11-01T00:00:00"/>
    <n v="2025"/>
    <n v="4"/>
    <s v="Yes"/>
  </r>
  <r>
    <s v="SR-2025-01826"/>
    <x v="1"/>
    <s v="Animal Complaint"/>
    <s v="Low"/>
    <x v="0"/>
    <s v="Ward 4"/>
    <x v="185"/>
    <d v="2026-01-06T00:00:00"/>
    <s v="Web"/>
    <n v="3"/>
    <n v="10"/>
    <n v="14"/>
    <s v="Yes"/>
    <d v="2025-12-01T00:00:00"/>
    <n v="2025"/>
    <n v="4"/>
    <s v="Yes"/>
  </r>
  <r>
    <s v="SR-2025-01827"/>
    <x v="3"/>
    <s v="Road Damage"/>
    <s v="Medium"/>
    <x v="0"/>
    <s v="Ward 5"/>
    <x v="59"/>
    <d v="2025-01-25T00:00:00"/>
    <s v="Phone"/>
    <n v="4"/>
    <n v="10"/>
    <n v="10"/>
    <s v="Yes"/>
    <d v="2025-01-01T00:00:00"/>
    <n v="2025"/>
    <n v="1"/>
    <s v="Yes"/>
  </r>
  <r>
    <s v="SR-2025-01828"/>
    <x v="4"/>
    <s v="Sewer Backup"/>
    <s v="Medium"/>
    <x v="0"/>
    <s v="Ward 1"/>
    <x v="302"/>
    <d v="2025-10-04T00:00:00"/>
    <s v="In Person"/>
    <n v="3"/>
    <n v="2"/>
    <n v="10"/>
    <s v="Yes"/>
    <d v="2025-10-01T00:00:00"/>
    <n v="2025"/>
    <n v="4"/>
    <s v="Yes"/>
  </r>
  <r>
    <s v="SR-2025-01829"/>
    <x v="4"/>
    <s v="Low Water Pressure"/>
    <s v="High"/>
    <x v="0"/>
    <s v="Ward 3"/>
    <x v="171"/>
    <d v="2025-03-26T00:00:00"/>
    <s v="Email"/>
    <n v="4"/>
    <n v="1"/>
    <n v="7"/>
    <s v="Yes"/>
    <d v="2025-03-01T00:00:00"/>
    <n v="2025"/>
    <n v="1"/>
    <s v="Yes"/>
  </r>
  <r>
    <s v="SR-2025-01830"/>
    <x v="3"/>
    <s v="Road Damage"/>
    <s v="Critical"/>
    <x v="0"/>
    <s v="Ward 4"/>
    <x v="102"/>
    <d v="2025-09-07T00:00:00"/>
    <s v="Phone"/>
    <n v="3"/>
    <n v="3"/>
    <n v="3"/>
    <s v="Yes"/>
    <d v="2025-09-01T00:00:00"/>
    <n v="2025"/>
    <n v="3"/>
    <s v="Yes"/>
  </r>
  <r>
    <s v="SR-2025-01831"/>
    <x v="4"/>
    <s v="Water Leak"/>
    <s v="Medium"/>
    <x v="0"/>
    <s v="Ward 4"/>
    <x v="253"/>
    <d v="2025-12-25T00:00:00"/>
    <s v="Web"/>
    <n v="3"/>
    <n v="9"/>
    <n v="10"/>
    <s v="Yes"/>
    <d v="2025-12-01T00:00:00"/>
    <n v="2025"/>
    <n v="4"/>
    <s v="Yes"/>
  </r>
  <r>
    <s v="SR-2025-01832"/>
    <x v="3"/>
    <s v="Road Damage"/>
    <s v="Low"/>
    <x v="1"/>
    <s v="Ward 5"/>
    <x v="193"/>
    <m/>
    <s v="Web"/>
    <m/>
    <m/>
    <n v="14"/>
    <s v="Pending"/>
    <d v="2025-11-01T00:00:00"/>
    <n v="2025"/>
    <n v="4"/>
    <s v="No"/>
  </r>
  <r>
    <s v="SR-2025-01833"/>
    <x v="4"/>
    <s v="Water Quality Concern"/>
    <s v="Medium"/>
    <x v="0"/>
    <s v="Ward 3"/>
    <x v="250"/>
    <d v="2025-01-21T00:00:00"/>
    <s v="In Person"/>
    <n v="5"/>
    <n v="10"/>
    <n v="10"/>
    <s v="Yes"/>
    <d v="2025-01-01T00:00:00"/>
    <n v="2025"/>
    <n v="1"/>
    <s v="Yes"/>
  </r>
  <r>
    <s v="SR-2025-01834"/>
    <x v="3"/>
    <s v="Snow Removal"/>
    <s v="Medium"/>
    <x v="0"/>
    <s v="Ward 1"/>
    <x v="201"/>
    <d v="2025-10-21T00:00:00"/>
    <s v="Mobile App"/>
    <n v="2"/>
    <n v="8"/>
    <n v="10"/>
    <s v="Yes"/>
    <d v="2025-10-01T00:00:00"/>
    <n v="2025"/>
    <n v="4"/>
    <s v="Yes"/>
  </r>
  <r>
    <s v="SR-2025-01835"/>
    <x v="0"/>
    <s v="Road Sign Damage"/>
    <s v="Medium"/>
    <x v="0"/>
    <s v="Ward 2"/>
    <x v="212"/>
    <d v="2025-05-09T00:00:00"/>
    <s v="Web"/>
    <n v="3"/>
    <n v="4"/>
    <n v="10"/>
    <s v="Yes"/>
    <d v="2025-05-01T00:00:00"/>
    <n v="2025"/>
    <n v="2"/>
    <s v="Yes"/>
  </r>
  <r>
    <s v="SR-2025-01836"/>
    <x v="1"/>
    <s v="Property Standards"/>
    <s v="Medium"/>
    <x v="0"/>
    <s v="Ward 4"/>
    <x v="325"/>
    <d v="2025-10-14T00:00:00"/>
    <s v="Web"/>
    <n v="4"/>
    <n v="7"/>
    <n v="10"/>
    <s v="Yes"/>
    <d v="2025-10-01T00:00:00"/>
    <n v="2025"/>
    <n v="4"/>
    <s v="Yes"/>
  </r>
  <r>
    <s v="SR-2025-01837"/>
    <x v="0"/>
    <s v="Traffic Signal Issue"/>
    <s v="Medium"/>
    <x v="0"/>
    <s v="Ward 3"/>
    <x v="39"/>
    <d v="2025-01-26T00:00:00"/>
    <s v="Phone"/>
    <n v="3"/>
    <n v="5"/>
    <n v="10"/>
    <s v="Yes"/>
    <d v="2025-01-01T00:00:00"/>
    <n v="2025"/>
    <n v="1"/>
    <s v="Yes"/>
  </r>
  <r>
    <s v="SR-2025-01838"/>
    <x v="0"/>
    <s v="Traffic Concern"/>
    <s v="Low"/>
    <x v="0"/>
    <s v="Ward 3"/>
    <x v="310"/>
    <d v="2025-01-11T00:00:00"/>
    <s v="In Person"/>
    <n v="4"/>
    <n v="4"/>
    <n v="14"/>
    <s v="Yes"/>
    <d v="2025-01-01T00:00:00"/>
    <n v="2025"/>
    <n v="1"/>
    <s v="Yes"/>
  </r>
  <r>
    <s v="SR-2025-01839"/>
    <x v="1"/>
    <s v="Noise Complaint"/>
    <s v="Medium"/>
    <x v="1"/>
    <s v="Ward 2"/>
    <x v="165"/>
    <m/>
    <s v="Email"/>
    <m/>
    <m/>
    <n v="10"/>
    <s v="Pending"/>
    <d v="2025-06-01T00:00:00"/>
    <n v="2025"/>
    <n v="2"/>
    <s v="No"/>
  </r>
  <r>
    <s v="SR-2025-01840"/>
    <x v="5"/>
    <s v="Park Equipment Damage"/>
    <s v="Medium"/>
    <x v="0"/>
    <s v="Ward 5"/>
    <x v="258"/>
    <d v="2025-04-23T00:00:00"/>
    <s v="In Person"/>
    <n v="3"/>
    <n v="3"/>
    <n v="10"/>
    <s v="Yes"/>
    <d v="2025-04-01T00:00:00"/>
    <n v="2025"/>
    <n v="2"/>
    <s v="Yes"/>
  </r>
  <r>
    <s v="SR-2025-01841"/>
    <x v="3"/>
    <s v="Road Damage"/>
    <s v="Medium"/>
    <x v="1"/>
    <s v="Ward 1"/>
    <x v="140"/>
    <m/>
    <s v="Email"/>
    <m/>
    <m/>
    <n v="10"/>
    <s v="Pending"/>
    <d v="2025-03-01T00:00:00"/>
    <n v="2025"/>
    <n v="1"/>
    <s v="No"/>
  </r>
  <r>
    <s v="SR-2025-01842"/>
    <x v="1"/>
    <s v="Noise Complaint"/>
    <s v="Medium"/>
    <x v="0"/>
    <s v="Ward 3"/>
    <x v="86"/>
    <d v="2025-08-07T00:00:00"/>
    <s v="Email"/>
    <n v="5"/>
    <n v="7"/>
    <n v="10"/>
    <s v="Yes"/>
    <d v="2025-07-01T00:00:00"/>
    <n v="2025"/>
    <n v="3"/>
    <s v="Yes"/>
  </r>
  <r>
    <s v="SR-2025-01843"/>
    <x v="3"/>
    <s v="Snow Removal"/>
    <s v="Low"/>
    <x v="0"/>
    <s v="Ward 3"/>
    <x v="329"/>
    <d v="2025-07-25T00:00:00"/>
    <s v="Email"/>
    <n v="3"/>
    <n v="3"/>
    <n v="14"/>
    <s v="Yes"/>
    <d v="2025-07-01T00:00:00"/>
    <n v="2025"/>
    <n v="3"/>
    <s v="Yes"/>
  </r>
  <r>
    <s v="SR-2025-01844"/>
    <x v="4"/>
    <s v="Low Water Pressure"/>
    <s v="High"/>
    <x v="0"/>
    <s v="Ward 4"/>
    <x v="113"/>
    <d v="2025-11-18T00:00:00"/>
    <s v="Phone"/>
    <n v="4"/>
    <n v="7"/>
    <n v="7"/>
    <s v="Yes"/>
    <d v="2025-11-01T00:00:00"/>
    <n v="2025"/>
    <n v="4"/>
    <s v="Yes"/>
  </r>
  <r>
    <s v="SR-2025-01845"/>
    <x v="5"/>
    <s v="Grass Cutting"/>
    <s v="Medium"/>
    <x v="0"/>
    <s v="Ward 5"/>
    <x v="225"/>
    <d v="2025-11-06T00:00:00"/>
    <s v="Web"/>
    <n v="4"/>
    <n v="2"/>
    <n v="10"/>
    <s v="Yes"/>
    <d v="2025-11-01T00:00:00"/>
    <n v="2025"/>
    <n v="4"/>
    <s v="Yes"/>
  </r>
  <r>
    <s v="SR-2025-01846"/>
    <x v="0"/>
    <s v="Traffic Signal Issue"/>
    <s v="High"/>
    <x v="0"/>
    <s v="Ward 3"/>
    <x v="316"/>
    <d v="2025-05-27T00:00:00"/>
    <s v="Mobile App"/>
    <n v="3"/>
    <n v="4"/>
    <n v="7"/>
    <s v="Yes"/>
    <d v="2025-05-01T00:00:00"/>
    <n v="2025"/>
    <n v="2"/>
    <s v="Yes"/>
  </r>
  <r>
    <s v="SR-2025-01847"/>
    <x v="1"/>
    <s v="Parking Complaint"/>
    <s v="High"/>
    <x v="1"/>
    <s v="Ward 5"/>
    <x v="42"/>
    <m/>
    <s v="Email"/>
    <m/>
    <m/>
    <n v="7"/>
    <s v="Pending"/>
    <d v="2025-08-01T00:00:00"/>
    <n v="2025"/>
    <n v="3"/>
    <s v="No"/>
  </r>
  <r>
    <s v="SR-2025-01848"/>
    <x v="4"/>
    <s v="Low Water Pressure"/>
    <s v="Medium"/>
    <x v="0"/>
    <s v="Ward 5"/>
    <x v="107"/>
    <d v="2025-09-15T00:00:00"/>
    <s v="Web"/>
    <n v="4"/>
    <n v="7"/>
    <n v="10"/>
    <s v="Yes"/>
    <d v="2025-09-01T00:00:00"/>
    <n v="2025"/>
    <n v="3"/>
    <s v="Yes"/>
  </r>
  <r>
    <s v="SR-2025-01849"/>
    <x v="2"/>
    <s v="Illegal Dumping"/>
    <s v="High"/>
    <x v="2"/>
    <s v="Ward 5"/>
    <x v="209"/>
    <m/>
    <s v="Phone"/>
    <m/>
    <m/>
    <n v="7"/>
    <s v="Pending"/>
    <d v="2025-11-01T00:00:00"/>
    <n v="2025"/>
    <n v="4"/>
    <s v="No"/>
  </r>
  <r>
    <s v="SR-2025-01850"/>
    <x v="2"/>
    <s v="Illegal Dumping"/>
    <s v="High"/>
    <x v="0"/>
    <s v="Ward 3"/>
    <x v="294"/>
    <d v="2025-07-01T00:00:00"/>
    <s v="In Person"/>
    <n v="3"/>
    <n v="3"/>
    <n v="7"/>
    <s v="Yes"/>
    <d v="2025-06-01T00:00:00"/>
    <n v="2025"/>
    <n v="2"/>
    <s v="Yes"/>
  </r>
  <r>
    <s v="SR-2025-01851"/>
    <x v="0"/>
    <s v="Traffic Concern"/>
    <s v="Medium"/>
    <x v="0"/>
    <s v="Ward 2"/>
    <x v="69"/>
    <d v="2025-12-14T00:00:00"/>
    <s v="Mobile App"/>
    <n v="5"/>
    <n v="5"/>
    <n v="10"/>
    <s v="Yes"/>
    <d v="2025-12-01T00:00:00"/>
    <n v="2025"/>
    <n v="4"/>
    <s v="Yes"/>
  </r>
  <r>
    <s v="SR-2025-01852"/>
    <x v="5"/>
    <s v="Grass Cutting"/>
    <s v="High"/>
    <x v="0"/>
    <s v="Ward 5"/>
    <x v="123"/>
    <d v="2025-04-22T00:00:00"/>
    <s v="Phone"/>
    <n v="4"/>
    <n v="7"/>
    <n v="7"/>
    <s v="Yes"/>
    <d v="2025-04-01T00:00:00"/>
    <n v="2025"/>
    <n v="2"/>
    <s v="Yes"/>
  </r>
  <r>
    <s v="SR-2025-01853"/>
    <x v="3"/>
    <s v="Sidewalk Damage"/>
    <s v="Medium"/>
    <x v="0"/>
    <s v="Ward 4"/>
    <x v="36"/>
    <d v="2025-11-28T00:00:00"/>
    <s v="Mobile App"/>
    <n v="3"/>
    <n v="7"/>
    <n v="10"/>
    <s v="Yes"/>
    <d v="2025-11-01T00:00:00"/>
    <n v="2025"/>
    <n v="4"/>
    <s v="Yes"/>
  </r>
  <r>
    <s v="SR-2025-01854"/>
    <x v="5"/>
    <s v="Trail Maintenance"/>
    <s v="Medium"/>
    <x v="0"/>
    <s v="Ward 2"/>
    <x v="9"/>
    <d v="2025-10-27T00:00:00"/>
    <s v="Mobile App"/>
    <n v="4"/>
    <n v="9"/>
    <n v="10"/>
    <s v="Yes"/>
    <d v="2025-10-01T00:00:00"/>
    <n v="2025"/>
    <n v="4"/>
    <s v="Yes"/>
  </r>
  <r>
    <s v="SR-2025-01855"/>
    <x v="1"/>
    <s v="Noise Complaint"/>
    <s v="Medium"/>
    <x v="2"/>
    <s v="Ward 4"/>
    <x v="19"/>
    <m/>
    <s v="Web"/>
    <m/>
    <m/>
    <n v="10"/>
    <s v="Pending"/>
    <d v="2025-10-01T00:00:00"/>
    <n v="2025"/>
    <n v="4"/>
    <s v="No"/>
  </r>
  <r>
    <s v="SR-2025-01856"/>
    <x v="3"/>
    <s v="Road Damage"/>
    <s v="High"/>
    <x v="0"/>
    <s v="Ward 5"/>
    <x v="192"/>
    <d v="2025-09-15T00:00:00"/>
    <s v="In Person"/>
    <n v="5"/>
    <n v="4"/>
    <n v="7"/>
    <s v="Yes"/>
    <d v="2025-09-01T00:00:00"/>
    <n v="2025"/>
    <n v="3"/>
    <s v="Yes"/>
  </r>
  <r>
    <s v="SR-2025-01857"/>
    <x v="2"/>
    <s v="Green Bin Issue"/>
    <s v="Low"/>
    <x v="0"/>
    <s v="Ward 5"/>
    <x v="150"/>
    <d v="2025-08-20T00:00:00"/>
    <s v="Web"/>
    <n v="5"/>
    <n v="13"/>
    <n v="14"/>
    <s v="Yes"/>
    <d v="2025-08-01T00:00:00"/>
    <n v="2025"/>
    <n v="3"/>
    <s v="Yes"/>
  </r>
  <r>
    <s v="SR-2025-01858"/>
    <x v="4"/>
    <s v="Water Quality Concern"/>
    <s v="Medium"/>
    <x v="0"/>
    <s v="Ward 1"/>
    <x v="149"/>
    <d v="2025-04-06T00:00:00"/>
    <s v="Web"/>
    <n v="4"/>
    <n v="3"/>
    <n v="10"/>
    <s v="Yes"/>
    <d v="2025-04-01T00:00:00"/>
    <n v="2025"/>
    <n v="2"/>
    <s v="Yes"/>
  </r>
  <r>
    <s v="SR-2025-01859"/>
    <x v="3"/>
    <s v="Sidewalk Damage"/>
    <s v="Low"/>
    <x v="0"/>
    <s v="Ward 4"/>
    <x v="330"/>
    <d v="2025-03-22T00:00:00"/>
    <s v="Phone"/>
    <n v="2"/>
    <n v="15"/>
    <n v="14"/>
    <s v="No"/>
    <d v="2025-03-01T00:00:00"/>
    <n v="2025"/>
    <n v="1"/>
    <s v="Yes"/>
  </r>
  <r>
    <s v="SR-2025-01860"/>
    <x v="3"/>
    <s v="Pothole Repair"/>
    <s v="Low"/>
    <x v="0"/>
    <s v="Ward 4"/>
    <x v="47"/>
    <d v="2025-11-30T00:00:00"/>
    <s v="Phone"/>
    <n v="3"/>
    <n v="14"/>
    <n v="14"/>
    <s v="Yes"/>
    <d v="2025-11-01T00:00:00"/>
    <n v="2025"/>
    <n v="4"/>
    <s v="Yes"/>
  </r>
  <r>
    <s v="SR-2025-01861"/>
    <x v="5"/>
    <s v="Park Equipment Damage"/>
    <s v="Medium"/>
    <x v="0"/>
    <s v="Ward 2"/>
    <x v="14"/>
    <d v="2025-05-27T00:00:00"/>
    <s v="Phone"/>
    <n v="4"/>
    <n v="10"/>
    <n v="10"/>
    <s v="Yes"/>
    <d v="2025-05-01T00:00:00"/>
    <n v="2025"/>
    <n v="2"/>
    <s v="Yes"/>
  </r>
  <r>
    <s v="SR-2025-01862"/>
    <x v="3"/>
    <s v="Sidewalk Damage"/>
    <s v="High"/>
    <x v="0"/>
    <s v="Ward 1"/>
    <x v="99"/>
    <d v="2025-07-18T00:00:00"/>
    <s v="Phone"/>
    <n v="4"/>
    <n v="2"/>
    <n v="7"/>
    <s v="Yes"/>
    <d v="2025-07-01T00:00:00"/>
    <n v="2025"/>
    <n v="3"/>
    <s v="Yes"/>
  </r>
  <r>
    <s v="SR-2025-01863"/>
    <x v="3"/>
    <s v="Sidewalk Damage"/>
    <s v="High"/>
    <x v="0"/>
    <s v="Ward 2"/>
    <x v="219"/>
    <d v="2025-05-14T00:00:00"/>
    <s v="Email"/>
    <n v="4"/>
    <n v="7"/>
    <n v="7"/>
    <s v="Yes"/>
    <d v="2025-05-01T00:00:00"/>
    <n v="2025"/>
    <n v="2"/>
    <s v="Yes"/>
  </r>
  <r>
    <s v="SR-2025-01864"/>
    <x v="1"/>
    <s v="Property Standards"/>
    <s v="High"/>
    <x v="2"/>
    <s v="Ward 1"/>
    <x v="233"/>
    <m/>
    <s v="Web"/>
    <m/>
    <m/>
    <n v="7"/>
    <s v="Pending"/>
    <d v="2025-05-01T00:00:00"/>
    <n v="2025"/>
    <n v="2"/>
    <s v="No"/>
  </r>
  <r>
    <s v="SR-2025-01865"/>
    <x v="5"/>
    <s v="Grass Cutting"/>
    <s v="Medium"/>
    <x v="2"/>
    <s v="Ward 4"/>
    <x v="318"/>
    <m/>
    <s v="Phone"/>
    <m/>
    <m/>
    <n v="10"/>
    <s v="Pending"/>
    <d v="2025-07-01T00:00:00"/>
    <n v="2025"/>
    <n v="3"/>
    <s v="No"/>
  </r>
  <r>
    <s v="SR-2025-01866"/>
    <x v="5"/>
    <s v="Tree Maintenance"/>
    <s v="High"/>
    <x v="0"/>
    <s v="Ward 4"/>
    <x v="155"/>
    <d v="2025-08-20T00:00:00"/>
    <s v="In Person"/>
    <n v="3"/>
    <n v="4"/>
    <n v="7"/>
    <s v="Yes"/>
    <d v="2025-08-01T00:00:00"/>
    <n v="2025"/>
    <n v="3"/>
    <s v="Yes"/>
  </r>
  <r>
    <s v="SR-2025-01867"/>
    <x v="4"/>
    <s v="Water Leak"/>
    <s v="Medium"/>
    <x v="0"/>
    <s v="Ward 5"/>
    <x v="191"/>
    <d v="2025-12-20T00:00:00"/>
    <s v="Mobile App"/>
    <n v="4"/>
    <n v="9"/>
    <n v="10"/>
    <s v="Yes"/>
    <d v="2025-12-01T00:00:00"/>
    <n v="2025"/>
    <n v="4"/>
    <s v="Yes"/>
  </r>
  <r>
    <s v="SR-2025-01868"/>
    <x v="2"/>
    <s v="Missed Garbage Pickup"/>
    <s v="Medium"/>
    <x v="0"/>
    <s v="Ward 1"/>
    <x v="131"/>
    <d v="2025-08-20T00:00:00"/>
    <s v="In Person"/>
    <n v="4"/>
    <n v="5"/>
    <n v="10"/>
    <s v="Yes"/>
    <d v="2025-08-01T00:00:00"/>
    <n v="2025"/>
    <n v="3"/>
    <s v="Yes"/>
  </r>
  <r>
    <s v="SR-2025-01869"/>
    <x v="0"/>
    <s v="Traffic Concern"/>
    <s v="Low"/>
    <x v="0"/>
    <s v="Ward 3"/>
    <x v="186"/>
    <d v="2025-04-30T00:00:00"/>
    <s v="Phone"/>
    <n v="4"/>
    <n v="8"/>
    <n v="14"/>
    <s v="Yes"/>
    <d v="2025-04-01T00:00:00"/>
    <n v="2025"/>
    <n v="2"/>
    <s v="Yes"/>
  </r>
  <r>
    <s v="SR-2025-01870"/>
    <x v="0"/>
    <s v="Road Sign Damage"/>
    <s v="High"/>
    <x v="0"/>
    <s v="Ward 5"/>
    <x v="42"/>
    <d v="2025-08-30T00:00:00"/>
    <s v="Phone"/>
    <n v="5"/>
    <n v="1"/>
    <n v="7"/>
    <s v="Yes"/>
    <d v="2025-08-01T00:00:00"/>
    <n v="2025"/>
    <n v="3"/>
    <s v="Yes"/>
  </r>
  <r>
    <s v="SR-2025-01871"/>
    <x v="0"/>
    <s v="Streetlight Repair"/>
    <s v="Medium"/>
    <x v="1"/>
    <s v="Ward 5"/>
    <x v="58"/>
    <m/>
    <s v="Mobile App"/>
    <m/>
    <m/>
    <n v="10"/>
    <s v="Pending"/>
    <d v="2025-07-01T00:00:00"/>
    <n v="2025"/>
    <n v="3"/>
    <s v="No"/>
  </r>
  <r>
    <s v="SR-2025-01872"/>
    <x v="2"/>
    <s v="Green Bin Issue"/>
    <s v="Low"/>
    <x v="0"/>
    <s v="Ward 3"/>
    <x v="354"/>
    <d v="2025-08-26T00:00:00"/>
    <s v="Mobile App"/>
    <n v="2"/>
    <n v="9"/>
    <n v="14"/>
    <s v="Yes"/>
    <d v="2025-08-01T00:00:00"/>
    <n v="2025"/>
    <n v="3"/>
    <s v="Yes"/>
  </r>
  <r>
    <s v="SR-2025-01873"/>
    <x v="5"/>
    <s v="Grass Cutting"/>
    <s v="Medium"/>
    <x v="2"/>
    <s v="Ward 2"/>
    <x v="159"/>
    <m/>
    <s v="Phone"/>
    <m/>
    <m/>
    <n v="10"/>
    <s v="Pending"/>
    <d v="2025-09-01T00:00:00"/>
    <n v="2025"/>
    <n v="3"/>
    <s v="No"/>
  </r>
  <r>
    <s v="SR-2025-01874"/>
    <x v="5"/>
    <s v="Park Equipment Damage"/>
    <s v="High"/>
    <x v="2"/>
    <s v="Ward 1"/>
    <x v="247"/>
    <m/>
    <s v="Phone"/>
    <m/>
    <m/>
    <n v="7"/>
    <s v="Pending"/>
    <d v="2025-07-01T00:00:00"/>
    <n v="2025"/>
    <n v="3"/>
    <s v="No"/>
  </r>
  <r>
    <s v="SR-2025-01875"/>
    <x v="3"/>
    <s v="Road Damage"/>
    <s v="Low"/>
    <x v="0"/>
    <s v="Ward 3"/>
    <x v="239"/>
    <d v="2025-02-02T00:00:00"/>
    <s v="Email"/>
    <n v="2"/>
    <n v="7"/>
    <n v="14"/>
    <s v="Yes"/>
    <d v="2025-01-01T00:00:00"/>
    <n v="2025"/>
    <n v="1"/>
    <s v="Yes"/>
  </r>
  <r>
    <s v="SR-2025-01876"/>
    <x v="5"/>
    <s v="Grass Cutting"/>
    <s v="Low"/>
    <x v="0"/>
    <s v="Ward 2"/>
    <x v="154"/>
    <d v="2025-04-12T00:00:00"/>
    <s v="In Person"/>
    <n v="4"/>
    <n v="6"/>
    <n v="14"/>
    <s v="Yes"/>
    <d v="2025-04-01T00:00:00"/>
    <n v="2025"/>
    <n v="2"/>
    <s v="Yes"/>
  </r>
  <r>
    <s v="SR-2025-01877"/>
    <x v="3"/>
    <s v="Road Damage"/>
    <s v="High"/>
    <x v="0"/>
    <s v="Ward 2"/>
    <x v="126"/>
    <d v="2025-10-27T00:00:00"/>
    <s v="Mobile App"/>
    <n v="5"/>
    <n v="6"/>
    <n v="7"/>
    <s v="Yes"/>
    <d v="2025-10-01T00:00:00"/>
    <n v="2025"/>
    <n v="4"/>
    <s v="Yes"/>
  </r>
  <r>
    <s v="SR-2025-01878"/>
    <x v="1"/>
    <s v="Animal Complaint"/>
    <s v="Critical"/>
    <x v="2"/>
    <s v="Ward 1"/>
    <x v="52"/>
    <m/>
    <s v="Phone"/>
    <m/>
    <m/>
    <n v="3"/>
    <s v="Pending"/>
    <d v="2025-05-01T00:00:00"/>
    <n v="2025"/>
    <n v="2"/>
    <s v="No"/>
  </r>
  <r>
    <s v="SR-2025-01879"/>
    <x v="1"/>
    <s v="Noise Complaint"/>
    <s v="Low"/>
    <x v="0"/>
    <s v="Ward 4"/>
    <x v="274"/>
    <d v="2025-04-13T00:00:00"/>
    <s v="In Person"/>
    <n v="3"/>
    <n v="11"/>
    <n v="14"/>
    <s v="Yes"/>
    <d v="2025-04-01T00:00:00"/>
    <n v="2025"/>
    <n v="2"/>
    <s v="Yes"/>
  </r>
  <r>
    <s v="SR-2025-01880"/>
    <x v="2"/>
    <s v="Recycling Issue"/>
    <s v="Low"/>
    <x v="2"/>
    <s v="Ward 1"/>
    <x v="33"/>
    <m/>
    <s v="Mobile App"/>
    <m/>
    <m/>
    <n v="14"/>
    <s v="Pending"/>
    <d v="2025-05-01T00:00:00"/>
    <n v="2025"/>
    <n v="2"/>
    <s v="No"/>
  </r>
  <r>
    <s v="SR-2025-01881"/>
    <x v="5"/>
    <s v="Grass Cutting"/>
    <s v="Medium"/>
    <x v="0"/>
    <s v="Ward 2"/>
    <x v="261"/>
    <d v="2025-09-18T00:00:00"/>
    <s v="Web"/>
    <n v="4"/>
    <n v="2"/>
    <n v="10"/>
    <s v="Yes"/>
    <d v="2025-09-01T00:00:00"/>
    <n v="2025"/>
    <n v="3"/>
    <s v="Yes"/>
  </r>
  <r>
    <s v="SR-2025-01882"/>
    <x v="4"/>
    <s v="Low Water Pressure"/>
    <s v="High"/>
    <x v="0"/>
    <s v="Ward 3"/>
    <x v="151"/>
    <d v="2025-11-15T00:00:00"/>
    <s v="Email"/>
    <n v="4"/>
    <n v="7"/>
    <n v="7"/>
    <s v="Yes"/>
    <d v="2025-11-01T00:00:00"/>
    <n v="2025"/>
    <n v="4"/>
    <s v="Yes"/>
  </r>
  <r>
    <s v="SR-2025-01883"/>
    <x v="5"/>
    <s v="Trail Maintenance"/>
    <s v="Low"/>
    <x v="0"/>
    <s v="Ward 1"/>
    <x v="269"/>
    <d v="2025-05-13T00:00:00"/>
    <s v="Web"/>
    <n v="4"/>
    <n v="5"/>
    <n v="14"/>
    <s v="Yes"/>
    <d v="2025-05-01T00:00:00"/>
    <n v="2025"/>
    <n v="2"/>
    <s v="Yes"/>
  </r>
  <r>
    <s v="SR-2025-01884"/>
    <x v="4"/>
    <s v="Low Water Pressure"/>
    <s v="Low"/>
    <x v="0"/>
    <s v="Ward 5"/>
    <x v="107"/>
    <d v="2025-09-21T00:00:00"/>
    <s v="In Person"/>
    <n v="5"/>
    <n v="13"/>
    <n v="14"/>
    <s v="Yes"/>
    <d v="2025-09-01T00:00:00"/>
    <n v="2025"/>
    <n v="3"/>
    <s v="Yes"/>
  </r>
  <r>
    <s v="SR-2025-01885"/>
    <x v="0"/>
    <s v="Traffic Concern"/>
    <s v="High"/>
    <x v="0"/>
    <s v="Ward 5"/>
    <x v="276"/>
    <d v="2025-12-03T00:00:00"/>
    <s v="In Person"/>
    <n v="4"/>
    <n v="5"/>
    <n v="7"/>
    <s v="Yes"/>
    <d v="2025-11-01T00:00:00"/>
    <n v="2025"/>
    <n v="4"/>
    <s v="Yes"/>
  </r>
  <r>
    <s v="SR-2025-01886"/>
    <x v="0"/>
    <s v="Traffic Concern"/>
    <s v="High"/>
    <x v="0"/>
    <s v="Ward 4"/>
    <x v="324"/>
    <d v="2025-07-30T00:00:00"/>
    <s v="Phone"/>
    <n v="4"/>
    <n v="2"/>
    <n v="7"/>
    <s v="Yes"/>
    <d v="2025-07-01T00:00:00"/>
    <n v="2025"/>
    <n v="3"/>
    <s v="Yes"/>
  </r>
  <r>
    <s v="SR-2025-01887"/>
    <x v="3"/>
    <s v="Road Damage"/>
    <s v="Low"/>
    <x v="2"/>
    <s v="Ward 1"/>
    <x v="175"/>
    <m/>
    <s v="In Person"/>
    <m/>
    <m/>
    <n v="14"/>
    <s v="Pending"/>
    <d v="2025-06-01T00:00:00"/>
    <n v="2025"/>
    <n v="2"/>
    <s v="No"/>
  </r>
  <r>
    <s v="SR-2025-01888"/>
    <x v="4"/>
    <s v="Water Quality Concern"/>
    <s v="Medium"/>
    <x v="0"/>
    <s v="Ward 1"/>
    <x v="282"/>
    <d v="2025-06-20T00:00:00"/>
    <s v="Phone"/>
    <n v="3"/>
    <n v="9"/>
    <n v="10"/>
    <s v="Yes"/>
    <d v="2025-06-01T00:00:00"/>
    <n v="2025"/>
    <n v="2"/>
    <s v="Yes"/>
  </r>
  <r>
    <s v="SR-2025-01889"/>
    <x v="4"/>
    <s v="Low Water Pressure"/>
    <s v="Medium"/>
    <x v="0"/>
    <s v="Ward 2"/>
    <x v="157"/>
    <d v="2025-03-19T00:00:00"/>
    <s v="Web"/>
    <n v="4"/>
    <n v="6"/>
    <n v="10"/>
    <s v="Yes"/>
    <d v="2025-03-01T00:00:00"/>
    <n v="2025"/>
    <n v="1"/>
    <s v="Yes"/>
  </r>
  <r>
    <s v="SR-2025-01890"/>
    <x v="5"/>
    <s v="Trail Maintenance"/>
    <s v="Medium"/>
    <x v="0"/>
    <s v="Ward 2"/>
    <x v="200"/>
    <d v="2026-01-09T00:00:00"/>
    <s v="Email"/>
    <n v="4"/>
    <n v="9"/>
    <n v="10"/>
    <s v="Yes"/>
    <d v="2025-12-01T00:00:00"/>
    <n v="2025"/>
    <n v="4"/>
    <s v="Yes"/>
  </r>
  <r>
    <s v="SR-2025-01891"/>
    <x v="5"/>
    <s v="Trail Maintenance"/>
    <s v="Critical"/>
    <x v="0"/>
    <s v="Ward 1"/>
    <x v="140"/>
    <d v="2025-03-16T00:00:00"/>
    <s v="Mobile App"/>
    <n v="4"/>
    <n v="0"/>
    <n v="3"/>
    <s v="Yes"/>
    <d v="2025-03-01T00:00:00"/>
    <n v="2025"/>
    <n v="1"/>
    <s v="Yes"/>
  </r>
  <r>
    <s v="SR-2025-01892"/>
    <x v="4"/>
    <s v="Water Quality Concern"/>
    <s v="High"/>
    <x v="2"/>
    <s v="Ward 5"/>
    <x v="153"/>
    <m/>
    <s v="Mobile App"/>
    <m/>
    <m/>
    <n v="7"/>
    <s v="Pending"/>
    <d v="2025-02-01T00:00:00"/>
    <n v="2025"/>
    <n v="1"/>
    <s v="No"/>
  </r>
  <r>
    <s v="SR-2025-01893"/>
    <x v="2"/>
    <s v="Green Bin Issue"/>
    <s v="Low"/>
    <x v="2"/>
    <s v="Ward 1"/>
    <x v="159"/>
    <m/>
    <s v="Mobile App"/>
    <m/>
    <m/>
    <n v="14"/>
    <s v="Pending"/>
    <d v="2025-09-01T00:00:00"/>
    <n v="2025"/>
    <n v="3"/>
    <s v="No"/>
  </r>
  <r>
    <s v="SR-2025-01894"/>
    <x v="2"/>
    <s v="Recycling Issue"/>
    <s v="Medium"/>
    <x v="0"/>
    <s v="Ward 5"/>
    <x v="353"/>
    <d v="2025-01-09T00:00:00"/>
    <s v="Mobile App"/>
    <n v="3"/>
    <n v="3"/>
    <n v="10"/>
    <s v="Yes"/>
    <d v="2025-01-01T00:00:00"/>
    <n v="2025"/>
    <n v="1"/>
    <s v="Yes"/>
  </r>
  <r>
    <s v="SR-2025-01895"/>
    <x v="3"/>
    <s v="Pothole Repair"/>
    <s v="Medium"/>
    <x v="0"/>
    <s v="Ward 3"/>
    <x v="291"/>
    <d v="2025-07-12T00:00:00"/>
    <s v="In Person"/>
    <n v="4"/>
    <n v="2"/>
    <n v="10"/>
    <s v="Yes"/>
    <d v="2025-07-01T00:00:00"/>
    <n v="2025"/>
    <n v="3"/>
    <s v="Yes"/>
  </r>
  <r>
    <s v="SR-2025-01896"/>
    <x v="4"/>
    <s v="Sewer Backup"/>
    <s v="Medium"/>
    <x v="0"/>
    <s v="Ward 4"/>
    <x v="231"/>
    <d v="2025-02-06T00:00:00"/>
    <s v="Email"/>
    <n v="4"/>
    <n v="10"/>
    <n v="10"/>
    <s v="Yes"/>
    <d v="2025-01-01T00:00:00"/>
    <n v="2025"/>
    <n v="1"/>
    <s v="Yes"/>
  </r>
  <r>
    <s v="SR-2025-01897"/>
    <x v="4"/>
    <s v="Water Leak"/>
    <s v="Medium"/>
    <x v="0"/>
    <s v="Ward 2"/>
    <x v="119"/>
    <d v="2025-10-27T00:00:00"/>
    <s v="Email"/>
    <n v="2"/>
    <n v="10"/>
    <n v="10"/>
    <s v="Yes"/>
    <d v="2025-10-01T00:00:00"/>
    <n v="2025"/>
    <n v="4"/>
    <s v="Yes"/>
  </r>
  <r>
    <s v="SR-2025-01898"/>
    <x v="2"/>
    <s v="Green Bin Issue"/>
    <s v="High"/>
    <x v="0"/>
    <s v="Ward 2"/>
    <x v="305"/>
    <d v="2025-03-17T00:00:00"/>
    <s v="Web"/>
    <n v="5"/>
    <n v="2"/>
    <n v="7"/>
    <s v="Yes"/>
    <d v="2025-03-01T00:00:00"/>
    <n v="2025"/>
    <n v="1"/>
    <s v="Yes"/>
  </r>
  <r>
    <s v="SR-2025-01899"/>
    <x v="1"/>
    <s v="Animal Complaint"/>
    <s v="Medium"/>
    <x v="0"/>
    <s v="Ward 2"/>
    <x v="4"/>
    <d v="2025-01-29T00:00:00"/>
    <s v="Phone"/>
    <n v="1"/>
    <n v="6"/>
    <n v="10"/>
    <s v="Yes"/>
    <d v="2025-01-01T00:00:00"/>
    <n v="2025"/>
    <n v="1"/>
    <s v="Yes"/>
  </r>
  <r>
    <s v="SR-2025-01900"/>
    <x v="4"/>
    <s v="Low Water Pressure"/>
    <s v="Medium"/>
    <x v="1"/>
    <s v="Ward 4"/>
    <x v="133"/>
    <m/>
    <s v="In Person"/>
    <m/>
    <m/>
    <n v="10"/>
    <s v="Pending"/>
    <d v="2025-03-01T00:00:00"/>
    <n v="2025"/>
    <n v="1"/>
    <s v="No"/>
  </r>
  <r>
    <s v="SR-2025-01901"/>
    <x v="1"/>
    <s v="Parking Complaint"/>
    <s v="Critical"/>
    <x v="0"/>
    <s v="Ward 3"/>
    <x v="238"/>
    <d v="2025-02-04T00:00:00"/>
    <s v="Email"/>
    <n v="5"/>
    <n v="1"/>
    <n v="3"/>
    <s v="Yes"/>
    <d v="2025-02-01T00:00:00"/>
    <n v="2025"/>
    <n v="1"/>
    <s v="Yes"/>
  </r>
  <r>
    <s v="SR-2025-01902"/>
    <x v="3"/>
    <s v="Road Damage"/>
    <s v="Medium"/>
    <x v="2"/>
    <s v="Ward 4"/>
    <x v="191"/>
    <m/>
    <s v="Web"/>
    <m/>
    <m/>
    <n v="10"/>
    <s v="Pending"/>
    <d v="2025-12-01T00:00:00"/>
    <n v="2025"/>
    <n v="4"/>
    <s v="No"/>
  </r>
  <r>
    <s v="SR-2025-01903"/>
    <x v="3"/>
    <s v="Snow Removal"/>
    <s v="High"/>
    <x v="0"/>
    <s v="Ward 3"/>
    <x v="291"/>
    <d v="2025-07-17T00:00:00"/>
    <s v="In Person"/>
    <n v="4"/>
    <n v="7"/>
    <n v="7"/>
    <s v="Yes"/>
    <d v="2025-07-01T00:00:00"/>
    <n v="2025"/>
    <n v="3"/>
    <s v="Yes"/>
  </r>
  <r>
    <s v="SR-2025-01904"/>
    <x v="1"/>
    <s v="Parking Complaint"/>
    <s v="Medium"/>
    <x v="0"/>
    <s v="Ward 5"/>
    <x v="235"/>
    <d v="2025-03-31T00:00:00"/>
    <s v="Phone"/>
    <n v="5"/>
    <n v="10"/>
    <n v="10"/>
    <s v="Yes"/>
    <d v="2025-03-01T00:00:00"/>
    <n v="2025"/>
    <n v="1"/>
    <s v="Yes"/>
  </r>
  <r>
    <s v="SR-2025-01905"/>
    <x v="5"/>
    <s v="Tree Maintenance"/>
    <s v="Medium"/>
    <x v="0"/>
    <s v="Ward 4"/>
    <x v="88"/>
    <d v="2025-09-24T00:00:00"/>
    <s v="Web"/>
    <n v="4"/>
    <n v="6"/>
    <n v="10"/>
    <s v="Yes"/>
    <d v="2025-09-01T00:00:00"/>
    <n v="2025"/>
    <n v="3"/>
    <s v="Yes"/>
  </r>
  <r>
    <s v="SR-2025-01906"/>
    <x v="1"/>
    <s v="Parking Complaint"/>
    <s v="High"/>
    <x v="0"/>
    <s v="Ward 2"/>
    <x v="110"/>
    <d v="2025-03-22T00:00:00"/>
    <s v="Phone"/>
    <n v="3"/>
    <n v="5"/>
    <n v="7"/>
    <s v="Yes"/>
    <d v="2025-03-01T00:00:00"/>
    <n v="2025"/>
    <n v="1"/>
    <s v="Yes"/>
  </r>
  <r>
    <s v="SR-2025-01907"/>
    <x v="4"/>
    <s v="Low Water Pressure"/>
    <s v="High"/>
    <x v="0"/>
    <s v="Ward 4"/>
    <x v="261"/>
    <d v="2025-09-19T00:00:00"/>
    <s v="Email"/>
    <n v="4"/>
    <n v="3"/>
    <n v="7"/>
    <s v="Yes"/>
    <d v="2025-09-01T00:00:00"/>
    <n v="2025"/>
    <n v="3"/>
    <s v="Yes"/>
  </r>
  <r>
    <s v="SR-2025-01908"/>
    <x v="1"/>
    <s v="Parking Complaint"/>
    <s v="Medium"/>
    <x v="0"/>
    <s v="Ward 1"/>
    <x v="47"/>
    <d v="2025-11-25T00:00:00"/>
    <s v="Mobile App"/>
    <n v="5"/>
    <n v="9"/>
    <n v="10"/>
    <s v="Yes"/>
    <d v="2025-11-01T00:00:00"/>
    <n v="2025"/>
    <n v="4"/>
    <s v="Yes"/>
  </r>
  <r>
    <s v="SR-2025-01909"/>
    <x v="3"/>
    <s v="Snow Removal"/>
    <s v="Medium"/>
    <x v="0"/>
    <s v="Ward 3"/>
    <x v="116"/>
    <d v="2025-08-10T00:00:00"/>
    <s v="Mobile App"/>
    <n v="5"/>
    <n v="9"/>
    <n v="10"/>
    <s v="Yes"/>
    <d v="2025-08-01T00:00:00"/>
    <n v="2025"/>
    <n v="3"/>
    <s v="Yes"/>
  </r>
  <r>
    <s v="SR-2025-01910"/>
    <x v="3"/>
    <s v="Sidewalk Damage"/>
    <s v="Low"/>
    <x v="2"/>
    <s v="Ward 4"/>
    <x v="72"/>
    <m/>
    <s v="In Person"/>
    <m/>
    <m/>
    <n v="14"/>
    <s v="Pending"/>
    <d v="2025-09-01T00:00:00"/>
    <n v="2025"/>
    <n v="3"/>
    <s v="No"/>
  </r>
  <r>
    <s v="SR-2025-01911"/>
    <x v="5"/>
    <s v="Trail Maintenance"/>
    <s v="Medium"/>
    <x v="0"/>
    <s v="Ward 5"/>
    <x v="212"/>
    <d v="2025-05-09T00:00:00"/>
    <s v="Mobile App"/>
    <n v="4"/>
    <n v="4"/>
    <n v="10"/>
    <s v="Yes"/>
    <d v="2025-05-01T00:00:00"/>
    <n v="2025"/>
    <n v="2"/>
    <s v="Yes"/>
  </r>
  <r>
    <s v="SR-2025-01912"/>
    <x v="1"/>
    <s v="Animal Complaint"/>
    <s v="High"/>
    <x v="0"/>
    <s v="Ward 2"/>
    <x v="224"/>
    <d v="2025-02-19T00:00:00"/>
    <s v="In Person"/>
    <n v="5"/>
    <n v="7"/>
    <n v="7"/>
    <s v="Yes"/>
    <d v="2025-02-01T00:00:00"/>
    <n v="2025"/>
    <n v="1"/>
    <s v="Yes"/>
  </r>
  <r>
    <s v="SR-2025-01913"/>
    <x v="4"/>
    <s v="Water Quality Concern"/>
    <s v="High"/>
    <x v="2"/>
    <s v="Ward 2"/>
    <x v="77"/>
    <m/>
    <s v="Web"/>
    <m/>
    <m/>
    <n v="7"/>
    <s v="Pending"/>
    <d v="2025-12-01T00:00:00"/>
    <n v="2025"/>
    <n v="4"/>
    <s v="No"/>
  </r>
  <r>
    <s v="SR-2025-01914"/>
    <x v="3"/>
    <s v="Snow Removal"/>
    <s v="Low"/>
    <x v="0"/>
    <s v="Ward 3"/>
    <x v="101"/>
    <d v="2025-07-20T00:00:00"/>
    <s v="In Person"/>
    <n v="5"/>
    <n v="13"/>
    <n v="14"/>
    <s v="Yes"/>
    <d v="2025-07-01T00:00:00"/>
    <n v="2025"/>
    <n v="3"/>
    <s v="Yes"/>
  </r>
  <r>
    <s v="SR-2025-01915"/>
    <x v="3"/>
    <s v="Pothole Repair"/>
    <s v="Low"/>
    <x v="0"/>
    <s v="Ward 1"/>
    <x v="311"/>
    <d v="2025-02-24T00:00:00"/>
    <s v="Web"/>
    <n v="5"/>
    <n v="3"/>
    <n v="14"/>
    <s v="Yes"/>
    <d v="2025-02-01T00:00:00"/>
    <n v="2025"/>
    <n v="1"/>
    <s v="Yes"/>
  </r>
  <r>
    <s v="SR-2025-01916"/>
    <x v="1"/>
    <s v="Noise Complaint"/>
    <s v="High"/>
    <x v="0"/>
    <s v="Ward 4"/>
    <x v="173"/>
    <d v="2025-04-02T00:00:00"/>
    <s v="Web"/>
    <n v="5"/>
    <n v="4"/>
    <n v="7"/>
    <s v="Yes"/>
    <d v="2025-03-01T00:00:00"/>
    <n v="2025"/>
    <n v="1"/>
    <s v="Yes"/>
  </r>
  <r>
    <s v="SR-2025-01917"/>
    <x v="2"/>
    <s v="Illegal Dumping"/>
    <s v="Medium"/>
    <x v="0"/>
    <s v="Ward 4"/>
    <x v="34"/>
    <d v="2025-11-16T00:00:00"/>
    <s v="In Person"/>
    <n v="3"/>
    <n v="6"/>
    <n v="10"/>
    <s v="Yes"/>
    <d v="2025-11-01T00:00:00"/>
    <n v="2025"/>
    <n v="4"/>
    <s v="Yes"/>
  </r>
  <r>
    <s v="SR-2025-01918"/>
    <x v="2"/>
    <s v="Recycling Issue"/>
    <s v="Medium"/>
    <x v="0"/>
    <s v="Ward 3"/>
    <x v="106"/>
    <d v="2025-02-28T00:00:00"/>
    <s v="Web"/>
    <n v="4"/>
    <n v="9"/>
    <n v="10"/>
    <s v="Yes"/>
    <d v="2025-02-01T00:00:00"/>
    <n v="2025"/>
    <n v="1"/>
    <s v="Yes"/>
  </r>
  <r>
    <s v="SR-2025-01919"/>
    <x v="4"/>
    <s v="Sewer Backup"/>
    <s v="Medium"/>
    <x v="0"/>
    <s v="Ward 3"/>
    <x v="132"/>
    <d v="2025-08-27T00:00:00"/>
    <s v="Mobile App"/>
    <n v="5"/>
    <n v="7"/>
    <n v="10"/>
    <s v="Yes"/>
    <d v="2025-08-01T00:00:00"/>
    <n v="2025"/>
    <n v="3"/>
    <s v="Yes"/>
  </r>
  <r>
    <s v="SR-2025-01920"/>
    <x v="0"/>
    <s v="Traffic Concern"/>
    <s v="Medium"/>
    <x v="2"/>
    <s v="Ward 3"/>
    <x v="136"/>
    <m/>
    <s v="Phone"/>
    <m/>
    <m/>
    <n v="10"/>
    <s v="Pending"/>
    <d v="2025-06-01T00:00:00"/>
    <n v="2025"/>
    <n v="2"/>
    <s v="No"/>
  </r>
  <r>
    <s v="SR-2025-01921"/>
    <x v="5"/>
    <s v="Trail Maintenance"/>
    <s v="Low"/>
    <x v="0"/>
    <s v="Ward 1"/>
    <x v="141"/>
    <d v="2025-02-13T00:00:00"/>
    <s v="Phone"/>
    <n v="4"/>
    <n v="3"/>
    <n v="14"/>
    <s v="Yes"/>
    <d v="2025-02-01T00:00:00"/>
    <n v="2025"/>
    <n v="1"/>
    <s v="Yes"/>
  </r>
  <r>
    <s v="SR-2025-01922"/>
    <x v="3"/>
    <s v="Snow Removal"/>
    <s v="Low"/>
    <x v="0"/>
    <s v="Ward 3"/>
    <x v="264"/>
    <d v="2025-06-09T00:00:00"/>
    <s v="In Person"/>
    <n v="4"/>
    <n v="15"/>
    <n v="14"/>
    <s v="No"/>
    <d v="2025-05-01T00:00:00"/>
    <n v="2025"/>
    <n v="2"/>
    <s v="Yes"/>
  </r>
  <r>
    <s v="SR-2025-01923"/>
    <x v="5"/>
    <s v="Trail Maintenance"/>
    <s v="Medium"/>
    <x v="0"/>
    <s v="Ward 3"/>
    <x v="326"/>
    <d v="2025-12-06T00:00:00"/>
    <s v="Phone"/>
    <n v="5"/>
    <n v="10"/>
    <n v="10"/>
    <s v="Yes"/>
    <d v="2025-11-01T00:00:00"/>
    <n v="2025"/>
    <n v="4"/>
    <s v="Yes"/>
  </r>
  <r>
    <s v="SR-2025-01924"/>
    <x v="4"/>
    <s v="Water Leak"/>
    <s v="Medium"/>
    <x v="0"/>
    <s v="Ward 3"/>
    <x v="176"/>
    <d v="2025-06-29T00:00:00"/>
    <s v="Email"/>
    <n v="2"/>
    <n v="3"/>
    <n v="10"/>
    <s v="Yes"/>
    <d v="2025-06-01T00:00:00"/>
    <n v="2025"/>
    <n v="2"/>
    <s v="Yes"/>
  </r>
  <r>
    <s v="SR-2025-01925"/>
    <x v="5"/>
    <s v="Trail Maintenance"/>
    <s v="Medium"/>
    <x v="2"/>
    <s v="Ward 3"/>
    <x v="160"/>
    <m/>
    <s v="Email"/>
    <m/>
    <m/>
    <n v="10"/>
    <s v="Pending"/>
    <d v="2025-12-01T00:00:00"/>
    <n v="2025"/>
    <n v="4"/>
    <s v="No"/>
  </r>
  <r>
    <s v="SR-2025-01926"/>
    <x v="5"/>
    <s v="Grass Cutting"/>
    <s v="High"/>
    <x v="0"/>
    <s v="Ward 5"/>
    <x v="90"/>
    <d v="2025-12-07T00:00:00"/>
    <s v="Phone"/>
    <n v="5"/>
    <n v="3"/>
    <n v="7"/>
    <s v="Yes"/>
    <d v="2025-12-01T00:00:00"/>
    <n v="2025"/>
    <n v="4"/>
    <s v="Yes"/>
  </r>
  <r>
    <s v="SR-2025-01927"/>
    <x v="3"/>
    <s v="Road Damage"/>
    <s v="Critical"/>
    <x v="0"/>
    <s v="Ward 2"/>
    <x v="320"/>
    <d v="2025-09-09T00:00:00"/>
    <s v="Phone"/>
    <n v="3"/>
    <n v="2"/>
    <n v="3"/>
    <s v="Yes"/>
    <d v="2025-09-01T00:00:00"/>
    <n v="2025"/>
    <n v="3"/>
    <s v="Yes"/>
  </r>
  <r>
    <s v="SR-2025-01928"/>
    <x v="1"/>
    <s v="Animal Complaint"/>
    <s v="Critical"/>
    <x v="2"/>
    <s v="Ward 4"/>
    <x v="149"/>
    <m/>
    <s v="Web"/>
    <m/>
    <m/>
    <n v="3"/>
    <s v="Pending"/>
    <d v="2025-04-01T00:00:00"/>
    <n v="2025"/>
    <n v="2"/>
    <s v="No"/>
  </r>
  <r>
    <s v="SR-2025-01929"/>
    <x v="3"/>
    <s v="Sidewalk Damage"/>
    <s v="High"/>
    <x v="1"/>
    <s v="Ward 3"/>
    <x v="291"/>
    <m/>
    <s v="Web"/>
    <m/>
    <m/>
    <n v="7"/>
    <s v="Pending"/>
    <d v="2025-07-01T00:00:00"/>
    <n v="2025"/>
    <n v="3"/>
    <s v="No"/>
  </r>
  <r>
    <s v="SR-2025-01930"/>
    <x v="3"/>
    <s v="Snow Removal"/>
    <s v="High"/>
    <x v="2"/>
    <s v="Ward 2"/>
    <x v="265"/>
    <m/>
    <s v="Phone"/>
    <m/>
    <m/>
    <n v="7"/>
    <s v="Pending"/>
    <d v="2025-04-01T00:00:00"/>
    <n v="2025"/>
    <n v="2"/>
    <s v="No"/>
  </r>
  <r>
    <s v="SR-2025-01931"/>
    <x v="2"/>
    <s v="Illegal Dumping"/>
    <s v="Medium"/>
    <x v="2"/>
    <s v="Ward 5"/>
    <x v="245"/>
    <m/>
    <s v="In Person"/>
    <m/>
    <m/>
    <n v="10"/>
    <s v="Pending"/>
    <d v="2025-10-01T00:00:00"/>
    <n v="2025"/>
    <n v="4"/>
    <s v="No"/>
  </r>
  <r>
    <s v="SR-2025-01932"/>
    <x v="5"/>
    <s v="Trail Maintenance"/>
    <s v="High"/>
    <x v="0"/>
    <s v="Ward 5"/>
    <x v="39"/>
    <d v="2025-01-25T00:00:00"/>
    <s v="In Person"/>
    <n v="5"/>
    <n v="4"/>
    <n v="7"/>
    <s v="Yes"/>
    <d v="2025-01-01T00:00:00"/>
    <n v="2025"/>
    <n v="1"/>
    <s v="Yes"/>
  </r>
  <r>
    <s v="SR-2025-01933"/>
    <x v="2"/>
    <s v="Green Bin Issue"/>
    <s v="Low"/>
    <x v="0"/>
    <s v="Ward 1"/>
    <x v="324"/>
    <d v="2025-08-09T00:00:00"/>
    <s v="Email"/>
    <n v="4"/>
    <n v="12"/>
    <n v="14"/>
    <s v="Yes"/>
    <d v="2025-07-01T00:00:00"/>
    <n v="2025"/>
    <n v="3"/>
    <s v="Yes"/>
  </r>
  <r>
    <s v="SR-2025-01934"/>
    <x v="4"/>
    <s v="Water Quality Concern"/>
    <s v="High"/>
    <x v="0"/>
    <s v="Ward 2"/>
    <x v="358"/>
    <d v="2025-05-02T00:00:00"/>
    <s v="Email"/>
    <n v="5"/>
    <n v="3"/>
    <n v="7"/>
    <s v="Yes"/>
    <d v="2025-04-01T00:00:00"/>
    <n v="2025"/>
    <n v="2"/>
    <s v="Yes"/>
  </r>
  <r>
    <s v="SR-2025-01935"/>
    <x v="2"/>
    <s v="Illegal Dumping"/>
    <s v="High"/>
    <x v="1"/>
    <s v="Ward 5"/>
    <x v="8"/>
    <m/>
    <s v="Mobile App"/>
    <m/>
    <m/>
    <n v="7"/>
    <s v="Pending"/>
    <d v="2025-04-01T00:00:00"/>
    <n v="2025"/>
    <n v="2"/>
    <s v="No"/>
  </r>
  <r>
    <s v="SR-2025-01936"/>
    <x v="4"/>
    <s v="Sewer Backup"/>
    <s v="Low"/>
    <x v="0"/>
    <s v="Ward 1"/>
    <x v="195"/>
    <d v="2025-05-04T00:00:00"/>
    <s v="Email"/>
    <n v="3"/>
    <n v="10"/>
    <n v="14"/>
    <s v="Yes"/>
    <d v="2025-04-01T00:00:00"/>
    <n v="2025"/>
    <n v="2"/>
    <s v="Yes"/>
  </r>
  <r>
    <s v="SR-2025-01937"/>
    <x v="3"/>
    <s v="Pothole Repair"/>
    <s v="High"/>
    <x v="0"/>
    <s v="Ward 3"/>
    <x v="325"/>
    <d v="2025-10-11T00:00:00"/>
    <s v="In Person"/>
    <n v="1"/>
    <n v="4"/>
    <n v="7"/>
    <s v="Yes"/>
    <d v="2025-10-01T00:00:00"/>
    <n v="2025"/>
    <n v="4"/>
    <s v="Yes"/>
  </r>
  <r>
    <s v="SR-2025-01938"/>
    <x v="0"/>
    <s v="Streetlight Repair"/>
    <s v="Medium"/>
    <x v="0"/>
    <s v="Ward 1"/>
    <x v="194"/>
    <d v="2025-10-11T00:00:00"/>
    <s v="Phone"/>
    <n v="3"/>
    <n v="10"/>
    <n v="10"/>
    <s v="Yes"/>
    <d v="2025-10-01T00:00:00"/>
    <n v="2025"/>
    <n v="4"/>
    <s v="Yes"/>
  </r>
  <r>
    <s v="SR-2025-01939"/>
    <x v="4"/>
    <s v="Sewer Backup"/>
    <s v="Low"/>
    <x v="0"/>
    <s v="Ward 3"/>
    <x v="26"/>
    <d v="2025-01-21T00:00:00"/>
    <s v="Phone"/>
    <n v="4"/>
    <n v="13"/>
    <n v="14"/>
    <s v="Yes"/>
    <d v="2025-01-01T00:00:00"/>
    <n v="2025"/>
    <n v="1"/>
    <s v="Yes"/>
  </r>
  <r>
    <s v="SR-2025-01940"/>
    <x v="4"/>
    <s v="Water Leak"/>
    <s v="Low"/>
    <x v="2"/>
    <s v="Ward 2"/>
    <x v="229"/>
    <m/>
    <s v="Mobile App"/>
    <m/>
    <m/>
    <n v="14"/>
    <s v="Pending"/>
    <d v="2025-05-01T00:00:00"/>
    <n v="2025"/>
    <n v="2"/>
    <s v="No"/>
  </r>
  <r>
    <s v="SR-2025-01941"/>
    <x v="0"/>
    <s v="Road Sign Damage"/>
    <s v="Medium"/>
    <x v="2"/>
    <s v="Ward 2"/>
    <x v="123"/>
    <m/>
    <s v="Mobile App"/>
    <m/>
    <m/>
    <n v="10"/>
    <s v="Pending"/>
    <d v="2025-04-01T00:00:00"/>
    <n v="2025"/>
    <n v="2"/>
    <s v="No"/>
  </r>
  <r>
    <s v="SR-2025-01942"/>
    <x v="3"/>
    <s v="Sidewalk Damage"/>
    <s v="Medium"/>
    <x v="0"/>
    <s v="Ward 2"/>
    <x v="262"/>
    <d v="2025-10-11T00:00:00"/>
    <s v="Web"/>
    <n v="2"/>
    <n v="3"/>
    <n v="10"/>
    <s v="Yes"/>
    <d v="2025-10-01T00:00:00"/>
    <n v="2025"/>
    <n v="4"/>
    <s v="Yes"/>
  </r>
  <r>
    <s v="SR-2025-01943"/>
    <x v="3"/>
    <s v="Road Damage"/>
    <s v="Low"/>
    <x v="1"/>
    <s v="Ward 2"/>
    <x v="67"/>
    <m/>
    <s v="Web"/>
    <m/>
    <m/>
    <n v="14"/>
    <s v="Pending"/>
    <d v="2025-05-01T00:00:00"/>
    <n v="2025"/>
    <n v="2"/>
    <s v="No"/>
  </r>
  <r>
    <s v="SR-2025-01944"/>
    <x v="4"/>
    <s v="Sewer Backup"/>
    <s v="Low"/>
    <x v="1"/>
    <s v="Ward 4"/>
    <x v="194"/>
    <m/>
    <s v="In Person"/>
    <m/>
    <m/>
    <n v="14"/>
    <s v="Pending"/>
    <d v="2025-10-01T00:00:00"/>
    <n v="2025"/>
    <n v="4"/>
    <s v="No"/>
  </r>
  <r>
    <s v="SR-2025-01945"/>
    <x v="3"/>
    <s v="Snow Removal"/>
    <s v="Medium"/>
    <x v="0"/>
    <s v="Ward 3"/>
    <x v="224"/>
    <d v="2025-02-19T00:00:00"/>
    <s v="Phone"/>
    <n v="5"/>
    <n v="7"/>
    <n v="10"/>
    <s v="Yes"/>
    <d v="2025-02-01T00:00:00"/>
    <n v="2025"/>
    <n v="1"/>
    <s v="Yes"/>
  </r>
  <r>
    <s v="SR-2025-01946"/>
    <x v="4"/>
    <s v="Low Water Pressure"/>
    <s v="Medium"/>
    <x v="0"/>
    <s v="Ward 2"/>
    <x v="281"/>
    <d v="2025-01-13T00:00:00"/>
    <s v="Phone"/>
    <n v="5"/>
    <n v="3"/>
    <n v="10"/>
    <s v="Yes"/>
    <d v="2025-01-01T00:00:00"/>
    <n v="2025"/>
    <n v="1"/>
    <s v="Yes"/>
  </r>
  <r>
    <s v="SR-2025-01947"/>
    <x v="2"/>
    <s v="Recycling Issue"/>
    <s v="Medium"/>
    <x v="0"/>
    <s v="Ward 3"/>
    <x v="309"/>
    <d v="2025-04-19T00:00:00"/>
    <s v="Web"/>
    <n v="5"/>
    <n v="9"/>
    <n v="10"/>
    <s v="Yes"/>
    <d v="2025-04-01T00:00:00"/>
    <n v="2025"/>
    <n v="2"/>
    <s v="Yes"/>
  </r>
  <r>
    <s v="SR-2025-01948"/>
    <x v="2"/>
    <s v="Green Bin Issue"/>
    <s v="High"/>
    <x v="0"/>
    <s v="Ward 2"/>
    <x v="277"/>
    <d v="2025-09-27T00:00:00"/>
    <s v="Phone"/>
    <n v="5"/>
    <n v="7"/>
    <n v="7"/>
    <s v="Yes"/>
    <d v="2025-09-01T00:00:00"/>
    <n v="2025"/>
    <n v="3"/>
    <s v="Yes"/>
  </r>
  <r>
    <s v="SR-2025-01949"/>
    <x v="5"/>
    <s v="Trail Maintenance"/>
    <s v="High"/>
    <x v="1"/>
    <s v="Ward 2"/>
    <x v="29"/>
    <m/>
    <s v="Email"/>
    <m/>
    <m/>
    <n v="7"/>
    <s v="Pending"/>
    <d v="2025-02-01T00:00:00"/>
    <n v="2025"/>
    <n v="1"/>
    <s v="No"/>
  </r>
  <r>
    <s v="SR-2025-01950"/>
    <x v="1"/>
    <s v="Animal Complaint"/>
    <s v="Medium"/>
    <x v="0"/>
    <s v="Ward 2"/>
    <x v="129"/>
    <d v="2025-04-14T00:00:00"/>
    <s v="Web"/>
    <n v="1"/>
    <n v="2"/>
    <n v="10"/>
    <s v="Yes"/>
    <d v="2025-04-01T00:00:00"/>
    <n v="2025"/>
    <n v="2"/>
    <s v="Yes"/>
  </r>
  <r>
    <s v="SR-2025-01951"/>
    <x v="1"/>
    <s v="Parking Complaint"/>
    <s v="Low"/>
    <x v="0"/>
    <s v="Ward 1"/>
    <x v="291"/>
    <d v="2025-07-23T00:00:00"/>
    <s v="Mobile App"/>
    <n v="4"/>
    <n v="13"/>
    <n v="14"/>
    <s v="Yes"/>
    <d v="2025-07-01T00:00:00"/>
    <n v="2025"/>
    <n v="3"/>
    <s v="Yes"/>
  </r>
  <r>
    <s v="SR-2025-01952"/>
    <x v="4"/>
    <s v="Water Leak"/>
    <s v="Low"/>
    <x v="0"/>
    <s v="Ward 5"/>
    <x v="254"/>
    <d v="2025-10-05T00:00:00"/>
    <s v="Phone"/>
    <n v="5"/>
    <n v="11"/>
    <n v="14"/>
    <s v="Yes"/>
    <d v="2025-09-01T00:00:00"/>
    <n v="2025"/>
    <n v="3"/>
    <s v="Yes"/>
  </r>
  <r>
    <s v="SR-2025-01953"/>
    <x v="4"/>
    <s v="Water Quality Concern"/>
    <s v="Medium"/>
    <x v="0"/>
    <s v="Ward 1"/>
    <x v="70"/>
    <d v="2025-06-27T00:00:00"/>
    <s v="Mobile App"/>
    <n v="4"/>
    <n v="3"/>
    <n v="10"/>
    <s v="Yes"/>
    <d v="2025-06-01T00:00:00"/>
    <n v="2025"/>
    <n v="2"/>
    <s v="Yes"/>
  </r>
  <r>
    <s v="SR-2025-01954"/>
    <x v="5"/>
    <s v="Grass Cutting"/>
    <s v="Medium"/>
    <x v="0"/>
    <s v="Ward 3"/>
    <x v="44"/>
    <d v="2025-01-23T00:00:00"/>
    <s v="Phone"/>
    <n v="2"/>
    <n v="3"/>
    <n v="10"/>
    <s v="Yes"/>
    <d v="2025-01-01T00:00:00"/>
    <n v="2025"/>
    <n v="1"/>
    <s v="Yes"/>
  </r>
  <r>
    <s v="SR-2025-01955"/>
    <x v="0"/>
    <s v="Road Sign Damage"/>
    <s v="High"/>
    <x v="2"/>
    <s v="Ward 3"/>
    <x v="233"/>
    <m/>
    <s v="Email"/>
    <m/>
    <m/>
    <n v="7"/>
    <s v="Pending"/>
    <d v="2025-05-01T00:00:00"/>
    <n v="2025"/>
    <n v="2"/>
    <s v="No"/>
  </r>
  <r>
    <s v="SR-2025-01956"/>
    <x v="3"/>
    <s v="Sidewalk Damage"/>
    <s v="Low"/>
    <x v="0"/>
    <s v="Ward 3"/>
    <x v="156"/>
    <d v="2025-06-12T00:00:00"/>
    <s v="Mobile App"/>
    <n v="1"/>
    <n v="9"/>
    <n v="14"/>
    <s v="Yes"/>
    <d v="2025-06-01T00:00:00"/>
    <n v="2025"/>
    <n v="2"/>
    <s v="Yes"/>
  </r>
  <r>
    <s v="SR-2025-01957"/>
    <x v="5"/>
    <s v="Tree Maintenance"/>
    <s v="High"/>
    <x v="2"/>
    <s v="Ward 5"/>
    <x v="327"/>
    <m/>
    <s v="Web"/>
    <m/>
    <m/>
    <n v="7"/>
    <s v="Pending"/>
    <d v="2025-11-01T00:00:00"/>
    <n v="2025"/>
    <n v="4"/>
    <s v="No"/>
  </r>
  <r>
    <s v="SR-2025-01958"/>
    <x v="2"/>
    <s v="Missed Garbage Pickup"/>
    <s v="Low"/>
    <x v="0"/>
    <s v="Ward 2"/>
    <x v="170"/>
    <d v="2025-06-28T00:00:00"/>
    <s v="In Person"/>
    <n v="5"/>
    <n v="8"/>
    <n v="14"/>
    <s v="Yes"/>
    <d v="2025-06-01T00:00:00"/>
    <n v="2025"/>
    <n v="2"/>
    <s v="Yes"/>
  </r>
  <r>
    <s v="SR-2025-01959"/>
    <x v="5"/>
    <s v="Tree Maintenance"/>
    <s v="Low"/>
    <x v="0"/>
    <s v="Ward 1"/>
    <x v="19"/>
    <d v="2025-10-24T00:00:00"/>
    <s v="In Person"/>
    <n v="4"/>
    <n v="15"/>
    <n v="14"/>
    <s v="No"/>
    <d v="2025-10-01T00:00:00"/>
    <n v="2025"/>
    <n v="4"/>
    <s v="Yes"/>
  </r>
  <r>
    <s v="SR-2025-01960"/>
    <x v="1"/>
    <s v="Parking Complaint"/>
    <s v="High"/>
    <x v="0"/>
    <s v="Ward 1"/>
    <x v="311"/>
    <d v="2025-02-25T00:00:00"/>
    <s v="Mobile App"/>
    <n v="5"/>
    <n v="4"/>
    <n v="7"/>
    <s v="Yes"/>
    <d v="2025-02-01T00:00:00"/>
    <n v="2025"/>
    <n v="1"/>
    <s v="Yes"/>
  </r>
  <r>
    <s v="SR-2025-01961"/>
    <x v="4"/>
    <s v="Water Leak"/>
    <s v="Medium"/>
    <x v="0"/>
    <s v="Ward 5"/>
    <x v="231"/>
    <d v="2025-01-31T00:00:00"/>
    <s v="Web"/>
    <n v="2"/>
    <n v="4"/>
    <n v="10"/>
    <s v="Yes"/>
    <d v="2025-01-01T00:00:00"/>
    <n v="2025"/>
    <n v="1"/>
    <s v="Yes"/>
  </r>
  <r>
    <s v="SR-2025-01962"/>
    <x v="3"/>
    <s v="Snow Removal"/>
    <s v="Low"/>
    <x v="1"/>
    <s v="Ward 5"/>
    <x v="213"/>
    <m/>
    <s v="Web"/>
    <m/>
    <m/>
    <n v="14"/>
    <s v="Pending"/>
    <d v="2025-07-01T00:00:00"/>
    <n v="2025"/>
    <n v="3"/>
    <s v="No"/>
  </r>
  <r>
    <s v="SR-2025-01963"/>
    <x v="2"/>
    <s v="Recycling Issue"/>
    <s v="Medium"/>
    <x v="0"/>
    <s v="Ward 2"/>
    <x v="219"/>
    <d v="2025-05-10T00:00:00"/>
    <s v="In Person"/>
    <n v="4"/>
    <n v="3"/>
    <n v="10"/>
    <s v="Yes"/>
    <d v="2025-05-01T00:00:00"/>
    <n v="2025"/>
    <n v="2"/>
    <s v="Yes"/>
  </r>
  <r>
    <s v="SR-2025-01964"/>
    <x v="0"/>
    <s v="Streetlight Repair"/>
    <s v="Medium"/>
    <x v="0"/>
    <s v="Ward 5"/>
    <x v="186"/>
    <d v="2025-04-26T00:00:00"/>
    <s v="Phone"/>
    <n v="3"/>
    <n v="4"/>
    <n v="10"/>
    <s v="Yes"/>
    <d v="2025-04-01T00:00:00"/>
    <n v="2025"/>
    <n v="2"/>
    <s v="Yes"/>
  </r>
  <r>
    <s v="SR-2025-01965"/>
    <x v="4"/>
    <s v="Water Leak"/>
    <s v="Medium"/>
    <x v="2"/>
    <s v="Ward 2"/>
    <x v="249"/>
    <m/>
    <s v="Email"/>
    <m/>
    <m/>
    <n v="10"/>
    <s v="Pending"/>
    <d v="2025-10-01T00:00:00"/>
    <n v="2025"/>
    <n v="4"/>
    <s v="No"/>
  </r>
  <r>
    <s v="SR-2025-01966"/>
    <x v="1"/>
    <s v="Property Standards"/>
    <s v="Low"/>
    <x v="0"/>
    <s v="Ward 5"/>
    <x v="339"/>
    <d v="2025-12-17T00:00:00"/>
    <s v="Mobile App"/>
    <n v="3"/>
    <n v="9"/>
    <n v="14"/>
    <s v="Yes"/>
    <d v="2025-12-01T00:00:00"/>
    <n v="2025"/>
    <n v="4"/>
    <s v="Yes"/>
  </r>
  <r>
    <s v="SR-2025-01967"/>
    <x v="2"/>
    <s v="Recycling Issue"/>
    <s v="Medium"/>
    <x v="0"/>
    <s v="Ward 5"/>
    <x v="130"/>
    <d v="2025-10-30T00:00:00"/>
    <s v="Web"/>
    <n v="3"/>
    <n v="6"/>
    <n v="10"/>
    <s v="Yes"/>
    <d v="2025-10-01T00:00:00"/>
    <n v="2025"/>
    <n v="4"/>
    <s v="Yes"/>
  </r>
  <r>
    <s v="SR-2025-01968"/>
    <x v="0"/>
    <s v="Traffic Concern"/>
    <s v="Medium"/>
    <x v="0"/>
    <s v="Ward 2"/>
    <x v="143"/>
    <d v="2025-01-04T00:00:00"/>
    <s v="Mobile App"/>
    <n v="4"/>
    <n v="3"/>
    <n v="10"/>
    <s v="Yes"/>
    <d v="2025-01-01T00:00:00"/>
    <n v="2025"/>
    <n v="1"/>
    <s v="Yes"/>
  </r>
  <r>
    <s v="SR-2025-01969"/>
    <x v="0"/>
    <s v="Traffic Signal Issue"/>
    <s v="Medium"/>
    <x v="1"/>
    <s v="Ward 1"/>
    <x v="73"/>
    <m/>
    <s v="Phone"/>
    <m/>
    <m/>
    <n v="10"/>
    <s v="Pending"/>
    <d v="2025-10-01T00:00:00"/>
    <n v="2025"/>
    <n v="4"/>
    <s v="No"/>
  </r>
  <r>
    <s v="SR-2025-01970"/>
    <x v="5"/>
    <s v="Tree Maintenance"/>
    <s v="Low"/>
    <x v="0"/>
    <s v="Ward 4"/>
    <x v="162"/>
    <d v="2025-02-07T00:00:00"/>
    <s v="Phone"/>
    <n v="2"/>
    <n v="14"/>
    <n v="14"/>
    <s v="Yes"/>
    <d v="2025-01-01T00:00:00"/>
    <n v="2025"/>
    <n v="1"/>
    <s v="Yes"/>
  </r>
  <r>
    <s v="SR-2025-01971"/>
    <x v="5"/>
    <s v="Grass Cutting"/>
    <s v="Critical"/>
    <x v="0"/>
    <s v="Ward 1"/>
    <x v="323"/>
    <d v="2025-12-01T00:00:00"/>
    <s v="Email"/>
    <n v="5"/>
    <n v="1"/>
    <n v="3"/>
    <s v="Yes"/>
    <d v="2025-11-01T00:00:00"/>
    <n v="2025"/>
    <n v="4"/>
    <s v="Yes"/>
  </r>
  <r>
    <s v="SR-2025-01972"/>
    <x v="3"/>
    <s v="Sidewalk Damage"/>
    <s v="Low"/>
    <x v="0"/>
    <s v="Ward 3"/>
    <x v="276"/>
    <d v="2025-12-13T00:00:00"/>
    <s v="Mobile App"/>
    <n v="3"/>
    <n v="15"/>
    <n v="14"/>
    <s v="No"/>
    <d v="2025-11-01T00:00:00"/>
    <n v="2025"/>
    <n v="4"/>
    <s v="Yes"/>
  </r>
  <r>
    <s v="SR-2025-01973"/>
    <x v="4"/>
    <s v="Water Quality Concern"/>
    <s v="Medium"/>
    <x v="0"/>
    <s v="Ward 2"/>
    <x v="155"/>
    <d v="2025-08-21T00:00:00"/>
    <s v="Phone"/>
    <n v="5"/>
    <n v="5"/>
    <n v="10"/>
    <s v="Yes"/>
    <d v="2025-08-01T00:00:00"/>
    <n v="2025"/>
    <n v="3"/>
    <s v="Yes"/>
  </r>
  <r>
    <s v="SR-2025-01974"/>
    <x v="4"/>
    <s v="Sewer Backup"/>
    <s v="Low"/>
    <x v="0"/>
    <s v="Ward 3"/>
    <x v="263"/>
    <d v="2025-12-12T00:00:00"/>
    <s v="Email"/>
    <n v="4"/>
    <n v="6"/>
    <n v="14"/>
    <s v="Yes"/>
    <d v="2025-12-01T00:00:00"/>
    <n v="2025"/>
    <n v="4"/>
    <s v="Yes"/>
  </r>
  <r>
    <s v="SR-2025-01975"/>
    <x v="3"/>
    <s v="Sidewalk Damage"/>
    <s v="Low"/>
    <x v="0"/>
    <s v="Ward 1"/>
    <x v="306"/>
    <d v="2025-02-16T00:00:00"/>
    <s v="Email"/>
    <n v="5"/>
    <n v="15"/>
    <n v="14"/>
    <s v="No"/>
    <d v="2025-02-01T00:00:00"/>
    <n v="2025"/>
    <n v="1"/>
    <s v="Yes"/>
  </r>
  <r>
    <s v="SR-2025-01976"/>
    <x v="1"/>
    <s v="Parking Complaint"/>
    <s v="Low"/>
    <x v="0"/>
    <s v="Ward 2"/>
    <x v="355"/>
    <d v="2025-06-02T00:00:00"/>
    <s v="Email"/>
    <n v="3"/>
    <n v="5"/>
    <n v="14"/>
    <s v="Yes"/>
    <d v="2025-05-01T00:00:00"/>
    <n v="2025"/>
    <n v="2"/>
    <s v="Yes"/>
  </r>
  <r>
    <s v="SR-2025-01977"/>
    <x v="3"/>
    <s v="Snow Removal"/>
    <s v="High"/>
    <x v="0"/>
    <s v="Ward 2"/>
    <x v="98"/>
    <d v="2025-11-01T00:00:00"/>
    <s v="Email"/>
    <n v="4"/>
    <n v="4"/>
    <n v="7"/>
    <s v="Yes"/>
    <d v="2025-10-01T00:00:00"/>
    <n v="2025"/>
    <n v="4"/>
    <s v="Yes"/>
  </r>
  <r>
    <s v="SR-2025-01978"/>
    <x v="5"/>
    <s v="Grass Cutting"/>
    <s v="High"/>
    <x v="2"/>
    <s v="Ward 2"/>
    <x v="67"/>
    <m/>
    <s v="Email"/>
    <m/>
    <m/>
    <n v="7"/>
    <s v="Pending"/>
    <d v="2025-05-01T00:00:00"/>
    <n v="2025"/>
    <n v="2"/>
    <s v="No"/>
  </r>
  <r>
    <s v="SR-2025-01979"/>
    <x v="5"/>
    <s v="Trail Maintenance"/>
    <s v="High"/>
    <x v="0"/>
    <s v="Ward 2"/>
    <x v="52"/>
    <d v="2025-05-07T00:00:00"/>
    <s v="In Person"/>
    <n v="4"/>
    <n v="6"/>
    <n v="7"/>
    <s v="Yes"/>
    <d v="2025-05-01T00:00:00"/>
    <n v="2025"/>
    <n v="2"/>
    <s v="Yes"/>
  </r>
  <r>
    <s v="SR-2025-01980"/>
    <x v="1"/>
    <s v="Property Standards"/>
    <s v="Low"/>
    <x v="0"/>
    <s v="Ward 3"/>
    <x v="289"/>
    <d v="2025-10-02T00:00:00"/>
    <s v="In Person"/>
    <n v="5"/>
    <n v="7"/>
    <n v="14"/>
    <s v="Yes"/>
    <d v="2025-09-01T00:00:00"/>
    <n v="2025"/>
    <n v="3"/>
    <s v="Yes"/>
  </r>
  <r>
    <s v="SR-2025-01981"/>
    <x v="2"/>
    <s v="Green Bin Issue"/>
    <s v="Low"/>
    <x v="0"/>
    <s v="Ward 3"/>
    <x v="295"/>
    <d v="2025-03-02T00:00:00"/>
    <s v="Phone"/>
    <n v="5"/>
    <n v="6"/>
    <n v="14"/>
    <s v="Yes"/>
    <d v="2025-02-01T00:00:00"/>
    <n v="2025"/>
    <n v="1"/>
    <s v="Yes"/>
  </r>
  <r>
    <s v="SR-2025-01982"/>
    <x v="0"/>
    <s v="Traffic Signal Issue"/>
    <s v="Medium"/>
    <x v="2"/>
    <s v="Ward 2"/>
    <x v="348"/>
    <m/>
    <s v="Web"/>
    <m/>
    <m/>
    <n v="10"/>
    <s v="Pending"/>
    <d v="2025-01-01T00:00:00"/>
    <n v="2025"/>
    <n v="1"/>
    <s v="No"/>
  </r>
  <r>
    <s v="SR-2025-01983"/>
    <x v="2"/>
    <s v="Green Bin Issue"/>
    <s v="Medium"/>
    <x v="0"/>
    <s v="Ward 3"/>
    <x v="309"/>
    <d v="2025-04-14T00:00:00"/>
    <s v="Email"/>
    <n v="2"/>
    <n v="4"/>
    <n v="10"/>
    <s v="Yes"/>
    <d v="2025-04-01T00:00:00"/>
    <n v="2025"/>
    <n v="2"/>
    <s v="Yes"/>
  </r>
  <r>
    <s v="SR-2025-01984"/>
    <x v="2"/>
    <s v="Illegal Dumping"/>
    <s v="Medium"/>
    <x v="0"/>
    <s v="Ward 4"/>
    <x v="69"/>
    <d v="2025-12-16T00:00:00"/>
    <s v="In Person"/>
    <n v="2"/>
    <n v="7"/>
    <n v="10"/>
    <s v="Yes"/>
    <d v="2025-12-01T00:00:00"/>
    <n v="2025"/>
    <n v="4"/>
    <s v="Yes"/>
  </r>
  <r>
    <s v="SR-2025-01985"/>
    <x v="5"/>
    <s v="Park Equipment Damage"/>
    <s v="Medium"/>
    <x v="1"/>
    <s v="Ward 4"/>
    <x v="237"/>
    <m/>
    <s v="Phone"/>
    <m/>
    <m/>
    <n v="10"/>
    <s v="Pending"/>
    <d v="2025-07-01T00:00:00"/>
    <n v="2025"/>
    <n v="3"/>
    <s v="No"/>
  </r>
  <r>
    <s v="SR-2025-01986"/>
    <x v="1"/>
    <s v="Parking Complaint"/>
    <s v="Medium"/>
    <x v="0"/>
    <s v="Ward 1"/>
    <x v="169"/>
    <d v="2025-10-17T00:00:00"/>
    <s v="In Person"/>
    <n v="5"/>
    <n v="2"/>
    <n v="10"/>
    <s v="Yes"/>
    <d v="2025-10-01T00:00:00"/>
    <n v="2025"/>
    <n v="4"/>
    <s v="Yes"/>
  </r>
  <r>
    <s v="SR-2025-01987"/>
    <x v="5"/>
    <s v="Park Equipment Damage"/>
    <s v="Medium"/>
    <x v="0"/>
    <s v="Ward 1"/>
    <x v="13"/>
    <d v="2025-09-05T00:00:00"/>
    <s v="Web"/>
    <n v="4"/>
    <n v="8"/>
    <n v="10"/>
    <s v="Yes"/>
    <d v="2025-08-01T00:00:00"/>
    <n v="2025"/>
    <n v="3"/>
    <s v="Yes"/>
  </r>
  <r>
    <s v="SR-2025-01988"/>
    <x v="0"/>
    <s v="Traffic Concern"/>
    <s v="High"/>
    <x v="0"/>
    <s v="Ward 1"/>
    <x v="258"/>
    <d v="2025-04-22T00:00:00"/>
    <s v="Mobile App"/>
    <n v="4"/>
    <n v="2"/>
    <n v="7"/>
    <s v="Yes"/>
    <d v="2025-04-01T00:00:00"/>
    <n v="2025"/>
    <n v="2"/>
    <s v="Yes"/>
  </r>
  <r>
    <s v="SR-2025-01989"/>
    <x v="3"/>
    <s v="Snow Removal"/>
    <s v="Low"/>
    <x v="0"/>
    <s v="Ward 1"/>
    <x v="21"/>
    <d v="2025-11-08T00:00:00"/>
    <s v="Mobile App"/>
    <n v="5"/>
    <n v="10"/>
    <n v="14"/>
    <s v="Yes"/>
    <d v="2025-10-01T00:00:00"/>
    <n v="2025"/>
    <n v="4"/>
    <s v="Yes"/>
  </r>
  <r>
    <s v="SR-2025-01990"/>
    <x v="5"/>
    <s v="Tree Maintenance"/>
    <s v="Low"/>
    <x v="0"/>
    <s v="Ward 2"/>
    <x v="89"/>
    <d v="2025-11-14T00:00:00"/>
    <s v="Web"/>
    <n v="5"/>
    <n v="11"/>
    <n v="14"/>
    <s v="Yes"/>
    <d v="2025-11-01T00:00:00"/>
    <n v="2025"/>
    <n v="4"/>
    <s v="Yes"/>
  </r>
  <r>
    <s v="SR-2025-01991"/>
    <x v="4"/>
    <s v="Sewer Backup"/>
    <s v="Medium"/>
    <x v="0"/>
    <s v="Ward 4"/>
    <x v="197"/>
    <d v="2025-12-25T00:00:00"/>
    <s v="Phone"/>
    <n v="5"/>
    <n v="2"/>
    <n v="10"/>
    <s v="Yes"/>
    <d v="2025-12-01T00:00:00"/>
    <n v="2025"/>
    <n v="4"/>
    <s v="Yes"/>
  </r>
  <r>
    <s v="SR-2025-01992"/>
    <x v="4"/>
    <s v="Sewer Backup"/>
    <s v="Low"/>
    <x v="0"/>
    <s v="Ward 4"/>
    <x v="8"/>
    <d v="2025-05-10T00:00:00"/>
    <s v="Mobile App"/>
    <n v="3"/>
    <n v="12"/>
    <n v="14"/>
    <s v="Yes"/>
    <d v="2025-04-01T00:00:00"/>
    <n v="2025"/>
    <n v="2"/>
    <s v="Yes"/>
  </r>
  <r>
    <s v="SR-2025-01993"/>
    <x v="2"/>
    <s v="Green Bin Issue"/>
    <s v="Medium"/>
    <x v="0"/>
    <s v="Ward 2"/>
    <x v="106"/>
    <d v="2025-02-21T00:00:00"/>
    <s v="Phone"/>
    <n v="5"/>
    <n v="2"/>
    <n v="10"/>
    <s v="Yes"/>
    <d v="2025-02-01T00:00:00"/>
    <n v="2025"/>
    <n v="1"/>
    <s v="Yes"/>
  </r>
  <r>
    <s v="SR-2025-01994"/>
    <x v="5"/>
    <s v="Park Equipment Damage"/>
    <s v="High"/>
    <x v="0"/>
    <s v="Ward 2"/>
    <x v="232"/>
    <d v="2025-04-18T00:00:00"/>
    <s v="Mobile App"/>
    <n v="3"/>
    <n v="7"/>
    <n v="7"/>
    <s v="Yes"/>
    <d v="2025-04-01T00:00:00"/>
    <n v="2025"/>
    <n v="2"/>
    <s v="Yes"/>
  </r>
  <r>
    <s v="SR-2025-01995"/>
    <x v="4"/>
    <s v="Water Leak"/>
    <s v="Medium"/>
    <x v="0"/>
    <s v="Ward 2"/>
    <x v="55"/>
    <d v="2025-03-12T00:00:00"/>
    <s v="Mobile App"/>
    <n v="3"/>
    <n v="2"/>
    <n v="10"/>
    <s v="Yes"/>
    <d v="2025-03-01T00:00:00"/>
    <n v="2025"/>
    <n v="1"/>
    <s v="Yes"/>
  </r>
  <r>
    <s v="SR-2025-01996"/>
    <x v="0"/>
    <s v="Road Sign Damage"/>
    <s v="High"/>
    <x v="0"/>
    <s v="Ward 2"/>
    <x v="80"/>
    <d v="2025-12-20T00:00:00"/>
    <s v="Email"/>
    <n v="5"/>
    <n v="1"/>
    <n v="7"/>
    <s v="Yes"/>
    <d v="2025-12-01T00:00:00"/>
    <n v="2025"/>
    <n v="4"/>
    <s v="Yes"/>
  </r>
  <r>
    <s v="SR-2025-01997"/>
    <x v="4"/>
    <s v="Water Leak"/>
    <s v="Low"/>
    <x v="0"/>
    <s v="Ward 4"/>
    <x v="49"/>
    <d v="2025-04-13T00:00:00"/>
    <s v="Web"/>
    <n v="5"/>
    <n v="13"/>
    <n v="14"/>
    <s v="Yes"/>
    <d v="2025-03-01T00:00:00"/>
    <n v="2025"/>
    <n v="1"/>
    <s v="Yes"/>
  </r>
  <r>
    <s v="SR-2025-01998"/>
    <x v="3"/>
    <s v="Road Damage"/>
    <s v="Low"/>
    <x v="0"/>
    <s v="Ward 2"/>
    <x v="25"/>
    <d v="2025-03-06T00:00:00"/>
    <s v="Mobile App"/>
    <n v="3"/>
    <n v="9"/>
    <n v="14"/>
    <s v="Yes"/>
    <d v="2025-02-01T00:00:00"/>
    <n v="2025"/>
    <n v="1"/>
    <s v="Yes"/>
  </r>
  <r>
    <s v="SR-2025-01999"/>
    <x v="0"/>
    <s v="Road Sign Damage"/>
    <s v="High"/>
    <x v="0"/>
    <s v="Ward 2"/>
    <x v="209"/>
    <d v="2025-11-06T00:00:00"/>
    <s v="Email"/>
    <n v="5"/>
    <n v="5"/>
    <n v="7"/>
    <s v="Yes"/>
    <d v="2025-11-01T00:00:00"/>
    <n v="2025"/>
    <n v="4"/>
    <s v="Yes"/>
  </r>
  <r>
    <s v="SR-2025-02000"/>
    <x v="4"/>
    <s v="Low Water Pressure"/>
    <s v="Medium"/>
    <x v="1"/>
    <s v="Ward 3"/>
    <x v="316"/>
    <m/>
    <s v="Mobile App"/>
    <m/>
    <m/>
    <n v="10"/>
    <s v="Pending"/>
    <d v="2025-05-01T00:00:00"/>
    <n v="2025"/>
    <n v="2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6CED1-B209-4708-93F8-BA5AB1A0846B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9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4" showAll="0">
      <items count="363">
        <item x="143"/>
        <item x="348"/>
        <item x="214"/>
        <item x="2"/>
        <item x="360"/>
        <item x="353"/>
        <item x="310"/>
        <item x="26"/>
        <item x="172"/>
        <item x="281"/>
        <item x="250"/>
        <item x="286"/>
        <item x="104"/>
        <item x="301"/>
        <item x="59"/>
        <item x="63"/>
        <item x="152"/>
        <item x="356"/>
        <item x="230"/>
        <item x="44"/>
        <item x="39"/>
        <item x="125"/>
        <item x="4"/>
        <item x="162"/>
        <item x="12"/>
        <item x="239"/>
        <item x="231"/>
        <item x="216"/>
        <item x="187"/>
        <item x="228"/>
        <item x="164"/>
        <item x="306"/>
        <item x="57"/>
        <item x="238"/>
        <item x="29"/>
        <item x="94"/>
        <item x="226"/>
        <item x="227"/>
        <item x="65"/>
        <item x="153"/>
        <item x="141"/>
        <item x="30"/>
        <item x="224"/>
        <item x="18"/>
        <item x="184"/>
        <item x="179"/>
        <item x="100"/>
        <item x="222"/>
        <item x="198"/>
        <item x="106"/>
        <item x="308"/>
        <item x="311"/>
        <item x="3"/>
        <item x="84"/>
        <item x="295"/>
        <item x="25"/>
        <item x="111"/>
        <item x="17"/>
        <item x="87"/>
        <item x="35"/>
        <item x="220"/>
        <item x="340"/>
        <item x="108"/>
        <item x="147"/>
        <item x="109"/>
        <item x="330"/>
        <item x="158"/>
        <item x="23"/>
        <item x="55"/>
        <item x="275"/>
        <item x="241"/>
        <item x="157"/>
        <item x="305"/>
        <item x="140"/>
        <item x="110"/>
        <item x="342"/>
        <item x="133"/>
        <item x="336"/>
        <item x="235"/>
        <item x="298"/>
        <item x="166"/>
        <item x="351"/>
        <item x="171"/>
        <item x="280"/>
        <item x="248"/>
        <item x="51"/>
        <item x="173"/>
        <item x="244"/>
        <item x="49"/>
        <item x="319"/>
        <item x="274"/>
        <item x="149"/>
        <item x="334"/>
        <item x="78"/>
        <item x="154"/>
        <item x="290"/>
        <item x="71"/>
        <item x="182"/>
        <item x="309"/>
        <item x="232"/>
        <item x="129"/>
        <item x="283"/>
        <item x="265"/>
        <item x="123"/>
        <item x="357"/>
        <item x="236"/>
        <item x="343"/>
        <item x="61"/>
        <item x="258"/>
        <item x="313"/>
        <item x="186"/>
        <item x="217"/>
        <item x="195"/>
        <item x="0"/>
        <item x="103"/>
        <item x="297"/>
        <item x="8"/>
        <item x="358"/>
        <item x="1"/>
        <item x="52"/>
        <item x="40"/>
        <item x="31"/>
        <item x="272"/>
        <item x="212"/>
        <item x="33"/>
        <item x="219"/>
        <item x="269"/>
        <item x="292"/>
        <item x="196"/>
        <item x="97"/>
        <item x="177"/>
        <item x="229"/>
        <item x="331"/>
        <item x="15"/>
        <item x="284"/>
        <item x="14"/>
        <item x="68"/>
        <item x="67"/>
        <item x="288"/>
        <item x="161"/>
        <item x="75"/>
        <item x="316"/>
        <item x="233"/>
        <item x="264"/>
        <item x="304"/>
        <item x="307"/>
        <item x="355"/>
        <item x="270"/>
        <item x="207"/>
        <item x="114"/>
        <item x="137"/>
        <item x="175"/>
        <item x="156"/>
        <item x="142"/>
        <item x="81"/>
        <item x="74"/>
        <item x="188"/>
        <item x="136"/>
        <item x="64"/>
        <item x="361"/>
        <item x="282"/>
        <item x="346"/>
        <item x="165"/>
        <item x="256"/>
        <item x="112"/>
        <item x="202"/>
        <item x="48"/>
        <item x="117"/>
        <item x="22"/>
        <item x="170"/>
        <item x="181"/>
        <item x="183"/>
        <item x="268"/>
        <item x="70"/>
        <item x="223"/>
        <item x="176"/>
        <item x="190"/>
        <item x="294"/>
        <item x="135"/>
        <item x="168"/>
        <item x="328"/>
        <item x="237"/>
        <item x="242"/>
        <item x="76"/>
        <item x="5"/>
        <item x="247"/>
        <item x="101"/>
        <item x="333"/>
        <item x="6"/>
        <item x="291"/>
        <item x="95"/>
        <item x="120"/>
        <item x="91"/>
        <item x="203"/>
        <item x="96"/>
        <item x="99"/>
        <item x="318"/>
        <item x="145"/>
        <item x="58"/>
        <item x="337"/>
        <item x="60"/>
        <item x="329"/>
        <item x="180"/>
        <item x="43"/>
        <item x="27"/>
        <item x="257"/>
        <item x="213"/>
        <item x="324"/>
        <item x="252"/>
        <item x="41"/>
        <item x="86"/>
        <item x="116"/>
        <item x="332"/>
        <item x="259"/>
        <item x="204"/>
        <item x="24"/>
        <item x="317"/>
        <item x="150"/>
        <item x="221"/>
        <item x="124"/>
        <item x="82"/>
        <item x="234"/>
        <item x="335"/>
        <item x="134"/>
        <item x="218"/>
        <item x="131"/>
        <item x="155"/>
        <item x="354"/>
        <item x="139"/>
        <item x="132"/>
        <item x="85"/>
        <item x="267"/>
        <item x="10"/>
        <item x="322"/>
        <item x="7"/>
        <item x="105"/>
        <item x="345"/>
        <item x="13"/>
        <item x="42"/>
        <item x="178"/>
        <item x="287"/>
        <item x="53"/>
        <item x="285"/>
        <item x="159"/>
        <item x="102"/>
        <item x="211"/>
        <item x="121"/>
        <item x="320"/>
        <item x="107"/>
        <item x="72"/>
        <item x="246"/>
        <item x="192"/>
        <item x="148"/>
        <item x="167"/>
        <item x="299"/>
        <item x="92"/>
        <item x="261"/>
        <item x="278"/>
        <item x="88"/>
        <item x="210"/>
        <item x="277"/>
        <item x="271"/>
        <item x="303"/>
        <item x="54"/>
        <item x="254"/>
        <item x="289"/>
        <item x="128"/>
        <item x="144"/>
        <item x="350"/>
        <item x="312"/>
        <item x="174"/>
        <item x="194"/>
        <item x="302"/>
        <item x="46"/>
        <item x="62"/>
        <item x="300"/>
        <item x="146"/>
        <item x="325"/>
        <item x="262"/>
        <item x="19"/>
        <item x="115"/>
        <item x="338"/>
        <item x="28"/>
        <item x="201"/>
        <item x="260"/>
        <item x="169"/>
        <item x="32"/>
        <item x="119"/>
        <item x="9"/>
        <item x="344"/>
        <item x="296"/>
        <item x="126"/>
        <item x="83"/>
        <item x="249"/>
        <item x="130"/>
        <item x="73"/>
        <item x="38"/>
        <item x="11"/>
        <item x="98"/>
        <item x="21"/>
        <item x="245"/>
        <item x="206"/>
        <item x="209"/>
        <item x="138"/>
        <item x="89"/>
        <item x="225"/>
        <item x="327"/>
        <item x="193"/>
        <item x="45"/>
        <item x="151"/>
        <item x="347"/>
        <item x="34"/>
        <item x="113"/>
        <item x="205"/>
        <item x="127"/>
        <item x="240"/>
        <item x="266"/>
        <item x="47"/>
        <item x="56"/>
        <item x="163"/>
        <item x="273"/>
        <item x="359"/>
        <item x="36"/>
        <item x="66"/>
        <item x="314"/>
        <item x="16"/>
        <item x="189"/>
        <item x="326"/>
        <item x="215"/>
        <item x="276"/>
        <item x="279"/>
        <item x="323"/>
        <item x="251"/>
        <item x="50"/>
        <item x="243"/>
        <item x="90"/>
        <item x="199"/>
        <item x="263"/>
        <item x="349"/>
        <item x="339"/>
        <item x="69"/>
        <item x="20"/>
        <item x="191"/>
        <item x="93"/>
        <item x="321"/>
        <item x="122"/>
        <item x="352"/>
        <item x="253"/>
        <item x="255"/>
        <item x="79"/>
        <item x="80"/>
        <item x="208"/>
        <item x="118"/>
        <item x="197"/>
        <item x="77"/>
        <item x="341"/>
        <item x="293"/>
        <item x="185"/>
        <item x="37"/>
        <item x="315"/>
        <item x="160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4EC83-B096-4D0B-A463-3DEC6428B11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0" firstHeaderRow="1" firstDataRow="1" firstDataCol="1"/>
  <pivotFields count="19">
    <pivotField dataField="1" showAll="0"/>
    <pivotField axis="axisRow" showAll="0" sortType="descending">
      <items count="7">
        <item x="1"/>
        <item x="5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363">
        <item x="143"/>
        <item x="348"/>
        <item x="214"/>
        <item x="2"/>
        <item x="360"/>
        <item x="353"/>
        <item x="310"/>
        <item x="26"/>
        <item x="172"/>
        <item x="281"/>
        <item x="250"/>
        <item x="286"/>
        <item x="104"/>
        <item x="301"/>
        <item x="59"/>
        <item x="63"/>
        <item x="152"/>
        <item x="356"/>
        <item x="230"/>
        <item x="44"/>
        <item x="39"/>
        <item x="125"/>
        <item x="4"/>
        <item x="162"/>
        <item x="12"/>
        <item x="239"/>
        <item x="231"/>
        <item x="216"/>
        <item x="187"/>
        <item x="228"/>
        <item x="164"/>
        <item x="306"/>
        <item x="57"/>
        <item x="238"/>
        <item x="29"/>
        <item x="94"/>
        <item x="226"/>
        <item x="227"/>
        <item x="65"/>
        <item x="153"/>
        <item x="141"/>
        <item x="30"/>
        <item x="224"/>
        <item x="18"/>
        <item x="184"/>
        <item x="179"/>
        <item x="100"/>
        <item x="222"/>
        <item x="198"/>
        <item x="106"/>
        <item x="308"/>
        <item x="311"/>
        <item x="3"/>
        <item x="84"/>
        <item x="295"/>
        <item x="25"/>
        <item x="111"/>
        <item x="17"/>
        <item x="87"/>
        <item x="35"/>
        <item x="220"/>
        <item x="340"/>
        <item x="108"/>
        <item x="147"/>
        <item x="109"/>
        <item x="330"/>
        <item x="158"/>
        <item x="23"/>
        <item x="55"/>
        <item x="275"/>
        <item x="241"/>
        <item x="157"/>
        <item x="305"/>
        <item x="140"/>
        <item x="110"/>
        <item x="342"/>
        <item x="133"/>
        <item x="336"/>
        <item x="235"/>
        <item x="298"/>
        <item x="166"/>
        <item x="351"/>
        <item x="171"/>
        <item x="280"/>
        <item x="248"/>
        <item x="51"/>
        <item x="173"/>
        <item x="244"/>
        <item x="49"/>
        <item x="319"/>
        <item x="274"/>
        <item x="149"/>
        <item x="334"/>
        <item x="78"/>
        <item x="154"/>
        <item x="290"/>
        <item x="71"/>
        <item x="182"/>
        <item x="309"/>
        <item x="232"/>
        <item x="129"/>
        <item x="283"/>
        <item x="265"/>
        <item x="123"/>
        <item x="357"/>
        <item x="236"/>
        <item x="343"/>
        <item x="61"/>
        <item x="258"/>
        <item x="313"/>
        <item x="186"/>
        <item x="217"/>
        <item x="195"/>
        <item x="0"/>
        <item x="103"/>
        <item x="297"/>
        <item x="8"/>
        <item x="358"/>
        <item x="1"/>
        <item x="52"/>
        <item x="40"/>
        <item x="31"/>
        <item x="272"/>
        <item x="212"/>
        <item x="33"/>
        <item x="219"/>
        <item x="269"/>
        <item x="292"/>
        <item x="196"/>
        <item x="97"/>
        <item x="177"/>
        <item x="229"/>
        <item x="331"/>
        <item x="15"/>
        <item x="284"/>
        <item x="14"/>
        <item x="68"/>
        <item x="67"/>
        <item x="288"/>
        <item x="161"/>
        <item x="75"/>
        <item x="316"/>
        <item x="233"/>
        <item x="264"/>
        <item x="304"/>
        <item x="307"/>
        <item x="355"/>
        <item x="270"/>
        <item x="207"/>
        <item x="114"/>
        <item x="137"/>
        <item x="175"/>
        <item x="156"/>
        <item x="142"/>
        <item x="81"/>
        <item x="74"/>
        <item x="188"/>
        <item x="136"/>
        <item x="64"/>
        <item x="361"/>
        <item x="282"/>
        <item x="346"/>
        <item x="165"/>
        <item x="256"/>
        <item x="112"/>
        <item x="202"/>
        <item x="48"/>
        <item x="117"/>
        <item x="22"/>
        <item x="170"/>
        <item x="181"/>
        <item x="183"/>
        <item x="268"/>
        <item x="70"/>
        <item x="223"/>
        <item x="176"/>
        <item x="190"/>
        <item x="294"/>
        <item x="135"/>
        <item x="168"/>
        <item x="328"/>
        <item x="237"/>
        <item x="242"/>
        <item x="76"/>
        <item x="5"/>
        <item x="247"/>
        <item x="101"/>
        <item x="333"/>
        <item x="6"/>
        <item x="291"/>
        <item x="95"/>
        <item x="120"/>
        <item x="91"/>
        <item x="203"/>
        <item x="96"/>
        <item x="99"/>
        <item x="318"/>
        <item x="145"/>
        <item x="58"/>
        <item x="337"/>
        <item x="60"/>
        <item x="329"/>
        <item x="180"/>
        <item x="43"/>
        <item x="27"/>
        <item x="257"/>
        <item x="213"/>
        <item x="324"/>
        <item x="252"/>
        <item x="41"/>
        <item x="86"/>
        <item x="116"/>
        <item x="332"/>
        <item x="259"/>
        <item x="204"/>
        <item x="24"/>
        <item x="317"/>
        <item x="150"/>
        <item x="221"/>
        <item x="124"/>
        <item x="82"/>
        <item x="234"/>
        <item x="335"/>
        <item x="134"/>
        <item x="218"/>
        <item x="131"/>
        <item x="155"/>
        <item x="354"/>
        <item x="139"/>
        <item x="132"/>
        <item x="85"/>
        <item x="267"/>
        <item x="10"/>
        <item x="322"/>
        <item x="7"/>
        <item x="105"/>
        <item x="345"/>
        <item x="13"/>
        <item x="42"/>
        <item x="178"/>
        <item x="287"/>
        <item x="53"/>
        <item x="285"/>
        <item x="159"/>
        <item x="102"/>
        <item x="211"/>
        <item x="121"/>
        <item x="320"/>
        <item x="107"/>
        <item x="72"/>
        <item x="246"/>
        <item x="192"/>
        <item x="148"/>
        <item x="167"/>
        <item x="299"/>
        <item x="92"/>
        <item x="261"/>
        <item x="278"/>
        <item x="88"/>
        <item x="210"/>
        <item x="277"/>
        <item x="271"/>
        <item x="303"/>
        <item x="54"/>
        <item x="254"/>
        <item x="289"/>
        <item x="128"/>
        <item x="144"/>
        <item x="350"/>
        <item x="312"/>
        <item x="174"/>
        <item x="194"/>
        <item x="302"/>
        <item x="46"/>
        <item x="62"/>
        <item x="300"/>
        <item x="146"/>
        <item x="325"/>
        <item x="262"/>
        <item x="19"/>
        <item x="115"/>
        <item x="338"/>
        <item x="28"/>
        <item x="201"/>
        <item x="260"/>
        <item x="169"/>
        <item x="32"/>
        <item x="119"/>
        <item x="9"/>
        <item x="344"/>
        <item x="296"/>
        <item x="126"/>
        <item x="83"/>
        <item x="249"/>
        <item x="130"/>
        <item x="73"/>
        <item x="38"/>
        <item x="11"/>
        <item x="98"/>
        <item x="21"/>
        <item x="245"/>
        <item x="206"/>
        <item x="209"/>
        <item x="138"/>
        <item x="89"/>
        <item x="225"/>
        <item x="327"/>
        <item x="193"/>
        <item x="45"/>
        <item x="151"/>
        <item x="347"/>
        <item x="34"/>
        <item x="113"/>
        <item x="205"/>
        <item x="127"/>
        <item x="240"/>
        <item x="266"/>
        <item x="47"/>
        <item x="56"/>
        <item x="163"/>
        <item x="273"/>
        <item x="359"/>
        <item x="36"/>
        <item x="66"/>
        <item x="314"/>
        <item x="16"/>
        <item x="189"/>
        <item x="326"/>
        <item x="215"/>
        <item x="276"/>
        <item x="279"/>
        <item x="323"/>
        <item x="251"/>
        <item x="50"/>
        <item x="243"/>
        <item x="90"/>
        <item x="199"/>
        <item x="263"/>
        <item x="349"/>
        <item x="339"/>
        <item x="69"/>
        <item x="20"/>
        <item x="191"/>
        <item x="93"/>
        <item x="321"/>
        <item x="122"/>
        <item x="352"/>
        <item x="253"/>
        <item x="255"/>
        <item x="79"/>
        <item x="80"/>
        <item x="208"/>
        <item x="118"/>
        <item x="197"/>
        <item x="77"/>
        <item x="341"/>
        <item x="293"/>
        <item x="185"/>
        <item x="37"/>
        <item x="315"/>
        <item x="160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 v="5"/>
    </i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Count of Request ID" fld="0" subtotal="count" baseField="0" baseItem="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35D85-CFA4-483F-A63B-5CE6B96461ED}" name="Pivot_Monthl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numFmtId="14" showAll="0">
      <items count="363">
        <item x="143"/>
        <item x="348"/>
        <item x="214"/>
        <item x="2"/>
        <item x="360"/>
        <item x="353"/>
        <item x="310"/>
        <item x="26"/>
        <item x="172"/>
        <item x="281"/>
        <item x="250"/>
        <item x="286"/>
        <item x="104"/>
        <item x="301"/>
        <item x="59"/>
        <item x="63"/>
        <item x="152"/>
        <item x="356"/>
        <item x="230"/>
        <item x="44"/>
        <item x="39"/>
        <item x="125"/>
        <item x="4"/>
        <item x="162"/>
        <item x="12"/>
        <item x="239"/>
        <item x="231"/>
        <item x="216"/>
        <item x="187"/>
        <item x="228"/>
        <item x="164"/>
        <item x="306"/>
        <item x="57"/>
        <item x="238"/>
        <item x="29"/>
        <item x="94"/>
        <item x="226"/>
        <item x="227"/>
        <item x="65"/>
        <item x="153"/>
        <item x="141"/>
        <item x="30"/>
        <item x="224"/>
        <item x="18"/>
        <item x="184"/>
        <item x="179"/>
        <item x="100"/>
        <item x="222"/>
        <item x="198"/>
        <item x="106"/>
        <item x="308"/>
        <item x="311"/>
        <item x="3"/>
        <item x="84"/>
        <item x="295"/>
        <item x="25"/>
        <item x="111"/>
        <item x="17"/>
        <item x="87"/>
        <item x="35"/>
        <item x="220"/>
        <item x="340"/>
        <item x="108"/>
        <item x="147"/>
        <item x="109"/>
        <item x="330"/>
        <item x="158"/>
        <item x="23"/>
        <item x="55"/>
        <item x="275"/>
        <item x="241"/>
        <item x="157"/>
        <item x="305"/>
        <item x="140"/>
        <item x="110"/>
        <item x="342"/>
        <item x="133"/>
        <item x="336"/>
        <item x="235"/>
        <item x="298"/>
        <item x="166"/>
        <item x="351"/>
        <item x="171"/>
        <item x="280"/>
        <item x="248"/>
        <item x="51"/>
        <item x="173"/>
        <item x="244"/>
        <item x="49"/>
        <item x="319"/>
        <item x="274"/>
        <item x="149"/>
        <item x="334"/>
        <item x="78"/>
        <item x="154"/>
        <item x="290"/>
        <item x="71"/>
        <item x="182"/>
        <item x="309"/>
        <item x="232"/>
        <item x="129"/>
        <item x="283"/>
        <item x="265"/>
        <item x="123"/>
        <item x="357"/>
        <item x="236"/>
        <item x="343"/>
        <item x="61"/>
        <item x="258"/>
        <item x="313"/>
        <item x="186"/>
        <item x="217"/>
        <item x="195"/>
        <item x="0"/>
        <item x="103"/>
        <item x="297"/>
        <item x="8"/>
        <item x="358"/>
        <item x="1"/>
        <item x="52"/>
        <item x="40"/>
        <item x="31"/>
        <item x="272"/>
        <item x="212"/>
        <item x="33"/>
        <item x="219"/>
        <item x="269"/>
        <item x="292"/>
        <item x="196"/>
        <item x="97"/>
        <item x="177"/>
        <item x="229"/>
        <item x="331"/>
        <item x="15"/>
        <item x="284"/>
        <item x="14"/>
        <item x="68"/>
        <item x="67"/>
        <item x="288"/>
        <item x="161"/>
        <item x="75"/>
        <item x="316"/>
        <item x="233"/>
        <item x="264"/>
        <item x="304"/>
        <item x="307"/>
        <item x="355"/>
        <item x="270"/>
        <item x="207"/>
        <item x="114"/>
        <item x="137"/>
        <item x="175"/>
        <item x="156"/>
        <item x="142"/>
        <item x="81"/>
        <item x="74"/>
        <item x="188"/>
        <item x="136"/>
        <item x="64"/>
        <item x="361"/>
        <item x="282"/>
        <item x="346"/>
        <item x="165"/>
        <item x="256"/>
        <item x="112"/>
        <item x="202"/>
        <item x="48"/>
        <item x="117"/>
        <item x="22"/>
        <item x="170"/>
        <item x="181"/>
        <item x="183"/>
        <item x="268"/>
        <item x="70"/>
        <item x="223"/>
        <item x="176"/>
        <item x="190"/>
        <item x="294"/>
        <item x="135"/>
        <item x="168"/>
        <item x="328"/>
        <item x="237"/>
        <item x="242"/>
        <item x="76"/>
        <item x="5"/>
        <item x="247"/>
        <item x="101"/>
        <item x="333"/>
        <item x="6"/>
        <item x="291"/>
        <item x="95"/>
        <item x="120"/>
        <item x="91"/>
        <item x="203"/>
        <item x="96"/>
        <item x="99"/>
        <item x="318"/>
        <item x="145"/>
        <item x="58"/>
        <item x="337"/>
        <item x="60"/>
        <item x="329"/>
        <item x="180"/>
        <item x="43"/>
        <item x="27"/>
        <item x="257"/>
        <item x="213"/>
        <item x="324"/>
        <item x="252"/>
        <item x="41"/>
        <item x="86"/>
        <item x="116"/>
        <item x="332"/>
        <item x="259"/>
        <item x="204"/>
        <item x="24"/>
        <item x="317"/>
        <item x="150"/>
        <item x="221"/>
        <item x="124"/>
        <item x="82"/>
        <item x="234"/>
        <item x="335"/>
        <item x="134"/>
        <item x="218"/>
        <item x="131"/>
        <item x="155"/>
        <item x="354"/>
        <item x="139"/>
        <item x="132"/>
        <item x="85"/>
        <item x="267"/>
        <item x="10"/>
        <item x="322"/>
        <item x="7"/>
        <item x="105"/>
        <item x="345"/>
        <item x="13"/>
        <item x="42"/>
        <item x="178"/>
        <item x="287"/>
        <item x="53"/>
        <item x="285"/>
        <item x="159"/>
        <item x="102"/>
        <item x="211"/>
        <item x="121"/>
        <item x="320"/>
        <item x="107"/>
        <item x="72"/>
        <item x="246"/>
        <item x="192"/>
        <item x="148"/>
        <item x="167"/>
        <item x="299"/>
        <item x="92"/>
        <item x="261"/>
        <item x="278"/>
        <item x="88"/>
        <item x="210"/>
        <item x="277"/>
        <item x="271"/>
        <item x="303"/>
        <item x="54"/>
        <item x="254"/>
        <item x="289"/>
        <item x="128"/>
        <item x="144"/>
        <item x="350"/>
        <item x="312"/>
        <item x="174"/>
        <item x="194"/>
        <item x="302"/>
        <item x="46"/>
        <item x="62"/>
        <item x="300"/>
        <item x="146"/>
        <item x="325"/>
        <item x="262"/>
        <item x="19"/>
        <item x="115"/>
        <item x="338"/>
        <item x="28"/>
        <item x="201"/>
        <item x="260"/>
        <item x="169"/>
        <item x="32"/>
        <item x="119"/>
        <item x="9"/>
        <item x="344"/>
        <item x="296"/>
        <item x="126"/>
        <item x="83"/>
        <item x="249"/>
        <item x="130"/>
        <item x="73"/>
        <item x="38"/>
        <item x="11"/>
        <item x="98"/>
        <item x="21"/>
        <item x="245"/>
        <item x="206"/>
        <item x="209"/>
        <item x="138"/>
        <item x="89"/>
        <item x="225"/>
        <item x="327"/>
        <item x="193"/>
        <item x="45"/>
        <item x="151"/>
        <item x="347"/>
        <item x="34"/>
        <item x="113"/>
        <item x="205"/>
        <item x="127"/>
        <item x="240"/>
        <item x="266"/>
        <item x="47"/>
        <item x="56"/>
        <item x="163"/>
        <item x="273"/>
        <item x="359"/>
        <item x="36"/>
        <item x="66"/>
        <item x="314"/>
        <item x="16"/>
        <item x="189"/>
        <item x="326"/>
        <item x="215"/>
        <item x="276"/>
        <item x="279"/>
        <item x="323"/>
        <item x="251"/>
        <item x="50"/>
        <item x="243"/>
        <item x="90"/>
        <item x="199"/>
        <item x="263"/>
        <item x="349"/>
        <item x="339"/>
        <item x="69"/>
        <item x="20"/>
        <item x="191"/>
        <item x="93"/>
        <item x="321"/>
        <item x="122"/>
        <item x="352"/>
        <item x="253"/>
        <item x="255"/>
        <item x="79"/>
        <item x="80"/>
        <item x="208"/>
        <item x="118"/>
        <item x="197"/>
        <item x="77"/>
        <item x="341"/>
        <item x="293"/>
        <item x="185"/>
        <item x="37"/>
        <item x="315"/>
        <item x="160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8"/>
    <field x="17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Request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AC0712-748E-4A8E-A4F3-6D44AEAF8854}" autoFormatId="16" applyNumberFormats="0" applyBorderFormats="0" applyFontFormats="0" applyPatternFormats="0" applyAlignmentFormats="0" applyWidthHeightFormats="0">
  <queryTableRefresh nextId="18">
    <queryTableFields count="17">
      <queryTableField id="1" name="Request ID" tableColumnId="1"/>
      <queryTableField id="2" name="Department" tableColumnId="2"/>
      <queryTableField id="3" name="Request Type" tableColumnId="3"/>
      <queryTableField id="4" name="Priority" tableColumnId="4"/>
      <queryTableField id="5" name="Status" tableColumnId="5"/>
      <queryTableField id="6" name="Ward" tableColumnId="6"/>
      <queryTableField id="7" name="Date Opened" tableColumnId="7"/>
      <queryTableField id="8" name="Date Closed" tableColumnId="8"/>
      <queryTableField id="9" name="Channel" tableColumnId="9"/>
      <queryTableField id="10" name="Citizen Satisfaction" tableColumnId="10"/>
      <queryTableField id="11" name="Resolution Days" tableColumnId="11"/>
      <queryTableField id="12" name="Target Days" tableColumnId="12"/>
      <queryTableField id="13" name="Resolved Within Target" tableColumnId="13"/>
      <queryTableField id="14" name="Opened Month" tableColumnId="14"/>
      <queryTableField id="15" name="Opened Year" tableColumnId="15"/>
      <queryTableField id="16" name="Opened Quarter" tableColumnId="16"/>
      <queryTableField id="17" name="Is Close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25831-0489-4012-955C-41A2A5758FE0}" name="ServiceRequests" displayName="ServiceRequests" ref="A1:Q2001" tableType="queryTable" totalsRowShown="0">
  <autoFilter ref="A1:Q2001" xr:uid="{BC425831-0489-4012-955C-41A2A5758FE0}"/>
  <tableColumns count="17">
    <tableColumn id="1" xr3:uid="{C584BE1C-AA76-4BED-91F6-329CF934BEBD}" uniqueName="1" name="Request ID" queryTableFieldId="1" dataDxfId="11"/>
    <tableColumn id="2" xr3:uid="{5D7C9FD7-871E-42A1-9189-B0A86368D369}" uniqueName="2" name="Department" queryTableFieldId="2" dataDxfId="10"/>
    <tableColumn id="3" xr3:uid="{5FB239AA-2C3F-409C-9EF1-3A3E85851373}" uniqueName="3" name="Request Type" queryTableFieldId="3" dataDxfId="9"/>
    <tableColumn id="4" xr3:uid="{EDDFF29A-7452-47F6-9B29-88C3B08BCDEA}" uniqueName="4" name="Priority" queryTableFieldId="4" dataDxfId="8"/>
    <tableColumn id="5" xr3:uid="{70B616B7-57F6-480F-987B-E0D621682FD1}" uniqueName="5" name="Status" queryTableFieldId="5" dataDxfId="7"/>
    <tableColumn id="6" xr3:uid="{E14B855A-A5A5-4659-8C1B-20636C079D57}" uniqueName="6" name="Ward" queryTableFieldId="6" dataDxfId="6"/>
    <tableColumn id="7" xr3:uid="{81145E03-7AEF-4B5C-B961-67518D7F6A8E}" uniqueName="7" name="Date Opened" queryTableFieldId="7" dataDxfId="5"/>
    <tableColumn id="8" xr3:uid="{75BC31A9-3559-498A-B746-30F7CC556FB1}" uniqueName="8" name="Date Closed" queryTableFieldId="8" dataDxfId="4"/>
    <tableColumn id="9" xr3:uid="{56C2A475-22AA-44B4-B93F-C4B40515A357}" uniqueName="9" name="Channel" queryTableFieldId="9" dataDxfId="3"/>
    <tableColumn id="10" xr3:uid="{F6458975-DB99-4D4E-B829-BB6CC57F645D}" uniqueName="10" name="Citizen Satisfaction" queryTableFieldId="10"/>
    <tableColumn id="11" xr3:uid="{BD480EEA-E40A-40ED-8531-5D48EC618F4D}" uniqueName="11" name="Resolution Days" queryTableFieldId="11"/>
    <tableColumn id="12" xr3:uid="{EED1C782-5FF1-4F79-BC9A-F6B93991254A}" uniqueName="12" name="Target Days" queryTableFieldId="12"/>
    <tableColumn id="13" xr3:uid="{6070016F-15EB-478C-8633-3F7DE5A6AB68}" uniqueName="13" name="Resolved Within Target" queryTableFieldId="13" dataDxfId="2"/>
    <tableColumn id="14" xr3:uid="{312125EC-EB6B-4036-BE6E-1AEB955B446B}" uniqueName="14" name="Opened Month" queryTableFieldId="14" dataDxfId="1"/>
    <tableColumn id="15" xr3:uid="{A7A553A7-56C3-4528-8077-FFC2764466D4}" uniqueName="15" name="Opened Year" queryTableFieldId="15"/>
    <tableColumn id="16" xr3:uid="{5DFD3913-0718-43F1-94AC-7A8A13892420}" uniqueName="16" name="Opened Quarter" queryTableFieldId="16"/>
    <tableColumn id="17" xr3:uid="{070A07BB-1953-406A-A177-AF82D6FFBEE1}" uniqueName="17" name="Is Closed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AAFC-4523-42A9-BABA-EEE279DCDEA8}">
  <dimension ref="A3:B7"/>
  <sheetViews>
    <sheetView workbookViewId="0">
      <selection activeCell="G27" sqref="G27"/>
    </sheetView>
  </sheetViews>
  <sheetFormatPr defaultRowHeight="14.4" x14ac:dyDescent="0.3"/>
  <cols>
    <col min="1" max="1" width="12.44140625" bestFit="1" customWidth="1"/>
    <col min="2" max="2" width="17.21875" bestFit="1" customWidth="1"/>
  </cols>
  <sheetData>
    <row r="3" spans="1:2" x14ac:dyDescent="0.3">
      <c r="A3" s="29" t="s">
        <v>2076</v>
      </c>
      <c r="B3" t="s">
        <v>2078</v>
      </c>
    </row>
    <row r="4" spans="1:2" x14ac:dyDescent="0.3">
      <c r="A4" s="30" t="s">
        <v>21</v>
      </c>
      <c r="B4" s="1">
        <v>1494</v>
      </c>
    </row>
    <row r="5" spans="1:2" x14ac:dyDescent="0.3">
      <c r="A5" s="30" t="s">
        <v>48</v>
      </c>
      <c r="B5" s="1">
        <v>267</v>
      </c>
    </row>
    <row r="6" spans="1:2" x14ac:dyDescent="0.3">
      <c r="A6" s="30" t="s">
        <v>37</v>
      </c>
      <c r="B6" s="1">
        <v>239</v>
      </c>
    </row>
    <row r="7" spans="1:2" x14ac:dyDescent="0.3">
      <c r="A7" s="30" t="s">
        <v>2077</v>
      </c>
      <c r="B7" s="1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2833-2D8F-4415-9A96-4E81C454EF46}">
  <dimension ref="A1:Q2001"/>
  <sheetViews>
    <sheetView topLeftCell="A2" workbookViewId="0">
      <selection activeCell="B18" sqref="B18"/>
    </sheetView>
  </sheetViews>
  <sheetFormatPr defaultRowHeight="14.4" x14ac:dyDescent="0.3"/>
  <cols>
    <col min="1" max="1" width="13.5546875" bestFit="1" customWidth="1"/>
    <col min="2" max="2" width="20" bestFit="1" customWidth="1"/>
    <col min="3" max="3" width="20.77734375" bestFit="1" customWidth="1"/>
    <col min="4" max="4" width="9.33203125" bestFit="1" customWidth="1"/>
    <col min="5" max="5" width="9.88671875" bestFit="1" customWidth="1"/>
    <col min="6" max="6" width="7.6640625" bestFit="1" customWidth="1"/>
    <col min="7" max="7" width="14" bestFit="1" customWidth="1"/>
    <col min="8" max="8" width="13.21875" bestFit="1" customWidth="1"/>
    <col min="9" max="9" width="10" bestFit="1" customWidth="1"/>
    <col min="10" max="10" width="19.6640625" bestFit="1" customWidth="1"/>
    <col min="11" max="11" width="16.44140625" bestFit="1" customWidth="1"/>
    <col min="12" max="12" width="12.6640625" bestFit="1" customWidth="1"/>
    <col min="13" max="13" width="22.21875" bestFit="1" customWidth="1"/>
    <col min="14" max="14" width="15.33203125" bestFit="1" customWidth="1"/>
    <col min="15" max="15" width="13.77734375" bestFit="1" customWidth="1"/>
    <col min="16" max="16" width="16.5546875" bestFit="1" customWidth="1"/>
    <col min="17" max="17" width="1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45772</v>
      </c>
      <c r="H2" s="2">
        <v>45777</v>
      </c>
      <c r="I2" s="1" t="s">
        <v>23</v>
      </c>
      <c r="J2">
        <v>5</v>
      </c>
      <c r="K2">
        <v>5</v>
      </c>
      <c r="L2">
        <v>14</v>
      </c>
      <c r="M2" s="1" t="s">
        <v>24</v>
      </c>
      <c r="N2" s="2">
        <v>45748</v>
      </c>
      <c r="O2">
        <v>2025</v>
      </c>
      <c r="P2">
        <v>2</v>
      </c>
      <c r="Q2" s="1" t="s">
        <v>24</v>
      </c>
    </row>
    <row r="3" spans="1:17" x14ac:dyDescent="0.3">
      <c r="A3" s="1" t="s">
        <v>25</v>
      </c>
      <c r="B3" s="1" t="s">
        <v>26</v>
      </c>
      <c r="C3" s="1" t="s">
        <v>27</v>
      </c>
      <c r="D3" s="1" t="s">
        <v>20</v>
      </c>
      <c r="E3" s="1" t="s">
        <v>21</v>
      </c>
      <c r="F3" s="1" t="s">
        <v>22</v>
      </c>
      <c r="G3" s="2">
        <v>45777</v>
      </c>
      <c r="H3" s="2">
        <v>45788</v>
      </c>
      <c r="I3" s="1" t="s">
        <v>28</v>
      </c>
      <c r="J3">
        <v>4</v>
      </c>
      <c r="K3">
        <v>11</v>
      </c>
      <c r="L3">
        <v>14</v>
      </c>
      <c r="M3" s="1" t="s">
        <v>24</v>
      </c>
      <c r="N3" s="2">
        <v>45748</v>
      </c>
      <c r="O3">
        <v>2025</v>
      </c>
      <c r="P3">
        <v>2</v>
      </c>
      <c r="Q3" s="1" t="s">
        <v>24</v>
      </c>
    </row>
    <row r="4" spans="1:17" x14ac:dyDescent="0.3">
      <c r="A4" s="1" t="s">
        <v>29</v>
      </c>
      <c r="B4" s="1" t="s">
        <v>18</v>
      </c>
      <c r="C4" s="1" t="s">
        <v>30</v>
      </c>
      <c r="D4" s="1" t="s">
        <v>20</v>
      </c>
      <c r="E4" s="1" t="s">
        <v>21</v>
      </c>
      <c r="F4" s="1" t="s">
        <v>31</v>
      </c>
      <c r="G4" s="2">
        <v>45661</v>
      </c>
      <c r="H4" s="2">
        <v>45676</v>
      </c>
      <c r="I4" s="1" t="s">
        <v>32</v>
      </c>
      <c r="J4">
        <v>5</v>
      </c>
      <c r="K4">
        <v>15</v>
      </c>
      <c r="L4">
        <v>14</v>
      </c>
      <c r="M4" s="1" t="s">
        <v>33</v>
      </c>
      <c r="N4" s="2">
        <v>45658</v>
      </c>
      <c r="O4">
        <v>2025</v>
      </c>
      <c r="P4">
        <v>1</v>
      </c>
      <c r="Q4" s="1" t="s">
        <v>24</v>
      </c>
    </row>
    <row r="5" spans="1:17" x14ac:dyDescent="0.3">
      <c r="A5" s="1" t="s">
        <v>34</v>
      </c>
      <c r="B5" s="1" t="s">
        <v>35</v>
      </c>
      <c r="C5" s="1" t="s">
        <v>36</v>
      </c>
      <c r="D5" s="1" t="s">
        <v>20</v>
      </c>
      <c r="E5" s="1" t="s">
        <v>37</v>
      </c>
      <c r="F5" s="1" t="s">
        <v>38</v>
      </c>
      <c r="G5" s="2">
        <v>45710</v>
      </c>
      <c r="H5" s="2"/>
      <c r="I5" s="1" t="s">
        <v>39</v>
      </c>
      <c r="L5">
        <v>14</v>
      </c>
      <c r="M5" s="1" t="s">
        <v>40</v>
      </c>
      <c r="N5" s="2">
        <v>45689</v>
      </c>
      <c r="O5">
        <v>2025</v>
      </c>
      <c r="P5">
        <v>1</v>
      </c>
      <c r="Q5" s="1" t="s">
        <v>33</v>
      </c>
    </row>
    <row r="6" spans="1:17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21</v>
      </c>
      <c r="F6" s="1" t="s">
        <v>38</v>
      </c>
      <c r="G6" s="2">
        <v>45680</v>
      </c>
      <c r="H6" s="2">
        <v>45686</v>
      </c>
      <c r="I6" s="1" t="s">
        <v>39</v>
      </c>
      <c r="J6">
        <v>4</v>
      </c>
      <c r="K6">
        <v>6</v>
      </c>
      <c r="L6">
        <v>7</v>
      </c>
      <c r="M6" s="1" t="s">
        <v>24</v>
      </c>
      <c r="N6" s="2">
        <v>45658</v>
      </c>
      <c r="O6">
        <v>2025</v>
      </c>
      <c r="P6">
        <v>1</v>
      </c>
      <c r="Q6" s="1" t="s">
        <v>24</v>
      </c>
    </row>
    <row r="7" spans="1:17" x14ac:dyDescent="0.3">
      <c r="A7" s="1" t="s">
        <v>45</v>
      </c>
      <c r="B7" s="1" t="s">
        <v>42</v>
      </c>
      <c r="C7" s="1" t="s">
        <v>43</v>
      </c>
      <c r="D7" s="1" t="s">
        <v>44</v>
      </c>
      <c r="E7" s="1" t="s">
        <v>21</v>
      </c>
      <c r="F7" s="1" t="s">
        <v>38</v>
      </c>
      <c r="G7" s="2">
        <v>45843</v>
      </c>
      <c r="H7" s="2">
        <v>45848</v>
      </c>
      <c r="I7" s="1" t="s">
        <v>23</v>
      </c>
      <c r="J7">
        <v>3</v>
      </c>
      <c r="K7">
        <v>5</v>
      </c>
      <c r="L7">
        <v>7</v>
      </c>
      <c r="M7" s="1" t="s">
        <v>24</v>
      </c>
      <c r="N7" s="2">
        <v>45839</v>
      </c>
      <c r="O7">
        <v>2025</v>
      </c>
      <c r="P7">
        <v>3</v>
      </c>
      <c r="Q7" s="1" t="s">
        <v>24</v>
      </c>
    </row>
    <row r="8" spans="1:17" x14ac:dyDescent="0.3">
      <c r="A8" s="1" t="s">
        <v>46</v>
      </c>
      <c r="B8" s="1" t="s">
        <v>18</v>
      </c>
      <c r="C8" s="1" t="s">
        <v>47</v>
      </c>
      <c r="D8" s="1" t="s">
        <v>44</v>
      </c>
      <c r="E8" s="1" t="s">
        <v>48</v>
      </c>
      <c r="F8" s="1" t="s">
        <v>38</v>
      </c>
      <c r="G8" s="2">
        <v>45777</v>
      </c>
      <c r="H8" s="2"/>
      <c r="I8" s="1" t="s">
        <v>39</v>
      </c>
      <c r="L8">
        <v>7</v>
      </c>
      <c r="M8" s="1" t="s">
        <v>40</v>
      </c>
      <c r="N8" s="2">
        <v>45748</v>
      </c>
      <c r="O8">
        <v>2025</v>
      </c>
      <c r="P8">
        <v>2</v>
      </c>
      <c r="Q8" s="1" t="s">
        <v>33</v>
      </c>
    </row>
    <row r="9" spans="1:17" x14ac:dyDescent="0.3">
      <c r="A9" s="1" t="s">
        <v>49</v>
      </c>
      <c r="B9" s="1" t="s">
        <v>35</v>
      </c>
      <c r="C9" s="1" t="s">
        <v>50</v>
      </c>
      <c r="D9" s="1" t="s">
        <v>51</v>
      </c>
      <c r="E9" s="1" t="s">
        <v>21</v>
      </c>
      <c r="F9" s="1" t="s">
        <v>52</v>
      </c>
      <c r="G9" s="2">
        <v>45847</v>
      </c>
      <c r="H9" s="2">
        <v>45854</v>
      </c>
      <c r="I9" s="1" t="s">
        <v>23</v>
      </c>
      <c r="J9">
        <v>3</v>
      </c>
      <c r="K9">
        <v>7</v>
      </c>
      <c r="L9">
        <v>10</v>
      </c>
      <c r="M9" s="1" t="s">
        <v>24</v>
      </c>
      <c r="N9" s="2">
        <v>45839</v>
      </c>
      <c r="O9">
        <v>2025</v>
      </c>
      <c r="P9">
        <v>3</v>
      </c>
      <c r="Q9" s="1" t="s">
        <v>24</v>
      </c>
    </row>
    <row r="10" spans="1:17" x14ac:dyDescent="0.3">
      <c r="A10" s="1" t="s">
        <v>53</v>
      </c>
      <c r="B10" s="1" t="s">
        <v>26</v>
      </c>
      <c r="C10" s="1" t="s">
        <v>54</v>
      </c>
      <c r="D10" s="1" t="s">
        <v>51</v>
      </c>
      <c r="E10" s="1" t="s">
        <v>21</v>
      </c>
      <c r="F10" s="1" t="s">
        <v>22</v>
      </c>
      <c r="G10" s="2">
        <v>45894</v>
      </c>
      <c r="H10" s="2">
        <v>45902</v>
      </c>
      <c r="I10" s="1" t="s">
        <v>28</v>
      </c>
      <c r="J10">
        <v>3</v>
      </c>
      <c r="K10">
        <v>8</v>
      </c>
      <c r="L10">
        <v>10</v>
      </c>
      <c r="M10" s="1" t="s">
        <v>24</v>
      </c>
      <c r="N10" s="2">
        <v>45870</v>
      </c>
      <c r="O10">
        <v>2025</v>
      </c>
      <c r="P10">
        <v>3</v>
      </c>
      <c r="Q10" s="1" t="s">
        <v>24</v>
      </c>
    </row>
    <row r="11" spans="1:17" x14ac:dyDescent="0.3">
      <c r="A11" s="1" t="s">
        <v>55</v>
      </c>
      <c r="B11" s="1" t="s">
        <v>18</v>
      </c>
      <c r="C11" s="1" t="s">
        <v>56</v>
      </c>
      <c r="D11" s="1" t="s">
        <v>44</v>
      </c>
      <c r="E11" s="1" t="s">
        <v>37</v>
      </c>
      <c r="F11" s="1" t="s">
        <v>38</v>
      </c>
      <c r="G11" s="2">
        <v>45775</v>
      </c>
      <c r="H11" s="2"/>
      <c r="I11" s="1" t="s">
        <v>32</v>
      </c>
      <c r="L11">
        <v>7</v>
      </c>
      <c r="M11" s="1" t="s">
        <v>40</v>
      </c>
      <c r="N11" s="2">
        <v>45748</v>
      </c>
      <c r="O11">
        <v>2025</v>
      </c>
      <c r="P11">
        <v>2</v>
      </c>
      <c r="Q11" s="1" t="s">
        <v>33</v>
      </c>
    </row>
    <row r="12" spans="1:17" x14ac:dyDescent="0.3">
      <c r="A12" s="1" t="s">
        <v>57</v>
      </c>
      <c r="B12" s="1" t="s">
        <v>58</v>
      </c>
      <c r="C12" s="1" t="s">
        <v>59</v>
      </c>
      <c r="D12" s="1" t="s">
        <v>20</v>
      </c>
      <c r="E12" s="1" t="s">
        <v>48</v>
      </c>
      <c r="F12" s="1" t="s">
        <v>52</v>
      </c>
      <c r="G12" s="2">
        <v>45948</v>
      </c>
      <c r="H12" s="2"/>
      <c r="I12" s="1" t="s">
        <v>28</v>
      </c>
      <c r="L12">
        <v>14</v>
      </c>
      <c r="M12" s="1" t="s">
        <v>40</v>
      </c>
      <c r="N12" s="2">
        <v>45931</v>
      </c>
      <c r="O12">
        <v>2025</v>
      </c>
      <c r="P12">
        <v>4</v>
      </c>
      <c r="Q12" s="1" t="s">
        <v>33</v>
      </c>
    </row>
    <row r="13" spans="1:17" x14ac:dyDescent="0.3">
      <c r="A13" s="1" t="s">
        <v>60</v>
      </c>
      <c r="B13" s="1" t="s">
        <v>18</v>
      </c>
      <c r="C13" s="1" t="s">
        <v>30</v>
      </c>
      <c r="D13" s="1" t="s">
        <v>51</v>
      </c>
      <c r="E13" s="1" t="s">
        <v>48</v>
      </c>
      <c r="F13" s="1" t="s">
        <v>61</v>
      </c>
      <c r="G13" s="2">
        <v>45892</v>
      </c>
      <c r="H13" s="2"/>
      <c r="I13" s="1" t="s">
        <v>32</v>
      </c>
      <c r="L13">
        <v>10</v>
      </c>
      <c r="M13" s="1" t="s">
        <v>40</v>
      </c>
      <c r="N13" s="2">
        <v>45870</v>
      </c>
      <c r="O13">
        <v>2025</v>
      </c>
      <c r="P13">
        <v>3</v>
      </c>
      <c r="Q13" s="1" t="s">
        <v>33</v>
      </c>
    </row>
    <row r="14" spans="1:17" x14ac:dyDescent="0.3">
      <c r="A14" s="1" t="s">
        <v>62</v>
      </c>
      <c r="B14" s="1" t="s">
        <v>63</v>
      </c>
      <c r="C14" s="1" t="s">
        <v>64</v>
      </c>
      <c r="D14" s="1" t="s">
        <v>44</v>
      </c>
      <c r="E14" s="1" t="s">
        <v>21</v>
      </c>
      <c r="F14" s="1" t="s">
        <v>31</v>
      </c>
      <c r="G14" s="2">
        <v>45957</v>
      </c>
      <c r="H14" s="2">
        <v>45961</v>
      </c>
      <c r="I14" s="1" t="s">
        <v>32</v>
      </c>
      <c r="J14">
        <v>5</v>
      </c>
      <c r="K14">
        <v>4</v>
      </c>
      <c r="L14">
        <v>7</v>
      </c>
      <c r="M14" s="1" t="s">
        <v>24</v>
      </c>
      <c r="N14" s="2">
        <v>45931</v>
      </c>
      <c r="O14">
        <v>2025</v>
      </c>
      <c r="P14">
        <v>4</v>
      </c>
      <c r="Q14" s="1" t="s">
        <v>24</v>
      </c>
    </row>
    <row r="15" spans="1:17" x14ac:dyDescent="0.3">
      <c r="A15" s="1" t="s">
        <v>65</v>
      </c>
      <c r="B15" s="1" t="s">
        <v>63</v>
      </c>
      <c r="C15" s="1" t="s">
        <v>64</v>
      </c>
      <c r="D15" s="1" t="s">
        <v>51</v>
      </c>
      <c r="E15" s="1" t="s">
        <v>21</v>
      </c>
      <c r="F15" s="1" t="s">
        <v>61</v>
      </c>
      <c r="G15" s="2">
        <v>45682</v>
      </c>
      <c r="H15" s="2">
        <v>45685</v>
      </c>
      <c r="I15" s="1" t="s">
        <v>39</v>
      </c>
      <c r="J15">
        <v>3</v>
      </c>
      <c r="K15">
        <v>3</v>
      </c>
      <c r="L15">
        <v>10</v>
      </c>
      <c r="M15" s="1" t="s">
        <v>24</v>
      </c>
      <c r="N15" s="2">
        <v>45658</v>
      </c>
      <c r="O15">
        <v>2025</v>
      </c>
      <c r="P15">
        <v>1</v>
      </c>
      <c r="Q15" s="1" t="s">
        <v>24</v>
      </c>
    </row>
    <row r="16" spans="1:17" x14ac:dyDescent="0.3">
      <c r="A16" s="1" t="s">
        <v>66</v>
      </c>
      <c r="B16" s="1" t="s">
        <v>26</v>
      </c>
      <c r="C16" s="1" t="s">
        <v>67</v>
      </c>
      <c r="D16" s="1" t="s">
        <v>51</v>
      </c>
      <c r="E16" s="1" t="s">
        <v>21</v>
      </c>
      <c r="F16" s="1" t="s">
        <v>22</v>
      </c>
      <c r="G16" s="2">
        <v>45897</v>
      </c>
      <c r="H16" s="2">
        <v>45907</v>
      </c>
      <c r="I16" s="1" t="s">
        <v>23</v>
      </c>
      <c r="J16">
        <v>3</v>
      </c>
      <c r="K16">
        <v>10</v>
      </c>
      <c r="L16">
        <v>10</v>
      </c>
      <c r="M16" s="1" t="s">
        <v>24</v>
      </c>
      <c r="N16" s="2">
        <v>45870</v>
      </c>
      <c r="O16">
        <v>2025</v>
      </c>
      <c r="P16">
        <v>3</v>
      </c>
      <c r="Q16" s="1" t="s">
        <v>24</v>
      </c>
    </row>
    <row r="17" spans="1:17" x14ac:dyDescent="0.3">
      <c r="A17" s="1" t="s">
        <v>68</v>
      </c>
      <c r="B17" s="1" t="s">
        <v>18</v>
      </c>
      <c r="C17" s="1" t="s">
        <v>19</v>
      </c>
      <c r="D17" s="1" t="s">
        <v>51</v>
      </c>
      <c r="E17" s="1" t="s">
        <v>21</v>
      </c>
      <c r="F17" s="1" t="s">
        <v>31</v>
      </c>
      <c r="G17" s="2">
        <v>45794</v>
      </c>
      <c r="H17" s="2">
        <v>45801</v>
      </c>
      <c r="I17" s="1" t="s">
        <v>28</v>
      </c>
      <c r="J17">
        <v>3</v>
      </c>
      <c r="K17">
        <v>7</v>
      </c>
      <c r="L17">
        <v>10</v>
      </c>
      <c r="M17" s="1" t="s">
        <v>24</v>
      </c>
      <c r="N17" s="2">
        <v>45778</v>
      </c>
      <c r="O17">
        <v>2025</v>
      </c>
      <c r="P17">
        <v>2</v>
      </c>
      <c r="Q17" s="1" t="s">
        <v>24</v>
      </c>
    </row>
    <row r="18" spans="1:17" x14ac:dyDescent="0.3">
      <c r="A18" s="1" t="s">
        <v>69</v>
      </c>
      <c r="B18" s="1" t="s">
        <v>58</v>
      </c>
      <c r="C18" s="1" t="s">
        <v>70</v>
      </c>
      <c r="D18" s="1" t="s">
        <v>71</v>
      </c>
      <c r="E18" s="1" t="s">
        <v>48</v>
      </c>
      <c r="F18" s="1" t="s">
        <v>22</v>
      </c>
      <c r="G18" s="2">
        <v>45792</v>
      </c>
      <c r="H18" s="2"/>
      <c r="I18" s="1" t="s">
        <v>28</v>
      </c>
      <c r="L18">
        <v>3</v>
      </c>
      <c r="M18" s="1" t="s">
        <v>40</v>
      </c>
      <c r="N18" s="2">
        <v>45778</v>
      </c>
      <c r="O18">
        <v>2025</v>
      </c>
      <c r="P18">
        <v>2</v>
      </c>
      <c r="Q18" s="1" t="s">
        <v>33</v>
      </c>
    </row>
    <row r="19" spans="1:17" x14ac:dyDescent="0.3">
      <c r="A19" s="1" t="s">
        <v>72</v>
      </c>
      <c r="B19" s="1" t="s">
        <v>26</v>
      </c>
      <c r="C19" s="1" t="s">
        <v>67</v>
      </c>
      <c r="D19" s="1" t="s">
        <v>44</v>
      </c>
      <c r="E19" s="1" t="s">
        <v>21</v>
      </c>
      <c r="F19" s="1" t="s">
        <v>61</v>
      </c>
      <c r="G19" s="2">
        <v>45985</v>
      </c>
      <c r="H19" s="2">
        <v>45990</v>
      </c>
      <c r="I19" s="1" t="s">
        <v>32</v>
      </c>
      <c r="J19">
        <v>4</v>
      </c>
      <c r="K19">
        <v>5</v>
      </c>
      <c r="L19">
        <v>7</v>
      </c>
      <c r="M19" s="1" t="s">
        <v>24</v>
      </c>
      <c r="N19" s="2">
        <v>45962</v>
      </c>
      <c r="O19">
        <v>2025</v>
      </c>
      <c r="P19">
        <v>4</v>
      </c>
      <c r="Q19" s="1" t="s">
        <v>24</v>
      </c>
    </row>
    <row r="20" spans="1:17" x14ac:dyDescent="0.3">
      <c r="A20" s="1" t="s">
        <v>73</v>
      </c>
      <c r="B20" s="1" t="s">
        <v>63</v>
      </c>
      <c r="C20" s="1" t="s">
        <v>74</v>
      </c>
      <c r="D20" s="1" t="s">
        <v>51</v>
      </c>
      <c r="E20" s="1" t="s">
        <v>21</v>
      </c>
      <c r="F20" s="1" t="s">
        <v>52</v>
      </c>
      <c r="G20" s="2">
        <v>45715</v>
      </c>
      <c r="H20" s="2">
        <v>45722</v>
      </c>
      <c r="I20" s="1" t="s">
        <v>28</v>
      </c>
      <c r="J20">
        <v>5</v>
      </c>
      <c r="K20">
        <v>7</v>
      </c>
      <c r="L20">
        <v>10</v>
      </c>
      <c r="M20" s="1" t="s">
        <v>24</v>
      </c>
      <c r="N20" s="2">
        <v>45689</v>
      </c>
      <c r="O20">
        <v>2025</v>
      </c>
      <c r="P20">
        <v>1</v>
      </c>
      <c r="Q20" s="1" t="s">
        <v>24</v>
      </c>
    </row>
    <row r="21" spans="1:17" x14ac:dyDescent="0.3">
      <c r="A21" s="1" t="s">
        <v>75</v>
      </c>
      <c r="B21" s="1" t="s">
        <v>42</v>
      </c>
      <c r="C21" s="1" t="s">
        <v>76</v>
      </c>
      <c r="D21" s="1" t="s">
        <v>44</v>
      </c>
      <c r="E21" s="1" t="s">
        <v>48</v>
      </c>
      <c r="F21" s="1" t="s">
        <v>31</v>
      </c>
      <c r="G21" s="2">
        <v>45701</v>
      </c>
      <c r="H21" s="2"/>
      <c r="I21" s="1" t="s">
        <v>23</v>
      </c>
      <c r="L21">
        <v>7</v>
      </c>
      <c r="M21" s="1" t="s">
        <v>40</v>
      </c>
      <c r="N21" s="2">
        <v>45689</v>
      </c>
      <c r="O21">
        <v>2025</v>
      </c>
      <c r="P21">
        <v>1</v>
      </c>
      <c r="Q21" s="1" t="s">
        <v>33</v>
      </c>
    </row>
    <row r="22" spans="1:17" x14ac:dyDescent="0.3">
      <c r="A22" s="1" t="s">
        <v>77</v>
      </c>
      <c r="B22" s="1" t="s">
        <v>26</v>
      </c>
      <c r="C22" s="1" t="s">
        <v>54</v>
      </c>
      <c r="D22" s="1" t="s">
        <v>20</v>
      </c>
      <c r="E22" s="1" t="s">
        <v>21</v>
      </c>
      <c r="F22" s="1" t="s">
        <v>22</v>
      </c>
      <c r="G22" s="2">
        <v>45939</v>
      </c>
      <c r="H22" s="2">
        <v>45944</v>
      </c>
      <c r="I22" s="1" t="s">
        <v>39</v>
      </c>
      <c r="J22">
        <v>3</v>
      </c>
      <c r="K22">
        <v>5</v>
      </c>
      <c r="L22">
        <v>14</v>
      </c>
      <c r="M22" s="1" t="s">
        <v>24</v>
      </c>
      <c r="N22" s="2">
        <v>45931</v>
      </c>
      <c r="O22">
        <v>2025</v>
      </c>
      <c r="P22">
        <v>4</v>
      </c>
      <c r="Q22" s="1" t="s">
        <v>24</v>
      </c>
    </row>
    <row r="23" spans="1:17" x14ac:dyDescent="0.3">
      <c r="A23" s="1" t="s">
        <v>78</v>
      </c>
      <c r="B23" s="1" t="s">
        <v>63</v>
      </c>
      <c r="C23" s="1" t="s">
        <v>64</v>
      </c>
      <c r="D23" s="1" t="s">
        <v>44</v>
      </c>
      <c r="E23" s="1" t="s">
        <v>21</v>
      </c>
      <c r="F23" s="1" t="s">
        <v>22</v>
      </c>
      <c r="G23" s="2">
        <v>46001</v>
      </c>
      <c r="H23" s="2">
        <v>46007</v>
      </c>
      <c r="I23" s="1" t="s">
        <v>39</v>
      </c>
      <c r="J23">
        <v>4</v>
      </c>
      <c r="K23">
        <v>6</v>
      </c>
      <c r="L23">
        <v>7</v>
      </c>
      <c r="M23" s="1" t="s">
        <v>24</v>
      </c>
      <c r="N23" s="2">
        <v>45992</v>
      </c>
      <c r="O23">
        <v>2025</v>
      </c>
      <c r="P23">
        <v>4</v>
      </c>
      <c r="Q23" s="1" t="s">
        <v>24</v>
      </c>
    </row>
    <row r="24" spans="1:17" x14ac:dyDescent="0.3">
      <c r="A24" s="1" t="s">
        <v>79</v>
      </c>
      <c r="B24" s="1" t="s">
        <v>42</v>
      </c>
      <c r="C24" s="1" t="s">
        <v>76</v>
      </c>
      <c r="D24" s="1" t="s">
        <v>20</v>
      </c>
      <c r="E24" s="1" t="s">
        <v>21</v>
      </c>
      <c r="F24" s="1" t="s">
        <v>61</v>
      </c>
      <c r="G24" s="2">
        <v>45959</v>
      </c>
      <c r="H24" s="2">
        <v>45970</v>
      </c>
      <c r="I24" s="1" t="s">
        <v>23</v>
      </c>
      <c r="J24">
        <v>3</v>
      </c>
      <c r="K24">
        <v>11</v>
      </c>
      <c r="L24">
        <v>14</v>
      </c>
      <c r="M24" s="1" t="s">
        <v>24</v>
      </c>
      <c r="N24" s="2">
        <v>45931</v>
      </c>
      <c r="O24">
        <v>2025</v>
      </c>
      <c r="P24">
        <v>4</v>
      </c>
      <c r="Q24" s="1" t="s">
        <v>24</v>
      </c>
    </row>
    <row r="25" spans="1:17" x14ac:dyDescent="0.3">
      <c r="A25" s="1" t="s">
        <v>80</v>
      </c>
      <c r="B25" s="1" t="s">
        <v>42</v>
      </c>
      <c r="C25" s="1" t="s">
        <v>81</v>
      </c>
      <c r="D25" s="1" t="s">
        <v>20</v>
      </c>
      <c r="E25" s="1" t="s">
        <v>48</v>
      </c>
      <c r="F25" s="1" t="s">
        <v>38</v>
      </c>
      <c r="G25" s="2">
        <v>45827</v>
      </c>
      <c r="H25" s="2"/>
      <c r="I25" s="1" t="s">
        <v>82</v>
      </c>
      <c r="L25">
        <v>14</v>
      </c>
      <c r="M25" s="1" t="s">
        <v>40</v>
      </c>
      <c r="N25" s="2">
        <v>45809</v>
      </c>
      <c r="O25">
        <v>2025</v>
      </c>
      <c r="P25">
        <v>2</v>
      </c>
      <c r="Q25" s="1" t="s">
        <v>33</v>
      </c>
    </row>
    <row r="26" spans="1:17" x14ac:dyDescent="0.3">
      <c r="A26" s="1" t="s">
        <v>83</v>
      </c>
      <c r="B26" s="1" t="s">
        <v>63</v>
      </c>
      <c r="C26" s="1" t="s">
        <v>84</v>
      </c>
      <c r="D26" s="1" t="s">
        <v>51</v>
      </c>
      <c r="E26" s="1" t="s">
        <v>21</v>
      </c>
      <c r="F26" s="1" t="s">
        <v>31</v>
      </c>
      <c r="G26" s="2">
        <v>45725</v>
      </c>
      <c r="H26" s="2">
        <v>45734</v>
      </c>
      <c r="I26" s="1" t="s">
        <v>39</v>
      </c>
      <c r="J26">
        <v>3</v>
      </c>
      <c r="K26">
        <v>9</v>
      </c>
      <c r="L26">
        <v>10</v>
      </c>
      <c r="M26" s="1" t="s">
        <v>24</v>
      </c>
      <c r="N26" s="2">
        <v>45717</v>
      </c>
      <c r="O26">
        <v>2025</v>
      </c>
      <c r="P26">
        <v>1</v>
      </c>
      <c r="Q26" s="1" t="s">
        <v>24</v>
      </c>
    </row>
    <row r="27" spans="1:17" x14ac:dyDescent="0.3">
      <c r="A27" s="1" t="s">
        <v>85</v>
      </c>
      <c r="B27" s="1" t="s">
        <v>63</v>
      </c>
      <c r="C27" s="1" t="s">
        <v>74</v>
      </c>
      <c r="D27" s="1" t="s">
        <v>20</v>
      </c>
      <c r="E27" s="1" t="s">
        <v>21</v>
      </c>
      <c r="F27" s="1" t="s">
        <v>38</v>
      </c>
      <c r="G27" s="2">
        <v>45874</v>
      </c>
      <c r="H27" s="2">
        <v>45883</v>
      </c>
      <c r="I27" s="1" t="s">
        <v>23</v>
      </c>
      <c r="J27">
        <v>4</v>
      </c>
      <c r="K27">
        <v>9</v>
      </c>
      <c r="L27">
        <v>14</v>
      </c>
      <c r="M27" s="1" t="s">
        <v>24</v>
      </c>
      <c r="N27" s="2">
        <v>45870</v>
      </c>
      <c r="O27">
        <v>2025</v>
      </c>
      <c r="P27">
        <v>3</v>
      </c>
      <c r="Q27" s="1" t="s">
        <v>24</v>
      </c>
    </row>
    <row r="28" spans="1:17" x14ac:dyDescent="0.3">
      <c r="A28" s="1" t="s">
        <v>86</v>
      </c>
      <c r="B28" s="1" t="s">
        <v>42</v>
      </c>
      <c r="C28" s="1" t="s">
        <v>87</v>
      </c>
      <c r="D28" s="1" t="s">
        <v>44</v>
      </c>
      <c r="E28" s="1" t="s">
        <v>37</v>
      </c>
      <c r="F28" s="1" t="s">
        <v>61</v>
      </c>
      <c r="G28" s="2">
        <v>45713</v>
      </c>
      <c r="H28" s="2"/>
      <c r="I28" s="1" t="s">
        <v>28</v>
      </c>
      <c r="L28">
        <v>7</v>
      </c>
      <c r="M28" s="1" t="s">
        <v>40</v>
      </c>
      <c r="N28" s="2">
        <v>45689</v>
      </c>
      <c r="O28">
        <v>2025</v>
      </c>
      <c r="P28">
        <v>1</v>
      </c>
      <c r="Q28" s="1" t="s">
        <v>33</v>
      </c>
    </row>
    <row r="29" spans="1:17" x14ac:dyDescent="0.3">
      <c r="A29" s="1" t="s">
        <v>88</v>
      </c>
      <c r="B29" s="1" t="s">
        <v>63</v>
      </c>
      <c r="C29" s="1" t="s">
        <v>89</v>
      </c>
      <c r="D29" s="1" t="s">
        <v>20</v>
      </c>
      <c r="E29" s="1" t="s">
        <v>21</v>
      </c>
      <c r="F29" s="1" t="s">
        <v>38</v>
      </c>
      <c r="G29" s="2">
        <v>45894</v>
      </c>
      <c r="H29" s="2">
        <v>45900</v>
      </c>
      <c r="I29" s="1" t="s">
        <v>39</v>
      </c>
      <c r="J29">
        <v>5</v>
      </c>
      <c r="K29">
        <v>6</v>
      </c>
      <c r="L29">
        <v>14</v>
      </c>
      <c r="M29" s="1" t="s">
        <v>24</v>
      </c>
      <c r="N29" s="2">
        <v>45870</v>
      </c>
      <c r="O29">
        <v>2025</v>
      </c>
      <c r="P29">
        <v>3</v>
      </c>
      <c r="Q29" s="1" t="s">
        <v>24</v>
      </c>
    </row>
    <row r="30" spans="1:17" x14ac:dyDescent="0.3">
      <c r="A30" s="1" t="s">
        <v>90</v>
      </c>
      <c r="B30" s="1" t="s">
        <v>26</v>
      </c>
      <c r="C30" s="1" t="s">
        <v>67</v>
      </c>
      <c r="D30" s="1" t="s">
        <v>20</v>
      </c>
      <c r="E30" s="1" t="s">
        <v>48</v>
      </c>
      <c r="F30" s="1" t="s">
        <v>38</v>
      </c>
      <c r="G30" s="2">
        <v>45665</v>
      </c>
      <c r="H30" s="2"/>
      <c r="I30" s="1" t="s">
        <v>28</v>
      </c>
      <c r="L30">
        <v>14</v>
      </c>
      <c r="M30" s="1" t="s">
        <v>40</v>
      </c>
      <c r="N30" s="2">
        <v>45658</v>
      </c>
      <c r="O30">
        <v>2025</v>
      </c>
      <c r="P30">
        <v>1</v>
      </c>
      <c r="Q30" s="1" t="s">
        <v>33</v>
      </c>
    </row>
    <row r="31" spans="1:17" x14ac:dyDescent="0.3">
      <c r="A31" s="1" t="s">
        <v>91</v>
      </c>
      <c r="B31" s="1" t="s">
        <v>63</v>
      </c>
      <c r="C31" s="1" t="s">
        <v>89</v>
      </c>
      <c r="D31" s="1" t="s">
        <v>51</v>
      </c>
      <c r="E31" s="1" t="s">
        <v>21</v>
      </c>
      <c r="F31" s="1" t="s">
        <v>38</v>
      </c>
      <c r="G31" s="2">
        <v>45863</v>
      </c>
      <c r="H31" s="2">
        <v>45865</v>
      </c>
      <c r="I31" s="1" t="s">
        <v>39</v>
      </c>
      <c r="J31">
        <v>3</v>
      </c>
      <c r="K31">
        <v>2</v>
      </c>
      <c r="L31">
        <v>10</v>
      </c>
      <c r="M31" s="1" t="s">
        <v>24</v>
      </c>
      <c r="N31" s="2">
        <v>45839</v>
      </c>
      <c r="O31">
        <v>2025</v>
      </c>
      <c r="P31">
        <v>3</v>
      </c>
      <c r="Q31" s="1" t="s">
        <v>24</v>
      </c>
    </row>
    <row r="32" spans="1:17" x14ac:dyDescent="0.3">
      <c r="A32" s="1" t="s">
        <v>92</v>
      </c>
      <c r="B32" s="1" t="s">
        <v>35</v>
      </c>
      <c r="C32" s="1" t="s">
        <v>50</v>
      </c>
      <c r="D32" s="1" t="s">
        <v>51</v>
      </c>
      <c r="E32" s="1" t="s">
        <v>21</v>
      </c>
      <c r="F32" s="1" t="s">
        <v>52</v>
      </c>
      <c r="G32" s="2">
        <v>45942</v>
      </c>
      <c r="H32" s="2">
        <v>45951</v>
      </c>
      <c r="I32" s="1" t="s">
        <v>28</v>
      </c>
      <c r="J32">
        <v>3</v>
      </c>
      <c r="K32">
        <v>9</v>
      </c>
      <c r="L32">
        <v>10</v>
      </c>
      <c r="M32" s="1" t="s">
        <v>24</v>
      </c>
      <c r="N32" s="2">
        <v>45931</v>
      </c>
      <c r="O32">
        <v>2025</v>
      </c>
      <c r="P32">
        <v>4</v>
      </c>
      <c r="Q32" s="1" t="s">
        <v>24</v>
      </c>
    </row>
    <row r="33" spans="1:17" x14ac:dyDescent="0.3">
      <c r="A33" s="1" t="s">
        <v>93</v>
      </c>
      <c r="B33" s="1" t="s">
        <v>42</v>
      </c>
      <c r="C33" s="1" t="s">
        <v>81</v>
      </c>
      <c r="D33" s="1" t="s">
        <v>44</v>
      </c>
      <c r="E33" s="1" t="s">
        <v>21</v>
      </c>
      <c r="F33" s="1" t="s">
        <v>22</v>
      </c>
      <c r="G33" s="2">
        <v>45957</v>
      </c>
      <c r="H33" s="2">
        <v>45961</v>
      </c>
      <c r="I33" s="1" t="s">
        <v>28</v>
      </c>
      <c r="J33">
        <v>4</v>
      </c>
      <c r="K33">
        <v>4</v>
      </c>
      <c r="L33">
        <v>7</v>
      </c>
      <c r="M33" s="1" t="s">
        <v>24</v>
      </c>
      <c r="N33" s="2">
        <v>45931</v>
      </c>
      <c r="O33">
        <v>2025</v>
      </c>
      <c r="P33">
        <v>4</v>
      </c>
      <c r="Q33" s="1" t="s">
        <v>24</v>
      </c>
    </row>
    <row r="34" spans="1:17" x14ac:dyDescent="0.3">
      <c r="A34" s="1" t="s">
        <v>94</v>
      </c>
      <c r="B34" s="1" t="s">
        <v>42</v>
      </c>
      <c r="C34" s="1" t="s">
        <v>81</v>
      </c>
      <c r="D34" s="1" t="s">
        <v>44</v>
      </c>
      <c r="E34" s="1" t="s">
        <v>21</v>
      </c>
      <c r="F34" s="1" t="s">
        <v>31</v>
      </c>
      <c r="G34" s="2">
        <v>45692</v>
      </c>
      <c r="H34" s="2">
        <v>45698</v>
      </c>
      <c r="I34" s="1" t="s">
        <v>23</v>
      </c>
      <c r="J34">
        <v>5</v>
      </c>
      <c r="K34">
        <v>6</v>
      </c>
      <c r="L34">
        <v>7</v>
      </c>
      <c r="M34" s="1" t="s">
        <v>24</v>
      </c>
      <c r="N34" s="2">
        <v>45689</v>
      </c>
      <c r="O34">
        <v>2025</v>
      </c>
      <c r="P34">
        <v>1</v>
      </c>
      <c r="Q34" s="1" t="s">
        <v>24</v>
      </c>
    </row>
    <row r="35" spans="1:17" x14ac:dyDescent="0.3">
      <c r="A35" s="1" t="s">
        <v>95</v>
      </c>
      <c r="B35" s="1" t="s">
        <v>26</v>
      </c>
      <c r="C35" s="1" t="s">
        <v>54</v>
      </c>
      <c r="D35" s="1" t="s">
        <v>51</v>
      </c>
      <c r="E35" s="1" t="s">
        <v>21</v>
      </c>
      <c r="F35" s="1" t="s">
        <v>22</v>
      </c>
      <c r="G35" s="2">
        <v>45699</v>
      </c>
      <c r="H35" s="2">
        <v>45707</v>
      </c>
      <c r="I35" s="1" t="s">
        <v>82</v>
      </c>
      <c r="J35">
        <v>4</v>
      </c>
      <c r="K35">
        <v>8</v>
      </c>
      <c r="L35">
        <v>10</v>
      </c>
      <c r="M35" s="1" t="s">
        <v>24</v>
      </c>
      <c r="N35" s="2">
        <v>45689</v>
      </c>
      <c r="O35">
        <v>2025</v>
      </c>
      <c r="P35">
        <v>1</v>
      </c>
      <c r="Q35" s="1" t="s">
        <v>24</v>
      </c>
    </row>
    <row r="36" spans="1:17" x14ac:dyDescent="0.3">
      <c r="A36" s="1" t="s">
        <v>96</v>
      </c>
      <c r="B36" s="1" t="s">
        <v>35</v>
      </c>
      <c r="C36" s="1" t="s">
        <v>97</v>
      </c>
      <c r="D36" s="1" t="s">
        <v>20</v>
      </c>
      <c r="E36" s="1" t="s">
        <v>21</v>
      </c>
      <c r="F36" s="1" t="s">
        <v>52</v>
      </c>
      <c r="G36" s="2">
        <v>45780</v>
      </c>
      <c r="H36" s="2">
        <v>45787</v>
      </c>
      <c r="I36" s="1" t="s">
        <v>39</v>
      </c>
      <c r="J36">
        <v>4</v>
      </c>
      <c r="K36">
        <v>7</v>
      </c>
      <c r="L36">
        <v>14</v>
      </c>
      <c r="M36" s="1" t="s">
        <v>24</v>
      </c>
      <c r="N36" s="2">
        <v>45778</v>
      </c>
      <c r="O36">
        <v>2025</v>
      </c>
      <c r="P36">
        <v>2</v>
      </c>
      <c r="Q36" s="1" t="s">
        <v>24</v>
      </c>
    </row>
    <row r="37" spans="1:17" x14ac:dyDescent="0.3">
      <c r="A37" s="1" t="s">
        <v>98</v>
      </c>
      <c r="B37" s="1" t="s">
        <v>35</v>
      </c>
      <c r="C37" s="1" t="s">
        <v>99</v>
      </c>
      <c r="D37" s="1" t="s">
        <v>20</v>
      </c>
      <c r="E37" s="1" t="s">
        <v>21</v>
      </c>
      <c r="F37" s="1" t="s">
        <v>61</v>
      </c>
      <c r="G37" s="2">
        <v>45946</v>
      </c>
      <c r="H37" s="2">
        <v>45950</v>
      </c>
      <c r="I37" s="1" t="s">
        <v>82</v>
      </c>
      <c r="J37">
        <v>2</v>
      </c>
      <c r="K37">
        <v>4</v>
      </c>
      <c r="L37">
        <v>14</v>
      </c>
      <c r="M37" s="1" t="s">
        <v>24</v>
      </c>
      <c r="N37" s="2">
        <v>45931</v>
      </c>
      <c r="O37">
        <v>2025</v>
      </c>
      <c r="P37">
        <v>4</v>
      </c>
      <c r="Q37" s="1" t="s">
        <v>24</v>
      </c>
    </row>
    <row r="38" spans="1:17" x14ac:dyDescent="0.3">
      <c r="A38" s="1" t="s">
        <v>100</v>
      </c>
      <c r="B38" s="1" t="s">
        <v>35</v>
      </c>
      <c r="C38" s="1" t="s">
        <v>36</v>
      </c>
      <c r="D38" s="1" t="s">
        <v>44</v>
      </c>
      <c r="E38" s="1" t="s">
        <v>48</v>
      </c>
      <c r="F38" s="1" t="s">
        <v>52</v>
      </c>
      <c r="G38" s="2">
        <v>45783</v>
      </c>
      <c r="H38" s="2"/>
      <c r="I38" s="1" t="s">
        <v>32</v>
      </c>
      <c r="L38">
        <v>7</v>
      </c>
      <c r="M38" s="1" t="s">
        <v>40</v>
      </c>
      <c r="N38" s="2">
        <v>45778</v>
      </c>
      <c r="O38">
        <v>2025</v>
      </c>
      <c r="P38">
        <v>2</v>
      </c>
      <c r="Q38" s="1" t="s">
        <v>33</v>
      </c>
    </row>
    <row r="39" spans="1:17" x14ac:dyDescent="0.3">
      <c r="A39" s="1" t="s">
        <v>101</v>
      </c>
      <c r="B39" s="1" t="s">
        <v>63</v>
      </c>
      <c r="C39" s="1" t="s">
        <v>89</v>
      </c>
      <c r="D39" s="1" t="s">
        <v>44</v>
      </c>
      <c r="E39" s="1" t="s">
        <v>21</v>
      </c>
      <c r="F39" s="1" t="s">
        <v>38</v>
      </c>
      <c r="G39" s="2">
        <v>45971</v>
      </c>
      <c r="H39" s="2">
        <v>45978</v>
      </c>
      <c r="I39" s="1" t="s">
        <v>82</v>
      </c>
      <c r="J39">
        <v>4</v>
      </c>
      <c r="K39">
        <v>7</v>
      </c>
      <c r="L39">
        <v>7</v>
      </c>
      <c r="M39" s="1" t="s">
        <v>24</v>
      </c>
      <c r="N39" s="2">
        <v>45962</v>
      </c>
      <c r="O39">
        <v>2025</v>
      </c>
      <c r="P39">
        <v>4</v>
      </c>
      <c r="Q39" s="1" t="s">
        <v>24</v>
      </c>
    </row>
    <row r="40" spans="1:17" x14ac:dyDescent="0.3">
      <c r="A40" s="1" t="s">
        <v>102</v>
      </c>
      <c r="B40" s="1" t="s">
        <v>35</v>
      </c>
      <c r="C40" s="1" t="s">
        <v>99</v>
      </c>
      <c r="D40" s="1" t="s">
        <v>44</v>
      </c>
      <c r="E40" s="1" t="s">
        <v>21</v>
      </c>
      <c r="F40" s="1" t="s">
        <v>61</v>
      </c>
      <c r="G40" s="2">
        <v>45717</v>
      </c>
      <c r="H40" s="2">
        <v>45718</v>
      </c>
      <c r="I40" s="1" t="s">
        <v>32</v>
      </c>
      <c r="J40">
        <v>5</v>
      </c>
      <c r="K40">
        <v>1</v>
      </c>
      <c r="L40">
        <v>7</v>
      </c>
      <c r="M40" s="1" t="s">
        <v>24</v>
      </c>
      <c r="N40" s="2">
        <v>45717</v>
      </c>
      <c r="O40">
        <v>2025</v>
      </c>
      <c r="P40">
        <v>1</v>
      </c>
      <c r="Q40" s="1" t="s">
        <v>24</v>
      </c>
    </row>
    <row r="41" spans="1:17" x14ac:dyDescent="0.3">
      <c r="A41" s="1" t="s">
        <v>103</v>
      </c>
      <c r="B41" s="1" t="s">
        <v>35</v>
      </c>
      <c r="C41" s="1" t="s">
        <v>36</v>
      </c>
      <c r="D41" s="1" t="s">
        <v>44</v>
      </c>
      <c r="E41" s="1" t="s">
        <v>21</v>
      </c>
      <c r="F41" s="1" t="s">
        <v>31</v>
      </c>
      <c r="G41" s="2">
        <v>45982</v>
      </c>
      <c r="H41" s="2">
        <v>45989</v>
      </c>
      <c r="I41" s="1" t="s">
        <v>32</v>
      </c>
      <c r="J41">
        <v>3</v>
      </c>
      <c r="K41">
        <v>7</v>
      </c>
      <c r="L41">
        <v>7</v>
      </c>
      <c r="M41" s="1" t="s">
        <v>24</v>
      </c>
      <c r="N41" s="2">
        <v>45962</v>
      </c>
      <c r="O41">
        <v>2025</v>
      </c>
      <c r="P41">
        <v>4</v>
      </c>
      <c r="Q41" s="1" t="s">
        <v>24</v>
      </c>
    </row>
    <row r="42" spans="1:17" x14ac:dyDescent="0.3">
      <c r="A42" s="1" t="s">
        <v>104</v>
      </c>
      <c r="B42" s="1" t="s">
        <v>42</v>
      </c>
      <c r="C42" s="1" t="s">
        <v>81</v>
      </c>
      <c r="D42" s="1" t="s">
        <v>51</v>
      </c>
      <c r="E42" s="1" t="s">
        <v>37</v>
      </c>
      <c r="F42" s="1" t="s">
        <v>38</v>
      </c>
      <c r="G42" s="2">
        <v>45680</v>
      </c>
      <c r="H42" s="2"/>
      <c r="I42" s="1" t="s">
        <v>32</v>
      </c>
      <c r="L42">
        <v>10</v>
      </c>
      <c r="M42" s="1" t="s">
        <v>40</v>
      </c>
      <c r="N42" s="2">
        <v>45658</v>
      </c>
      <c r="O42">
        <v>2025</v>
      </c>
      <c r="P42">
        <v>1</v>
      </c>
      <c r="Q42" s="1" t="s">
        <v>33</v>
      </c>
    </row>
    <row r="43" spans="1:17" x14ac:dyDescent="0.3">
      <c r="A43" s="1" t="s">
        <v>105</v>
      </c>
      <c r="B43" s="1" t="s">
        <v>63</v>
      </c>
      <c r="C43" s="1" t="s">
        <v>84</v>
      </c>
      <c r="D43" s="1" t="s">
        <v>20</v>
      </c>
      <c r="E43" s="1" t="s">
        <v>21</v>
      </c>
      <c r="F43" s="1" t="s">
        <v>38</v>
      </c>
      <c r="G43" s="2">
        <v>46019</v>
      </c>
      <c r="H43" s="2">
        <v>46028</v>
      </c>
      <c r="I43" s="1" t="s">
        <v>23</v>
      </c>
      <c r="J43">
        <v>4</v>
      </c>
      <c r="K43">
        <v>9</v>
      </c>
      <c r="L43">
        <v>14</v>
      </c>
      <c r="M43" s="1" t="s">
        <v>24</v>
      </c>
      <c r="N43" s="2">
        <v>45992</v>
      </c>
      <c r="O43">
        <v>2025</v>
      </c>
      <c r="P43">
        <v>4</v>
      </c>
      <c r="Q43" s="1" t="s">
        <v>24</v>
      </c>
    </row>
    <row r="44" spans="1:17" x14ac:dyDescent="0.3">
      <c r="A44" s="1" t="s">
        <v>106</v>
      </c>
      <c r="B44" s="1" t="s">
        <v>18</v>
      </c>
      <c r="C44" s="1" t="s">
        <v>47</v>
      </c>
      <c r="D44" s="1" t="s">
        <v>51</v>
      </c>
      <c r="E44" s="1" t="s">
        <v>37</v>
      </c>
      <c r="F44" s="1" t="s">
        <v>22</v>
      </c>
      <c r="G44" s="2">
        <v>45956</v>
      </c>
      <c r="H44" s="2"/>
      <c r="I44" s="1" t="s">
        <v>28</v>
      </c>
      <c r="L44">
        <v>10</v>
      </c>
      <c r="M44" s="1" t="s">
        <v>40</v>
      </c>
      <c r="N44" s="2">
        <v>45931</v>
      </c>
      <c r="O44">
        <v>2025</v>
      </c>
      <c r="P44">
        <v>4</v>
      </c>
      <c r="Q44" s="1" t="s">
        <v>33</v>
      </c>
    </row>
    <row r="45" spans="1:17" x14ac:dyDescent="0.3">
      <c r="A45" s="1" t="s">
        <v>107</v>
      </c>
      <c r="B45" s="1" t="s">
        <v>58</v>
      </c>
      <c r="C45" s="1" t="s">
        <v>108</v>
      </c>
      <c r="D45" s="1" t="s">
        <v>20</v>
      </c>
      <c r="E45" s="1" t="s">
        <v>21</v>
      </c>
      <c r="F45" s="1" t="s">
        <v>61</v>
      </c>
      <c r="G45" s="2">
        <v>45678</v>
      </c>
      <c r="H45" s="2">
        <v>45686</v>
      </c>
      <c r="I45" s="1" t="s">
        <v>23</v>
      </c>
      <c r="J45">
        <v>3</v>
      </c>
      <c r="K45">
        <v>8</v>
      </c>
      <c r="L45">
        <v>14</v>
      </c>
      <c r="M45" s="1" t="s">
        <v>24</v>
      </c>
      <c r="N45" s="2">
        <v>45658</v>
      </c>
      <c r="O45">
        <v>2025</v>
      </c>
      <c r="P45">
        <v>1</v>
      </c>
      <c r="Q45" s="1" t="s">
        <v>24</v>
      </c>
    </row>
    <row r="46" spans="1:17" x14ac:dyDescent="0.3">
      <c r="A46" s="1" t="s">
        <v>109</v>
      </c>
      <c r="B46" s="1" t="s">
        <v>35</v>
      </c>
      <c r="C46" s="1" t="s">
        <v>50</v>
      </c>
      <c r="D46" s="1" t="s">
        <v>71</v>
      </c>
      <c r="E46" s="1" t="s">
        <v>37</v>
      </c>
      <c r="F46" s="1" t="s">
        <v>61</v>
      </c>
      <c r="G46" s="2">
        <v>45779</v>
      </c>
      <c r="H46" s="2"/>
      <c r="I46" s="1" t="s">
        <v>28</v>
      </c>
      <c r="L46">
        <v>3</v>
      </c>
      <c r="M46" s="1" t="s">
        <v>40</v>
      </c>
      <c r="N46" s="2">
        <v>45778</v>
      </c>
      <c r="O46">
        <v>2025</v>
      </c>
      <c r="P46">
        <v>2</v>
      </c>
      <c r="Q46" s="1" t="s">
        <v>33</v>
      </c>
    </row>
    <row r="47" spans="1:17" x14ac:dyDescent="0.3">
      <c r="A47" s="1" t="s">
        <v>110</v>
      </c>
      <c r="B47" s="1" t="s">
        <v>58</v>
      </c>
      <c r="C47" s="1" t="s">
        <v>70</v>
      </c>
      <c r="D47" s="1" t="s">
        <v>20</v>
      </c>
      <c r="E47" s="1" t="s">
        <v>48</v>
      </c>
      <c r="F47" s="1" t="s">
        <v>61</v>
      </c>
      <c r="G47" s="2">
        <v>45868</v>
      </c>
      <c r="H47" s="2"/>
      <c r="I47" s="1" t="s">
        <v>32</v>
      </c>
      <c r="L47">
        <v>14</v>
      </c>
      <c r="M47" s="1" t="s">
        <v>40</v>
      </c>
      <c r="N47" s="2">
        <v>45839</v>
      </c>
      <c r="O47">
        <v>2025</v>
      </c>
      <c r="P47">
        <v>3</v>
      </c>
      <c r="Q47" s="1" t="s">
        <v>33</v>
      </c>
    </row>
    <row r="48" spans="1:17" x14ac:dyDescent="0.3">
      <c r="A48" s="1" t="s">
        <v>111</v>
      </c>
      <c r="B48" s="1" t="s">
        <v>63</v>
      </c>
      <c r="C48" s="1" t="s">
        <v>74</v>
      </c>
      <c r="D48" s="1" t="s">
        <v>51</v>
      </c>
      <c r="E48" s="1" t="s">
        <v>21</v>
      </c>
      <c r="F48" s="1" t="s">
        <v>31</v>
      </c>
      <c r="G48" s="2">
        <v>45898</v>
      </c>
      <c r="H48" s="2">
        <v>45903</v>
      </c>
      <c r="I48" s="1" t="s">
        <v>32</v>
      </c>
      <c r="J48">
        <v>3</v>
      </c>
      <c r="K48">
        <v>5</v>
      </c>
      <c r="L48">
        <v>10</v>
      </c>
      <c r="M48" s="1" t="s">
        <v>24</v>
      </c>
      <c r="N48" s="2">
        <v>45870</v>
      </c>
      <c r="O48">
        <v>2025</v>
      </c>
      <c r="P48">
        <v>3</v>
      </c>
      <c r="Q48" s="1" t="s">
        <v>24</v>
      </c>
    </row>
    <row r="49" spans="1:17" x14ac:dyDescent="0.3">
      <c r="A49" s="1" t="s">
        <v>112</v>
      </c>
      <c r="B49" s="1" t="s">
        <v>35</v>
      </c>
      <c r="C49" s="1" t="s">
        <v>36</v>
      </c>
      <c r="D49" s="1" t="s">
        <v>20</v>
      </c>
      <c r="E49" s="1" t="s">
        <v>21</v>
      </c>
      <c r="F49" s="1" t="s">
        <v>38</v>
      </c>
      <c r="G49" s="2">
        <v>45862</v>
      </c>
      <c r="H49" s="2">
        <v>45870</v>
      </c>
      <c r="I49" s="1" t="s">
        <v>32</v>
      </c>
      <c r="J49">
        <v>3</v>
      </c>
      <c r="K49">
        <v>8</v>
      </c>
      <c r="L49">
        <v>14</v>
      </c>
      <c r="M49" s="1" t="s">
        <v>24</v>
      </c>
      <c r="N49" s="2">
        <v>45839</v>
      </c>
      <c r="O49">
        <v>2025</v>
      </c>
      <c r="P49">
        <v>3</v>
      </c>
      <c r="Q49" s="1" t="s">
        <v>24</v>
      </c>
    </row>
    <row r="50" spans="1:17" x14ac:dyDescent="0.3">
      <c r="A50" s="1" t="s">
        <v>113</v>
      </c>
      <c r="B50" s="1" t="s">
        <v>35</v>
      </c>
      <c r="C50" s="1" t="s">
        <v>50</v>
      </c>
      <c r="D50" s="1" t="s">
        <v>51</v>
      </c>
      <c r="E50" s="1" t="s">
        <v>37</v>
      </c>
      <c r="F50" s="1" t="s">
        <v>38</v>
      </c>
      <c r="G50" s="2">
        <v>45827</v>
      </c>
      <c r="H50" s="2"/>
      <c r="I50" s="1" t="s">
        <v>23</v>
      </c>
      <c r="L50">
        <v>10</v>
      </c>
      <c r="M50" s="1" t="s">
        <v>40</v>
      </c>
      <c r="N50" s="2">
        <v>45809</v>
      </c>
      <c r="O50">
        <v>2025</v>
      </c>
      <c r="P50">
        <v>2</v>
      </c>
      <c r="Q50" s="1" t="s">
        <v>33</v>
      </c>
    </row>
    <row r="51" spans="1:17" x14ac:dyDescent="0.3">
      <c r="A51" s="1" t="s">
        <v>114</v>
      </c>
      <c r="B51" s="1" t="s">
        <v>35</v>
      </c>
      <c r="C51" s="1" t="s">
        <v>36</v>
      </c>
      <c r="D51" s="1" t="s">
        <v>51</v>
      </c>
      <c r="E51" s="1" t="s">
        <v>48</v>
      </c>
      <c r="F51" s="1" t="s">
        <v>38</v>
      </c>
      <c r="G51" s="2">
        <v>45677</v>
      </c>
      <c r="H51" s="2"/>
      <c r="I51" s="1" t="s">
        <v>82</v>
      </c>
      <c r="L51">
        <v>10</v>
      </c>
      <c r="M51" s="1" t="s">
        <v>40</v>
      </c>
      <c r="N51" s="2">
        <v>45658</v>
      </c>
      <c r="O51">
        <v>2025</v>
      </c>
      <c r="P51">
        <v>1</v>
      </c>
      <c r="Q51" s="1" t="s">
        <v>33</v>
      </c>
    </row>
    <row r="52" spans="1:17" x14ac:dyDescent="0.3">
      <c r="A52" s="1" t="s">
        <v>115</v>
      </c>
      <c r="B52" s="1" t="s">
        <v>58</v>
      </c>
      <c r="C52" s="1" t="s">
        <v>59</v>
      </c>
      <c r="D52" s="1" t="s">
        <v>44</v>
      </c>
      <c r="E52" s="1" t="s">
        <v>21</v>
      </c>
      <c r="F52" s="1" t="s">
        <v>22</v>
      </c>
      <c r="G52" s="2">
        <v>45968</v>
      </c>
      <c r="H52" s="2">
        <v>45973</v>
      </c>
      <c r="I52" s="1" t="s">
        <v>28</v>
      </c>
      <c r="J52">
        <v>3</v>
      </c>
      <c r="K52">
        <v>5</v>
      </c>
      <c r="L52">
        <v>7</v>
      </c>
      <c r="M52" s="1" t="s">
        <v>24</v>
      </c>
      <c r="N52" s="2">
        <v>45962</v>
      </c>
      <c r="O52">
        <v>2025</v>
      </c>
      <c r="P52">
        <v>4</v>
      </c>
      <c r="Q52" s="1" t="s">
        <v>24</v>
      </c>
    </row>
    <row r="53" spans="1:17" x14ac:dyDescent="0.3">
      <c r="A53" s="1" t="s">
        <v>116</v>
      </c>
      <c r="B53" s="1" t="s">
        <v>35</v>
      </c>
      <c r="C53" s="1" t="s">
        <v>99</v>
      </c>
      <c r="D53" s="1" t="s">
        <v>44</v>
      </c>
      <c r="E53" s="1" t="s">
        <v>21</v>
      </c>
      <c r="F53" s="1" t="s">
        <v>61</v>
      </c>
      <c r="G53" s="2">
        <v>45933</v>
      </c>
      <c r="H53" s="2">
        <v>45939</v>
      </c>
      <c r="I53" s="1" t="s">
        <v>32</v>
      </c>
      <c r="J53">
        <v>5</v>
      </c>
      <c r="K53">
        <v>6</v>
      </c>
      <c r="L53">
        <v>7</v>
      </c>
      <c r="M53" s="1" t="s">
        <v>24</v>
      </c>
      <c r="N53" s="2">
        <v>45931</v>
      </c>
      <c r="O53">
        <v>2025</v>
      </c>
      <c r="P53">
        <v>4</v>
      </c>
      <c r="Q53" s="1" t="s">
        <v>24</v>
      </c>
    </row>
    <row r="54" spans="1:17" x14ac:dyDescent="0.3">
      <c r="A54" s="1" t="s">
        <v>117</v>
      </c>
      <c r="B54" s="1" t="s">
        <v>58</v>
      </c>
      <c r="C54" s="1" t="s">
        <v>70</v>
      </c>
      <c r="D54" s="1" t="s">
        <v>71</v>
      </c>
      <c r="E54" s="1" t="s">
        <v>48</v>
      </c>
      <c r="F54" s="1" t="s">
        <v>52</v>
      </c>
      <c r="G54" s="2">
        <v>45977</v>
      </c>
      <c r="H54" s="2"/>
      <c r="I54" s="1" t="s">
        <v>23</v>
      </c>
      <c r="L54">
        <v>3</v>
      </c>
      <c r="M54" s="1" t="s">
        <v>40</v>
      </c>
      <c r="N54" s="2">
        <v>45962</v>
      </c>
      <c r="O54">
        <v>2025</v>
      </c>
      <c r="P54">
        <v>4</v>
      </c>
      <c r="Q54" s="1" t="s">
        <v>33</v>
      </c>
    </row>
    <row r="55" spans="1:17" x14ac:dyDescent="0.3">
      <c r="A55" s="1" t="s">
        <v>118</v>
      </c>
      <c r="B55" s="1" t="s">
        <v>18</v>
      </c>
      <c r="C55" s="1" t="s">
        <v>56</v>
      </c>
      <c r="D55" s="1" t="s">
        <v>51</v>
      </c>
      <c r="E55" s="1" t="s">
        <v>21</v>
      </c>
      <c r="F55" s="1" t="s">
        <v>22</v>
      </c>
      <c r="G55" s="2">
        <v>45825</v>
      </c>
      <c r="H55" s="2">
        <v>45833</v>
      </c>
      <c r="I55" s="1" t="s">
        <v>28</v>
      </c>
      <c r="J55">
        <v>5</v>
      </c>
      <c r="K55">
        <v>8</v>
      </c>
      <c r="L55">
        <v>10</v>
      </c>
      <c r="M55" s="1" t="s">
        <v>24</v>
      </c>
      <c r="N55" s="2">
        <v>45809</v>
      </c>
      <c r="O55">
        <v>2025</v>
      </c>
      <c r="P55">
        <v>2</v>
      </c>
      <c r="Q55" s="1" t="s">
        <v>24</v>
      </c>
    </row>
    <row r="56" spans="1:17" x14ac:dyDescent="0.3">
      <c r="A56" s="1" t="s">
        <v>119</v>
      </c>
      <c r="B56" s="1" t="s">
        <v>63</v>
      </c>
      <c r="C56" s="1" t="s">
        <v>89</v>
      </c>
      <c r="D56" s="1" t="s">
        <v>51</v>
      </c>
      <c r="E56" s="1" t="s">
        <v>21</v>
      </c>
      <c r="F56" s="1" t="s">
        <v>38</v>
      </c>
      <c r="G56" s="2">
        <v>45747</v>
      </c>
      <c r="H56" s="2">
        <v>45753</v>
      </c>
      <c r="I56" s="1" t="s">
        <v>32</v>
      </c>
      <c r="J56">
        <v>4</v>
      </c>
      <c r="K56">
        <v>6</v>
      </c>
      <c r="L56">
        <v>10</v>
      </c>
      <c r="M56" s="1" t="s">
        <v>24</v>
      </c>
      <c r="N56" s="2">
        <v>45717</v>
      </c>
      <c r="O56">
        <v>2025</v>
      </c>
      <c r="P56">
        <v>1</v>
      </c>
      <c r="Q56" s="1" t="s">
        <v>24</v>
      </c>
    </row>
    <row r="57" spans="1:17" x14ac:dyDescent="0.3">
      <c r="A57" s="1" t="s">
        <v>120</v>
      </c>
      <c r="B57" s="1" t="s">
        <v>35</v>
      </c>
      <c r="C57" s="1" t="s">
        <v>36</v>
      </c>
      <c r="D57" s="1" t="s">
        <v>51</v>
      </c>
      <c r="E57" s="1" t="s">
        <v>21</v>
      </c>
      <c r="F57" s="1" t="s">
        <v>31</v>
      </c>
      <c r="G57" s="2">
        <v>45993</v>
      </c>
      <c r="H57" s="2">
        <v>46000</v>
      </c>
      <c r="I57" s="1" t="s">
        <v>28</v>
      </c>
      <c r="J57">
        <v>4</v>
      </c>
      <c r="K57">
        <v>7</v>
      </c>
      <c r="L57">
        <v>10</v>
      </c>
      <c r="M57" s="1" t="s">
        <v>24</v>
      </c>
      <c r="N57" s="2">
        <v>45992</v>
      </c>
      <c r="O57">
        <v>2025</v>
      </c>
      <c r="P57">
        <v>4</v>
      </c>
      <c r="Q57" s="1" t="s">
        <v>24</v>
      </c>
    </row>
    <row r="58" spans="1:17" x14ac:dyDescent="0.3">
      <c r="A58" s="1" t="s">
        <v>121</v>
      </c>
      <c r="B58" s="1" t="s">
        <v>26</v>
      </c>
      <c r="C58" s="1" t="s">
        <v>27</v>
      </c>
      <c r="D58" s="1" t="s">
        <v>44</v>
      </c>
      <c r="E58" s="1" t="s">
        <v>48</v>
      </c>
      <c r="F58" s="1" t="s">
        <v>38</v>
      </c>
      <c r="G58" s="2">
        <v>45744</v>
      </c>
      <c r="H58" s="2"/>
      <c r="I58" s="1" t="s">
        <v>32</v>
      </c>
      <c r="L58">
        <v>7</v>
      </c>
      <c r="M58" s="1" t="s">
        <v>40</v>
      </c>
      <c r="N58" s="2">
        <v>45717</v>
      </c>
      <c r="O58">
        <v>2025</v>
      </c>
      <c r="P58">
        <v>1</v>
      </c>
      <c r="Q58" s="1" t="s">
        <v>33</v>
      </c>
    </row>
    <row r="59" spans="1:17" x14ac:dyDescent="0.3">
      <c r="A59" s="1" t="s">
        <v>122</v>
      </c>
      <c r="B59" s="1" t="s">
        <v>26</v>
      </c>
      <c r="C59" s="1" t="s">
        <v>123</v>
      </c>
      <c r="D59" s="1" t="s">
        <v>20</v>
      </c>
      <c r="E59" s="1" t="s">
        <v>48</v>
      </c>
      <c r="F59" s="1" t="s">
        <v>52</v>
      </c>
      <c r="G59" s="2">
        <v>45778</v>
      </c>
      <c r="H59" s="2"/>
      <c r="I59" s="1" t="s">
        <v>28</v>
      </c>
      <c r="L59">
        <v>14</v>
      </c>
      <c r="M59" s="1" t="s">
        <v>40</v>
      </c>
      <c r="N59" s="2">
        <v>45778</v>
      </c>
      <c r="O59">
        <v>2025</v>
      </c>
      <c r="P59">
        <v>2</v>
      </c>
      <c r="Q59" s="1" t="s">
        <v>33</v>
      </c>
    </row>
    <row r="60" spans="1:17" x14ac:dyDescent="0.3">
      <c r="A60" s="1" t="s">
        <v>124</v>
      </c>
      <c r="B60" s="1" t="s">
        <v>63</v>
      </c>
      <c r="C60" s="1" t="s">
        <v>64</v>
      </c>
      <c r="D60" s="1" t="s">
        <v>20</v>
      </c>
      <c r="E60" s="1" t="s">
        <v>21</v>
      </c>
      <c r="F60" s="1" t="s">
        <v>38</v>
      </c>
      <c r="G60" s="2">
        <v>45901</v>
      </c>
      <c r="H60" s="2">
        <v>45913</v>
      </c>
      <c r="I60" s="1" t="s">
        <v>39</v>
      </c>
      <c r="J60">
        <v>5</v>
      </c>
      <c r="K60">
        <v>12</v>
      </c>
      <c r="L60">
        <v>14</v>
      </c>
      <c r="M60" s="1" t="s">
        <v>24</v>
      </c>
      <c r="N60" s="2">
        <v>45901</v>
      </c>
      <c r="O60">
        <v>2025</v>
      </c>
      <c r="P60">
        <v>3</v>
      </c>
      <c r="Q60" s="1" t="s">
        <v>24</v>
      </c>
    </row>
    <row r="61" spans="1:17" x14ac:dyDescent="0.3">
      <c r="A61" s="1" t="s">
        <v>125</v>
      </c>
      <c r="B61" s="1" t="s">
        <v>58</v>
      </c>
      <c r="C61" s="1" t="s">
        <v>108</v>
      </c>
      <c r="D61" s="1" t="s">
        <v>44</v>
      </c>
      <c r="E61" s="1" t="s">
        <v>21</v>
      </c>
      <c r="F61" s="1" t="s">
        <v>38</v>
      </c>
      <c r="G61" s="2">
        <v>45862</v>
      </c>
      <c r="H61" s="2">
        <v>45864</v>
      </c>
      <c r="I61" s="1" t="s">
        <v>23</v>
      </c>
      <c r="J61">
        <v>3</v>
      </c>
      <c r="K61">
        <v>2</v>
      </c>
      <c r="L61">
        <v>7</v>
      </c>
      <c r="M61" s="1" t="s">
        <v>24</v>
      </c>
      <c r="N61" s="2">
        <v>45839</v>
      </c>
      <c r="O61">
        <v>2025</v>
      </c>
      <c r="P61">
        <v>3</v>
      </c>
      <c r="Q61" s="1" t="s">
        <v>24</v>
      </c>
    </row>
    <row r="62" spans="1:17" x14ac:dyDescent="0.3">
      <c r="A62" s="1" t="s">
        <v>126</v>
      </c>
      <c r="B62" s="1" t="s">
        <v>58</v>
      </c>
      <c r="C62" s="1" t="s">
        <v>108</v>
      </c>
      <c r="D62" s="1" t="s">
        <v>20</v>
      </c>
      <c r="E62" s="1" t="s">
        <v>48</v>
      </c>
      <c r="F62" s="1" t="s">
        <v>31</v>
      </c>
      <c r="G62" s="2">
        <v>45923</v>
      </c>
      <c r="H62" s="2"/>
      <c r="I62" s="1" t="s">
        <v>23</v>
      </c>
      <c r="L62">
        <v>14</v>
      </c>
      <c r="M62" s="1" t="s">
        <v>40</v>
      </c>
      <c r="N62" s="2">
        <v>45901</v>
      </c>
      <c r="O62">
        <v>2025</v>
      </c>
      <c r="P62">
        <v>3</v>
      </c>
      <c r="Q62" s="1" t="s">
        <v>33</v>
      </c>
    </row>
    <row r="63" spans="1:17" x14ac:dyDescent="0.3">
      <c r="A63" s="1" t="s">
        <v>127</v>
      </c>
      <c r="B63" s="1" t="s">
        <v>26</v>
      </c>
      <c r="C63" s="1" t="s">
        <v>54</v>
      </c>
      <c r="D63" s="1" t="s">
        <v>44</v>
      </c>
      <c r="E63" s="1" t="s">
        <v>21</v>
      </c>
      <c r="F63" s="1" t="s">
        <v>22</v>
      </c>
      <c r="G63" s="2">
        <v>45726</v>
      </c>
      <c r="H63" s="2">
        <v>45733</v>
      </c>
      <c r="I63" s="1" t="s">
        <v>82</v>
      </c>
      <c r="J63">
        <v>4</v>
      </c>
      <c r="K63">
        <v>7</v>
      </c>
      <c r="L63">
        <v>7</v>
      </c>
      <c r="M63" s="1" t="s">
        <v>24</v>
      </c>
      <c r="N63" s="2">
        <v>45717</v>
      </c>
      <c r="O63">
        <v>2025</v>
      </c>
      <c r="P63">
        <v>1</v>
      </c>
      <c r="Q63" s="1" t="s">
        <v>24</v>
      </c>
    </row>
    <row r="64" spans="1:17" x14ac:dyDescent="0.3">
      <c r="A64" s="1" t="s">
        <v>128</v>
      </c>
      <c r="B64" s="1" t="s">
        <v>26</v>
      </c>
      <c r="C64" s="1" t="s">
        <v>123</v>
      </c>
      <c r="D64" s="1" t="s">
        <v>71</v>
      </c>
      <c r="E64" s="1" t="s">
        <v>48</v>
      </c>
      <c r="F64" s="1" t="s">
        <v>22</v>
      </c>
      <c r="G64" s="2">
        <v>45971</v>
      </c>
      <c r="H64" s="2"/>
      <c r="I64" s="1" t="s">
        <v>39</v>
      </c>
      <c r="L64">
        <v>3</v>
      </c>
      <c r="M64" s="1" t="s">
        <v>40</v>
      </c>
      <c r="N64" s="2">
        <v>45962</v>
      </c>
      <c r="O64">
        <v>2025</v>
      </c>
      <c r="P64">
        <v>4</v>
      </c>
      <c r="Q64" s="1" t="s">
        <v>33</v>
      </c>
    </row>
    <row r="65" spans="1:17" x14ac:dyDescent="0.3">
      <c r="A65" s="1" t="s">
        <v>129</v>
      </c>
      <c r="B65" s="1" t="s">
        <v>26</v>
      </c>
      <c r="C65" s="1" t="s">
        <v>27</v>
      </c>
      <c r="D65" s="1" t="s">
        <v>44</v>
      </c>
      <c r="E65" s="1" t="s">
        <v>37</v>
      </c>
      <c r="F65" s="1" t="s">
        <v>31</v>
      </c>
      <c r="G65" s="2">
        <v>45901</v>
      </c>
      <c r="H65" s="2"/>
      <c r="I65" s="1" t="s">
        <v>32</v>
      </c>
      <c r="L65">
        <v>7</v>
      </c>
      <c r="M65" s="1" t="s">
        <v>40</v>
      </c>
      <c r="N65" s="2">
        <v>45901</v>
      </c>
      <c r="O65">
        <v>2025</v>
      </c>
      <c r="P65">
        <v>3</v>
      </c>
      <c r="Q65" s="1" t="s">
        <v>33</v>
      </c>
    </row>
    <row r="66" spans="1:17" x14ac:dyDescent="0.3">
      <c r="A66" s="1" t="s">
        <v>130</v>
      </c>
      <c r="B66" s="1" t="s">
        <v>63</v>
      </c>
      <c r="C66" s="1" t="s">
        <v>84</v>
      </c>
      <c r="D66" s="1" t="s">
        <v>44</v>
      </c>
      <c r="E66" s="1" t="s">
        <v>21</v>
      </c>
      <c r="F66" s="1" t="s">
        <v>38</v>
      </c>
      <c r="G66" s="2">
        <v>45978</v>
      </c>
      <c r="H66" s="2">
        <v>45980</v>
      </c>
      <c r="I66" s="1" t="s">
        <v>32</v>
      </c>
      <c r="J66">
        <v>3</v>
      </c>
      <c r="K66">
        <v>2</v>
      </c>
      <c r="L66">
        <v>7</v>
      </c>
      <c r="M66" s="1" t="s">
        <v>24</v>
      </c>
      <c r="N66" s="2">
        <v>45962</v>
      </c>
      <c r="O66">
        <v>2025</v>
      </c>
      <c r="P66">
        <v>4</v>
      </c>
      <c r="Q66" s="1" t="s">
        <v>24</v>
      </c>
    </row>
    <row r="67" spans="1:17" x14ac:dyDescent="0.3">
      <c r="A67" s="1" t="s">
        <v>131</v>
      </c>
      <c r="B67" s="1" t="s">
        <v>63</v>
      </c>
      <c r="C67" s="1" t="s">
        <v>84</v>
      </c>
      <c r="D67" s="1" t="s">
        <v>51</v>
      </c>
      <c r="E67" s="1" t="s">
        <v>48</v>
      </c>
      <c r="F67" s="1" t="s">
        <v>61</v>
      </c>
      <c r="G67" s="2">
        <v>45699</v>
      </c>
      <c r="H67" s="2"/>
      <c r="I67" s="1" t="s">
        <v>28</v>
      </c>
      <c r="L67">
        <v>10</v>
      </c>
      <c r="M67" s="1" t="s">
        <v>40</v>
      </c>
      <c r="N67" s="2">
        <v>45689</v>
      </c>
      <c r="O67">
        <v>2025</v>
      </c>
      <c r="P67">
        <v>1</v>
      </c>
      <c r="Q67" s="1" t="s">
        <v>33</v>
      </c>
    </row>
    <row r="68" spans="1:17" x14ac:dyDescent="0.3">
      <c r="A68" s="1" t="s">
        <v>132</v>
      </c>
      <c r="B68" s="1" t="s">
        <v>63</v>
      </c>
      <c r="C68" s="1" t="s">
        <v>89</v>
      </c>
      <c r="D68" s="1" t="s">
        <v>51</v>
      </c>
      <c r="E68" s="1" t="s">
        <v>21</v>
      </c>
      <c r="F68" s="1" t="s">
        <v>22</v>
      </c>
      <c r="G68" s="2">
        <v>45690</v>
      </c>
      <c r="H68" s="2">
        <v>45698</v>
      </c>
      <c r="I68" s="1" t="s">
        <v>39</v>
      </c>
      <c r="J68">
        <v>4</v>
      </c>
      <c r="K68">
        <v>8</v>
      </c>
      <c r="L68">
        <v>10</v>
      </c>
      <c r="M68" s="1" t="s">
        <v>24</v>
      </c>
      <c r="N68" s="2">
        <v>45689</v>
      </c>
      <c r="O68">
        <v>2025</v>
      </c>
      <c r="P68">
        <v>1</v>
      </c>
      <c r="Q68" s="1" t="s">
        <v>24</v>
      </c>
    </row>
    <row r="69" spans="1:17" x14ac:dyDescent="0.3">
      <c r="A69" s="1" t="s">
        <v>133</v>
      </c>
      <c r="B69" s="1" t="s">
        <v>58</v>
      </c>
      <c r="C69" s="1" t="s">
        <v>70</v>
      </c>
      <c r="D69" s="1" t="s">
        <v>20</v>
      </c>
      <c r="E69" s="1" t="s">
        <v>21</v>
      </c>
      <c r="F69" s="1" t="s">
        <v>22</v>
      </c>
      <c r="G69" s="2">
        <v>45957</v>
      </c>
      <c r="H69" s="2">
        <v>45971</v>
      </c>
      <c r="I69" s="1" t="s">
        <v>39</v>
      </c>
      <c r="J69">
        <v>1</v>
      </c>
      <c r="K69">
        <v>14</v>
      </c>
      <c r="L69">
        <v>14</v>
      </c>
      <c r="M69" s="1" t="s">
        <v>24</v>
      </c>
      <c r="N69" s="2">
        <v>45931</v>
      </c>
      <c r="O69">
        <v>2025</v>
      </c>
      <c r="P69">
        <v>4</v>
      </c>
      <c r="Q69" s="1" t="s">
        <v>24</v>
      </c>
    </row>
    <row r="70" spans="1:17" x14ac:dyDescent="0.3">
      <c r="A70" s="1" t="s">
        <v>134</v>
      </c>
      <c r="B70" s="1" t="s">
        <v>58</v>
      </c>
      <c r="C70" s="1" t="s">
        <v>70</v>
      </c>
      <c r="D70" s="1" t="s">
        <v>71</v>
      </c>
      <c r="E70" s="1" t="s">
        <v>21</v>
      </c>
      <c r="F70" s="1" t="s">
        <v>22</v>
      </c>
      <c r="G70" s="2">
        <v>45857</v>
      </c>
      <c r="H70" s="2">
        <v>45860</v>
      </c>
      <c r="I70" s="1" t="s">
        <v>82</v>
      </c>
      <c r="J70">
        <v>4</v>
      </c>
      <c r="K70">
        <v>3</v>
      </c>
      <c r="L70">
        <v>3</v>
      </c>
      <c r="M70" s="1" t="s">
        <v>24</v>
      </c>
      <c r="N70" s="2">
        <v>45839</v>
      </c>
      <c r="O70">
        <v>2025</v>
      </c>
      <c r="P70">
        <v>3</v>
      </c>
      <c r="Q70" s="1" t="s">
        <v>24</v>
      </c>
    </row>
    <row r="71" spans="1:17" x14ac:dyDescent="0.3">
      <c r="A71" s="1" t="s">
        <v>135</v>
      </c>
      <c r="B71" s="1" t="s">
        <v>63</v>
      </c>
      <c r="C71" s="1" t="s">
        <v>89</v>
      </c>
      <c r="D71" s="1" t="s">
        <v>20</v>
      </c>
      <c r="E71" s="1" t="s">
        <v>21</v>
      </c>
      <c r="F71" s="1" t="s">
        <v>31</v>
      </c>
      <c r="G71" s="2">
        <v>45672</v>
      </c>
      <c r="H71" s="2">
        <v>45681</v>
      </c>
      <c r="I71" s="1" t="s">
        <v>28</v>
      </c>
      <c r="J71">
        <v>4</v>
      </c>
      <c r="K71">
        <v>9</v>
      </c>
      <c r="L71">
        <v>14</v>
      </c>
      <c r="M71" s="1" t="s">
        <v>24</v>
      </c>
      <c r="N71" s="2">
        <v>45658</v>
      </c>
      <c r="O71">
        <v>2025</v>
      </c>
      <c r="P71">
        <v>1</v>
      </c>
      <c r="Q71" s="1" t="s">
        <v>24</v>
      </c>
    </row>
    <row r="72" spans="1:17" x14ac:dyDescent="0.3">
      <c r="A72" s="1" t="s">
        <v>136</v>
      </c>
      <c r="B72" s="1" t="s">
        <v>58</v>
      </c>
      <c r="C72" s="1" t="s">
        <v>108</v>
      </c>
      <c r="D72" s="1" t="s">
        <v>71</v>
      </c>
      <c r="E72" s="1" t="s">
        <v>21</v>
      </c>
      <c r="F72" s="1" t="s">
        <v>31</v>
      </c>
      <c r="G72" s="2">
        <v>45859</v>
      </c>
      <c r="H72" s="2">
        <v>45859</v>
      </c>
      <c r="I72" s="1" t="s">
        <v>28</v>
      </c>
      <c r="J72">
        <v>2</v>
      </c>
      <c r="K72">
        <v>0</v>
      </c>
      <c r="L72">
        <v>3</v>
      </c>
      <c r="M72" s="1" t="s">
        <v>24</v>
      </c>
      <c r="N72" s="2">
        <v>45839</v>
      </c>
      <c r="O72">
        <v>2025</v>
      </c>
      <c r="P72">
        <v>3</v>
      </c>
      <c r="Q72" s="1" t="s">
        <v>24</v>
      </c>
    </row>
    <row r="73" spans="1:17" x14ac:dyDescent="0.3">
      <c r="A73" s="1" t="s">
        <v>137</v>
      </c>
      <c r="B73" s="1" t="s">
        <v>58</v>
      </c>
      <c r="C73" s="1" t="s">
        <v>108</v>
      </c>
      <c r="D73" s="1" t="s">
        <v>20</v>
      </c>
      <c r="E73" s="1" t="s">
        <v>21</v>
      </c>
      <c r="F73" s="1" t="s">
        <v>31</v>
      </c>
      <c r="G73" s="2">
        <v>45766</v>
      </c>
      <c r="H73" s="2">
        <v>45776</v>
      </c>
      <c r="I73" s="1" t="s">
        <v>32</v>
      </c>
      <c r="J73">
        <v>4</v>
      </c>
      <c r="K73">
        <v>10</v>
      </c>
      <c r="L73">
        <v>14</v>
      </c>
      <c r="M73" s="1" t="s">
        <v>24</v>
      </c>
      <c r="N73" s="2">
        <v>45748</v>
      </c>
      <c r="O73">
        <v>2025</v>
      </c>
      <c r="P73">
        <v>2</v>
      </c>
      <c r="Q73" s="1" t="s">
        <v>24</v>
      </c>
    </row>
    <row r="74" spans="1:17" x14ac:dyDescent="0.3">
      <c r="A74" s="1" t="s">
        <v>138</v>
      </c>
      <c r="B74" s="1" t="s">
        <v>58</v>
      </c>
      <c r="C74" s="1" t="s">
        <v>59</v>
      </c>
      <c r="D74" s="1" t="s">
        <v>44</v>
      </c>
      <c r="E74" s="1" t="s">
        <v>21</v>
      </c>
      <c r="F74" s="1" t="s">
        <v>52</v>
      </c>
      <c r="G74" s="2">
        <v>45934</v>
      </c>
      <c r="H74" s="2">
        <v>45935</v>
      </c>
      <c r="I74" s="1" t="s">
        <v>28</v>
      </c>
      <c r="J74">
        <v>5</v>
      </c>
      <c r="K74">
        <v>1</v>
      </c>
      <c r="L74">
        <v>7</v>
      </c>
      <c r="M74" s="1" t="s">
        <v>24</v>
      </c>
      <c r="N74" s="2">
        <v>45931</v>
      </c>
      <c r="O74">
        <v>2025</v>
      </c>
      <c r="P74">
        <v>4</v>
      </c>
      <c r="Q74" s="1" t="s">
        <v>24</v>
      </c>
    </row>
    <row r="75" spans="1:17" x14ac:dyDescent="0.3">
      <c r="A75" s="1" t="s">
        <v>139</v>
      </c>
      <c r="B75" s="1" t="s">
        <v>18</v>
      </c>
      <c r="C75" s="1" t="s">
        <v>19</v>
      </c>
      <c r="D75" s="1" t="s">
        <v>44</v>
      </c>
      <c r="E75" s="1" t="s">
        <v>21</v>
      </c>
      <c r="F75" s="1" t="s">
        <v>38</v>
      </c>
      <c r="G75" s="2">
        <v>45673</v>
      </c>
      <c r="H75" s="2">
        <v>45675</v>
      </c>
      <c r="I75" s="1" t="s">
        <v>82</v>
      </c>
      <c r="J75">
        <v>3</v>
      </c>
      <c r="K75">
        <v>2</v>
      </c>
      <c r="L75">
        <v>7</v>
      </c>
      <c r="M75" s="1" t="s">
        <v>24</v>
      </c>
      <c r="N75" s="2">
        <v>45658</v>
      </c>
      <c r="O75">
        <v>2025</v>
      </c>
      <c r="P75">
        <v>1</v>
      </c>
      <c r="Q75" s="1" t="s">
        <v>24</v>
      </c>
    </row>
    <row r="76" spans="1:17" x14ac:dyDescent="0.3">
      <c r="A76" s="1" t="s">
        <v>140</v>
      </c>
      <c r="B76" s="1" t="s">
        <v>63</v>
      </c>
      <c r="C76" s="1" t="s">
        <v>64</v>
      </c>
      <c r="D76" s="1" t="s">
        <v>20</v>
      </c>
      <c r="E76" s="1" t="s">
        <v>21</v>
      </c>
      <c r="F76" s="1" t="s">
        <v>52</v>
      </c>
      <c r="G76" s="2">
        <v>45946</v>
      </c>
      <c r="H76" s="2">
        <v>45952</v>
      </c>
      <c r="I76" s="1" t="s">
        <v>32</v>
      </c>
      <c r="J76">
        <v>4</v>
      </c>
      <c r="K76">
        <v>6</v>
      </c>
      <c r="L76">
        <v>14</v>
      </c>
      <c r="M76" s="1" t="s">
        <v>24</v>
      </c>
      <c r="N76" s="2">
        <v>45931</v>
      </c>
      <c r="O76">
        <v>2025</v>
      </c>
      <c r="P76">
        <v>4</v>
      </c>
      <c r="Q76" s="1" t="s">
        <v>24</v>
      </c>
    </row>
    <row r="77" spans="1:17" x14ac:dyDescent="0.3">
      <c r="A77" s="1" t="s">
        <v>141</v>
      </c>
      <c r="B77" s="1" t="s">
        <v>63</v>
      </c>
      <c r="C77" s="1" t="s">
        <v>74</v>
      </c>
      <c r="D77" s="1" t="s">
        <v>44</v>
      </c>
      <c r="E77" s="1" t="s">
        <v>21</v>
      </c>
      <c r="F77" s="1" t="s">
        <v>52</v>
      </c>
      <c r="G77" s="2">
        <v>45817</v>
      </c>
      <c r="H77" s="2">
        <v>45818</v>
      </c>
      <c r="I77" s="1" t="s">
        <v>82</v>
      </c>
      <c r="J77">
        <v>4</v>
      </c>
      <c r="K77">
        <v>1</v>
      </c>
      <c r="L77">
        <v>7</v>
      </c>
      <c r="M77" s="1" t="s">
        <v>24</v>
      </c>
      <c r="N77" s="2">
        <v>45809</v>
      </c>
      <c r="O77">
        <v>2025</v>
      </c>
      <c r="P77">
        <v>2</v>
      </c>
      <c r="Q77" s="1" t="s">
        <v>24</v>
      </c>
    </row>
    <row r="78" spans="1:17" x14ac:dyDescent="0.3">
      <c r="A78" s="1" t="s">
        <v>142</v>
      </c>
      <c r="B78" s="1" t="s">
        <v>18</v>
      </c>
      <c r="C78" s="1" t="s">
        <v>30</v>
      </c>
      <c r="D78" s="1" t="s">
        <v>51</v>
      </c>
      <c r="E78" s="1" t="s">
        <v>21</v>
      </c>
      <c r="F78" s="1" t="s">
        <v>52</v>
      </c>
      <c r="G78" s="2">
        <v>45696</v>
      </c>
      <c r="H78" s="2">
        <v>45701</v>
      </c>
      <c r="I78" s="1" t="s">
        <v>82</v>
      </c>
      <c r="J78">
        <v>2</v>
      </c>
      <c r="K78">
        <v>5</v>
      </c>
      <c r="L78">
        <v>10</v>
      </c>
      <c r="M78" s="1" t="s">
        <v>24</v>
      </c>
      <c r="N78" s="2">
        <v>45689</v>
      </c>
      <c r="O78">
        <v>2025</v>
      </c>
      <c r="P78">
        <v>1</v>
      </c>
      <c r="Q78" s="1" t="s">
        <v>24</v>
      </c>
    </row>
    <row r="79" spans="1:17" x14ac:dyDescent="0.3">
      <c r="A79" s="1" t="s">
        <v>143</v>
      </c>
      <c r="B79" s="1" t="s">
        <v>42</v>
      </c>
      <c r="C79" s="1" t="s">
        <v>81</v>
      </c>
      <c r="D79" s="1" t="s">
        <v>51</v>
      </c>
      <c r="E79" s="1" t="s">
        <v>21</v>
      </c>
      <c r="F79" s="1" t="s">
        <v>52</v>
      </c>
      <c r="G79" s="2">
        <v>45847</v>
      </c>
      <c r="H79" s="2">
        <v>45850</v>
      </c>
      <c r="I79" s="1" t="s">
        <v>23</v>
      </c>
      <c r="J79">
        <v>4</v>
      </c>
      <c r="K79">
        <v>3</v>
      </c>
      <c r="L79">
        <v>10</v>
      </c>
      <c r="M79" s="1" t="s">
        <v>24</v>
      </c>
      <c r="N79" s="2">
        <v>45839</v>
      </c>
      <c r="O79">
        <v>2025</v>
      </c>
      <c r="P79">
        <v>3</v>
      </c>
      <c r="Q79" s="1" t="s">
        <v>24</v>
      </c>
    </row>
    <row r="80" spans="1:17" x14ac:dyDescent="0.3">
      <c r="A80" s="1" t="s">
        <v>144</v>
      </c>
      <c r="B80" s="1" t="s">
        <v>58</v>
      </c>
      <c r="C80" s="1" t="s">
        <v>145</v>
      </c>
      <c r="D80" s="1" t="s">
        <v>20</v>
      </c>
      <c r="E80" s="1" t="s">
        <v>48</v>
      </c>
      <c r="F80" s="1" t="s">
        <v>31</v>
      </c>
      <c r="G80" s="2">
        <v>45983</v>
      </c>
      <c r="H80" s="2"/>
      <c r="I80" s="1" t="s">
        <v>28</v>
      </c>
      <c r="L80">
        <v>14</v>
      </c>
      <c r="M80" s="1" t="s">
        <v>40</v>
      </c>
      <c r="N80" s="2">
        <v>45962</v>
      </c>
      <c r="O80">
        <v>2025</v>
      </c>
      <c r="P80">
        <v>4</v>
      </c>
      <c r="Q80" s="1" t="s">
        <v>33</v>
      </c>
    </row>
    <row r="81" spans="1:17" x14ac:dyDescent="0.3">
      <c r="A81" s="1" t="s">
        <v>146</v>
      </c>
      <c r="B81" s="1" t="s">
        <v>58</v>
      </c>
      <c r="C81" s="1" t="s">
        <v>108</v>
      </c>
      <c r="D81" s="1" t="s">
        <v>44</v>
      </c>
      <c r="E81" s="1" t="s">
        <v>48</v>
      </c>
      <c r="F81" s="1" t="s">
        <v>22</v>
      </c>
      <c r="G81" s="2">
        <v>45796</v>
      </c>
      <c r="H81" s="2"/>
      <c r="I81" s="1" t="s">
        <v>82</v>
      </c>
      <c r="L81">
        <v>7</v>
      </c>
      <c r="M81" s="1" t="s">
        <v>40</v>
      </c>
      <c r="N81" s="2">
        <v>45778</v>
      </c>
      <c r="O81">
        <v>2025</v>
      </c>
      <c r="P81">
        <v>2</v>
      </c>
      <c r="Q81" s="1" t="s">
        <v>33</v>
      </c>
    </row>
    <row r="82" spans="1:17" x14ac:dyDescent="0.3">
      <c r="A82" s="1" t="s">
        <v>147</v>
      </c>
      <c r="B82" s="1" t="s">
        <v>58</v>
      </c>
      <c r="C82" s="1" t="s">
        <v>145</v>
      </c>
      <c r="D82" s="1" t="s">
        <v>51</v>
      </c>
      <c r="E82" s="1" t="s">
        <v>21</v>
      </c>
      <c r="F82" s="1" t="s">
        <v>38</v>
      </c>
      <c r="G82" s="2">
        <v>45795</v>
      </c>
      <c r="H82" s="2">
        <v>45802</v>
      </c>
      <c r="I82" s="1" t="s">
        <v>32</v>
      </c>
      <c r="J82">
        <v>5</v>
      </c>
      <c r="K82">
        <v>7</v>
      </c>
      <c r="L82">
        <v>10</v>
      </c>
      <c r="M82" s="1" t="s">
        <v>24</v>
      </c>
      <c r="N82" s="2">
        <v>45778</v>
      </c>
      <c r="O82">
        <v>2025</v>
      </c>
      <c r="P82">
        <v>2</v>
      </c>
      <c r="Q82" s="1" t="s">
        <v>24</v>
      </c>
    </row>
    <row r="83" spans="1:17" x14ac:dyDescent="0.3">
      <c r="A83" s="1" t="s">
        <v>148</v>
      </c>
      <c r="B83" s="1" t="s">
        <v>58</v>
      </c>
      <c r="C83" s="1" t="s">
        <v>108</v>
      </c>
      <c r="D83" s="1" t="s">
        <v>44</v>
      </c>
      <c r="E83" s="1" t="s">
        <v>21</v>
      </c>
      <c r="F83" s="1" t="s">
        <v>31</v>
      </c>
      <c r="G83" s="2">
        <v>46000</v>
      </c>
      <c r="H83" s="2">
        <v>46004</v>
      </c>
      <c r="I83" s="1" t="s">
        <v>32</v>
      </c>
      <c r="J83">
        <v>4</v>
      </c>
      <c r="K83">
        <v>4</v>
      </c>
      <c r="L83">
        <v>7</v>
      </c>
      <c r="M83" s="1" t="s">
        <v>24</v>
      </c>
      <c r="N83" s="2">
        <v>45992</v>
      </c>
      <c r="O83">
        <v>2025</v>
      </c>
      <c r="P83">
        <v>4</v>
      </c>
      <c r="Q83" s="1" t="s">
        <v>24</v>
      </c>
    </row>
    <row r="84" spans="1:17" x14ac:dyDescent="0.3">
      <c r="A84" s="1" t="s">
        <v>149</v>
      </c>
      <c r="B84" s="1" t="s">
        <v>63</v>
      </c>
      <c r="C84" s="1" t="s">
        <v>89</v>
      </c>
      <c r="D84" s="1" t="s">
        <v>20</v>
      </c>
      <c r="E84" s="1" t="s">
        <v>37</v>
      </c>
      <c r="F84" s="1" t="s">
        <v>52</v>
      </c>
      <c r="G84" s="2">
        <v>45832</v>
      </c>
      <c r="H84" s="2"/>
      <c r="I84" s="1" t="s">
        <v>82</v>
      </c>
      <c r="L84">
        <v>14</v>
      </c>
      <c r="M84" s="1" t="s">
        <v>40</v>
      </c>
      <c r="N84" s="2">
        <v>45809</v>
      </c>
      <c r="O84">
        <v>2025</v>
      </c>
      <c r="P84">
        <v>2</v>
      </c>
      <c r="Q84" s="1" t="s">
        <v>33</v>
      </c>
    </row>
    <row r="85" spans="1:17" x14ac:dyDescent="0.3">
      <c r="A85" s="1" t="s">
        <v>150</v>
      </c>
      <c r="B85" s="1" t="s">
        <v>18</v>
      </c>
      <c r="C85" s="1" t="s">
        <v>56</v>
      </c>
      <c r="D85" s="1" t="s">
        <v>51</v>
      </c>
      <c r="E85" s="1" t="s">
        <v>21</v>
      </c>
      <c r="F85" s="1" t="s">
        <v>31</v>
      </c>
      <c r="G85" s="2">
        <v>45755</v>
      </c>
      <c r="H85" s="2">
        <v>45758</v>
      </c>
      <c r="I85" s="1" t="s">
        <v>39</v>
      </c>
      <c r="J85">
        <v>3</v>
      </c>
      <c r="K85">
        <v>3</v>
      </c>
      <c r="L85">
        <v>10</v>
      </c>
      <c r="M85" s="1" t="s">
        <v>24</v>
      </c>
      <c r="N85" s="2">
        <v>45748</v>
      </c>
      <c r="O85">
        <v>2025</v>
      </c>
      <c r="P85">
        <v>2</v>
      </c>
      <c r="Q85" s="1" t="s">
        <v>24</v>
      </c>
    </row>
    <row r="86" spans="1:17" x14ac:dyDescent="0.3">
      <c r="A86" s="1" t="s">
        <v>151</v>
      </c>
      <c r="B86" s="1" t="s">
        <v>26</v>
      </c>
      <c r="C86" s="1" t="s">
        <v>54</v>
      </c>
      <c r="D86" s="1" t="s">
        <v>51</v>
      </c>
      <c r="E86" s="1" t="s">
        <v>21</v>
      </c>
      <c r="F86" s="1" t="s">
        <v>38</v>
      </c>
      <c r="G86" s="2">
        <v>45909</v>
      </c>
      <c r="H86" s="2">
        <v>45918</v>
      </c>
      <c r="I86" s="1" t="s">
        <v>32</v>
      </c>
      <c r="J86">
        <v>5</v>
      </c>
      <c r="K86">
        <v>9</v>
      </c>
      <c r="L86">
        <v>10</v>
      </c>
      <c r="M86" s="1" t="s">
        <v>24</v>
      </c>
      <c r="N86" s="2">
        <v>45901</v>
      </c>
      <c r="O86">
        <v>2025</v>
      </c>
      <c r="P86">
        <v>3</v>
      </c>
      <c r="Q86" s="1" t="s">
        <v>24</v>
      </c>
    </row>
    <row r="87" spans="1:17" x14ac:dyDescent="0.3">
      <c r="A87" s="1" t="s">
        <v>152</v>
      </c>
      <c r="B87" s="1" t="s">
        <v>63</v>
      </c>
      <c r="C87" s="1" t="s">
        <v>89</v>
      </c>
      <c r="D87" s="1" t="s">
        <v>51</v>
      </c>
      <c r="E87" s="1" t="s">
        <v>21</v>
      </c>
      <c r="F87" s="1" t="s">
        <v>22</v>
      </c>
      <c r="G87" s="2">
        <v>45955</v>
      </c>
      <c r="H87" s="2">
        <v>45962</v>
      </c>
      <c r="I87" s="1" t="s">
        <v>32</v>
      </c>
      <c r="J87">
        <v>4</v>
      </c>
      <c r="K87">
        <v>7</v>
      </c>
      <c r="L87">
        <v>10</v>
      </c>
      <c r="M87" s="1" t="s">
        <v>24</v>
      </c>
      <c r="N87" s="2">
        <v>45931</v>
      </c>
      <c r="O87">
        <v>2025</v>
      </c>
      <c r="P87">
        <v>4</v>
      </c>
      <c r="Q87" s="1" t="s">
        <v>24</v>
      </c>
    </row>
    <row r="88" spans="1:17" x14ac:dyDescent="0.3">
      <c r="A88" s="1" t="s">
        <v>153</v>
      </c>
      <c r="B88" s="1" t="s">
        <v>58</v>
      </c>
      <c r="C88" s="1" t="s">
        <v>59</v>
      </c>
      <c r="D88" s="1" t="s">
        <v>51</v>
      </c>
      <c r="E88" s="1" t="s">
        <v>21</v>
      </c>
      <c r="F88" s="1" t="s">
        <v>61</v>
      </c>
      <c r="G88" s="2">
        <v>45814</v>
      </c>
      <c r="H88" s="2">
        <v>45820</v>
      </c>
      <c r="I88" s="1" t="s">
        <v>32</v>
      </c>
      <c r="J88">
        <v>3</v>
      </c>
      <c r="K88">
        <v>6</v>
      </c>
      <c r="L88">
        <v>10</v>
      </c>
      <c r="M88" s="1" t="s">
        <v>24</v>
      </c>
      <c r="N88" s="2">
        <v>45809</v>
      </c>
      <c r="O88">
        <v>2025</v>
      </c>
      <c r="P88">
        <v>2</v>
      </c>
      <c r="Q88" s="1" t="s">
        <v>24</v>
      </c>
    </row>
    <row r="89" spans="1:17" x14ac:dyDescent="0.3">
      <c r="A89" s="1" t="s">
        <v>154</v>
      </c>
      <c r="B89" s="1" t="s">
        <v>42</v>
      </c>
      <c r="C89" s="1" t="s">
        <v>76</v>
      </c>
      <c r="D89" s="1" t="s">
        <v>20</v>
      </c>
      <c r="E89" s="1" t="s">
        <v>21</v>
      </c>
      <c r="F89" s="1" t="s">
        <v>22</v>
      </c>
      <c r="G89" s="2">
        <v>45799</v>
      </c>
      <c r="H89" s="2">
        <v>45813</v>
      </c>
      <c r="I89" s="1" t="s">
        <v>82</v>
      </c>
      <c r="J89">
        <v>4</v>
      </c>
      <c r="K89">
        <v>14</v>
      </c>
      <c r="L89">
        <v>14</v>
      </c>
      <c r="M89" s="1" t="s">
        <v>24</v>
      </c>
      <c r="N89" s="2">
        <v>45778</v>
      </c>
      <c r="O89">
        <v>2025</v>
      </c>
      <c r="P89">
        <v>2</v>
      </c>
      <c r="Q89" s="1" t="s">
        <v>24</v>
      </c>
    </row>
    <row r="90" spans="1:17" x14ac:dyDescent="0.3">
      <c r="A90" s="1" t="s">
        <v>155</v>
      </c>
      <c r="B90" s="1" t="s">
        <v>35</v>
      </c>
      <c r="C90" s="1" t="s">
        <v>99</v>
      </c>
      <c r="D90" s="1" t="s">
        <v>44</v>
      </c>
      <c r="E90" s="1" t="s">
        <v>21</v>
      </c>
      <c r="F90" s="1" t="s">
        <v>22</v>
      </c>
      <c r="G90" s="2">
        <v>45842</v>
      </c>
      <c r="H90" s="2">
        <v>45844</v>
      </c>
      <c r="I90" s="1" t="s">
        <v>28</v>
      </c>
      <c r="J90">
        <v>4</v>
      </c>
      <c r="K90">
        <v>2</v>
      </c>
      <c r="L90">
        <v>7</v>
      </c>
      <c r="M90" s="1" t="s">
        <v>24</v>
      </c>
      <c r="N90" s="2">
        <v>45839</v>
      </c>
      <c r="O90">
        <v>2025</v>
      </c>
      <c r="P90">
        <v>3</v>
      </c>
      <c r="Q90" s="1" t="s">
        <v>24</v>
      </c>
    </row>
    <row r="91" spans="1:17" x14ac:dyDescent="0.3">
      <c r="A91" s="1" t="s">
        <v>156</v>
      </c>
      <c r="B91" s="1" t="s">
        <v>35</v>
      </c>
      <c r="C91" s="1" t="s">
        <v>99</v>
      </c>
      <c r="D91" s="1" t="s">
        <v>71</v>
      </c>
      <c r="E91" s="1" t="s">
        <v>21</v>
      </c>
      <c r="F91" s="1" t="s">
        <v>31</v>
      </c>
      <c r="G91" s="2">
        <v>46015</v>
      </c>
      <c r="H91" s="2">
        <v>46016</v>
      </c>
      <c r="I91" s="1" t="s">
        <v>23</v>
      </c>
      <c r="J91">
        <v>4</v>
      </c>
      <c r="K91">
        <v>1</v>
      </c>
      <c r="L91">
        <v>3</v>
      </c>
      <c r="M91" s="1" t="s">
        <v>24</v>
      </c>
      <c r="N91" s="2">
        <v>45992</v>
      </c>
      <c r="O91">
        <v>2025</v>
      </c>
      <c r="P91">
        <v>4</v>
      </c>
      <c r="Q91" s="1" t="s">
        <v>24</v>
      </c>
    </row>
    <row r="92" spans="1:17" x14ac:dyDescent="0.3">
      <c r="A92" s="1" t="s">
        <v>157</v>
      </c>
      <c r="B92" s="1" t="s">
        <v>42</v>
      </c>
      <c r="C92" s="1" t="s">
        <v>43</v>
      </c>
      <c r="D92" s="1" t="s">
        <v>51</v>
      </c>
      <c r="E92" s="1" t="s">
        <v>21</v>
      </c>
      <c r="F92" s="1" t="s">
        <v>31</v>
      </c>
      <c r="G92" s="2">
        <v>45752</v>
      </c>
      <c r="H92" s="2">
        <v>45754</v>
      </c>
      <c r="I92" s="1" t="s">
        <v>23</v>
      </c>
      <c r="J92">
        <v>3</v>
      </c>
      <c r="K92">
        <v>2</v>
      </c>
      <c r="L92">
        <v>10</v>
      </c>
      <c r="M92" s="1" t="s">
        <v>24</v>
      </c>
      <c r="N92" s="2">
        <v>45748</v>
      </c>
      <c r="O92">
        <v>2025</v>
      </c>
      <c r="P92">
        <v>2</v>
      </c>
      <c r="Q92" s="1" t="s">
        <v>24</v>
      </c>
    </row>
    <row r="93" spans="1:17" x14ac:dyDescent="0.3">
      <c r="A93" s="1" t="s">
        <v>158</v>
      </c>
      <c r="B93" s="1" t="s">
        <v>42</v>
      </c>
      <c r="C93" s="1" t="s">
        <v>87</v>
      </c>
      <c r="D93" s="1" t="s">
        <v>51</v>
      </c>
      <c r="E93" s="1" t="s">
        <v>21</v>
      </c>
      <c r="F93" s="1" t="s">
        <v>22</v>
      </c>
      <c r="G93" s="2">
        <v>46009</v>
      </c>
      <c r="H93" s="2">
        <v>46011</v>
      </c>
      <c r="I93" s="1" t="s">
        <v>32</v>
      </c>
      <c r="J93">
        <v>3</v>
      </c>
      <c r="K93">
        <v>2</v>
      </c>
      <c r="L93">
        <v>10</v>
      </c>
      <c r="M93" s="1" t="s">
        <v>24</v>
      </c>
      <c r="N93" s="2">
        <v>45992</v>
      </c>
      <c r="O93">
        <v>2025</v>
      </c>
      <c r="P93">
        <v>4</v>
      </c>
      <c r="Q93" s="1" t="s">
        <v>24</v>
      </c>
    </row>
    <row r="94" spans="1:17" x14ac:dyDescent="0.3">
      <c r="A94" s="1" t="s">
        <v>159</v>
      </c>
      <c r="B94" s="1" t="s">
        <v>42</v>
      </c>
      <c r="C94" s="1" t="s">
        <v>76</v>
      </c>
      <c r="D94" s="1" t="s">
        <v>20</v>
      </c>
      <c r="E94" s="1" t="s">
        <v>37</v>
      </c>
      <c r="F94" s="1" t="s">
        <v>22</v>
      </c>
      <c r="G94" s="2">
        <v>45968</v>
      </c>
      <c r="H94" s="2"/>
      <c r="I94" s="1" t="s">
        <v>82</v>
      </c>
      <c r="L94">
        <v>14</v>
      </c>
      <c r="M94" s="1" t="s">
        <v>40</v>
      </c>
      <c r="N94" s="2">
        <v>45962</v>
      </c>
      <c r="O94">
        <v>2025</v>
      </c>
      <c r="P94">
        <v>4</v>
      </c>
      <c r="Q94" s="1" t="s">
        <v>33</v>
      </c>
    </row>
    <row r="95" spans="1:17" x14ac:dyDescent="0.3">
      <c r="A95" s="1" t="s">
        <v>160</v>
      </c>
      <c r="B95" s="1" t="s">
        <v>63</v>
      </c>
      <c r="C95" s="1" t="s">
        <v>89</v>
      </c>
      <c r="D95" s="1" t="s">
        <v>51</v>
      </c>
      <c r="E95" s="1" t="s">
        <v>21</v>
      </c>
      <c r="F95" s="1" t="s">
        <v>22</v>
      </c>
      <c r="G95" s="2">
        <v>45959</v>
      </c>
      <c r="H95" s="2">
        <v>45967</v>
      </c>
      <c r="I95" s="1" t="s">
        <v>23</v>
      </c>
      <c r="J95">
        <v>4</v>
      </c>
      <c r="K95">
        <v>8</v>
      </c>
      <c r="L95">
        <v>10</v>
      </c>
      <c r="M95" s="1" t="s">
        <v>24</v>
      </c>
      <c r="N95" s="2">
        <v>45931</v>
      </c>
      <c r="O95">
        <v>2025</v>
      </c>
      <c r="P95">
        <v>4</v>
      </c>
      <c r="Q95" s="1" t="s">
        <v>24</v>
      </c>
    </row>
    <row r="96" spans="1:17" x14ac:dyDescent="0.3">
      <c r="A96" s="1" t="s">
        <v>161</v>
      </c>
      <c r="B96" s="1" t="s">
        <v>26</v>
      </c>
      <c r="C96" s="1" t="s">
        <v>67</v>
      </c>
      <c r="D96" s="1" t="s">
        <v>71</v>
      </c>
      <c r="E96" s="1" t="s">
        <v>21</v>
      </c>
      <c r="F96" s="1" t="s">
        <v>61</v>
      </c>
      <c r="G96" s="2">
        <v>45766</v>
      </c>
      <c r="H96" s="2">
        <v>45768</v>
      </c>
      <c r="I96" s="1" t="s">
        <v>28</v>
      </c>
      <c r="J96">
        <v>5</v>
      </c>
      <c r="K96">
        <v>2</v>
      </c>
      <c r="L96">
        <v>3</v>
      </c>
      <c r="M96" s="1" t="s">
        <v>24</v>
      </c>
      <c r="N96" s="2">
        <v>45748</v>
      </c>
      <c r="O96">
        <v>2025</v>
      </c>
      <c r="P96">
        <v>2</v>
      </c>
      <c r="Q96" s="1" t="s">
        <v>24</v>
      </c>
    </row>
    <row r="97" spans="1:17" x14ac:dyDescent="0.3">
      <c r="A97" s="1" t="s">
        <v>162</v>
      </c>
      <c r="B97" s="1" t="s">
        <v>63</v>
      </c>
      <c r="C97" s="1" t="s">
        <v>74</v>
      </c>
      <c r="D97" s="1" t="s">
        <v>20</v>
      </c>
      <c r="E97" s="1" t="s">
        <v>21</v>
      </c>
      <c r="F97" s="1" t="s">
        <v>38</v>
      </c>
      <c r="G97" s="2">
        <v>46010</v>
      </c>
      <c r="H97" s="2">
        <v>46022</v>
      </c>
      <c r="I97" s="1" t="s">
        <v>28</v>
      </c>
      <c r="J97">
        <v>4</v>
      </c>
      <c r="K97">
        <v>12</v>
      </c>
      <c r="L97">
        <v>14</v>
      </c>
      <c r="M97" s="1" t="s">
        <v>24</v>
      </c>
      <c r="N97" s="2">
        <v>45992</v>
      </c>
      <c r="O97">
        <v>2025</v>
      </c>
      <c r="P97">
        <v>4</v>
      </c>
      <c r="Q97" s="1" t="s">
        <v>24</v>
      </c>
    </row>
    <row r="98" spans="1:17" x14ac:dyDescent="0.3">
      <c r="A98" s="1" t="s">
        <v>163</v>
      </c>
      <c r="B98" s="1" t="s">
        <v>35</v>
      </c>
      <c r="C98" s="1" t="s">
        <v>97</v>
      </c>
      <c r="D98" s="1" t="s">
        <v>44</v>
      </c>
      <c r="E98" s="1" t="s">
        <v>21</v>
      </c>
      <c r="F98" s="1" t="s">
        <v>22</v>
      </c>
      <c r="G98" s="2">
        <v>46009</v>
      </c>
      <c r="H98" s="2">
        <v>46011</v>
      </c>
      <c r="I98" s="1" t="s">
        <v>28</v>
      </c>
      <c r="J98">
        <v>5</v>
      </c>
      <c r="K98">
        <v>2</v>
      </c>
      <c r="L98">
        <v>7</v>
      </c>
      <c r="M98" s="1" t="s">
        <v>24</v>
      </c>
      <c r="N98" s="2">
        <v>45992</v>
      </c>
      <c r="O98">
        <v>2025</v>
      </c>
      <c r="P98">
        <v>4</v>
      </c>
      <c r="Q98" s="1" t="s">
        <v>24</v>
      </c>
    </row>
    <row r="99" spans="1:17" x14ac:dyDescent="0.3">
      <c r="A99" s="1" t="s">
        <v>164</v>
      </c>
      <c r="B99" s="1" t="s">
        <v>58</v>
      </c>
      <c r="C99" s="1" t="s">
        <v>70</v>
      </c>
      <c r="D99" s="1" t="s">
        <v>51</v>
      </c>
      <c r="E99" s="1" t="s">
        <v>21</v>
      </c>
      <c r="F99" s="1" t="s">
        <v>61</v>
      </c>
      <c r="G99" s="2">
        <v>45794</v>
      </c>
      <c r="H99" s="2">
        <v>45798</v>
      </c>
      <c r="I99" s="1" t="s">
        <v>32</v>
      </c>
      <c r="J99">
        <v>2</v>
      </c>
      <c r="K99">
        <v>4</v>
      </c>
      <c r="L99">
        <v>10</v>
      </c>
      <c r="M99" s="1" t="s">
        <v>24</v>
      </c>
      <c r="N99" s="2">
        <v>45778</v>
      </c>
      <c r="O99">
        <v>2025</v>
      </c>
      <c r="P99">
        <v>2</v>
      </c>
      <c r="Q99" s="1" t="s">
        <v>24</v>
      </c>
    </row>
    <row r="100" spans="1:17" x14ac:dyDescent="0.3">
      <c r="A100" s="1" t="s">
        <v>165</v>
      </c>
      <c r="B100" s="1" t="s">
        <v>26</v>
      </c>
      <c r="C100" s="1" t="s">
        <v>123</v>
      </c>
      <c r="D100" s="1" t="s">
        <v>51</v>
      </c>
      <c r="E100" s="1" t="s">
        <v>21</v>
      </c>
      <c r="F100" s="1" t="s">
        <v>22</v>
      </c>
      <c r="G100" s="2">
        <v>45813</v>
      </c>
      <c r="H100" s="2">
        <v>45821</v>
      </c>
      <c r="I100" s="1" t="s">
        <v>82</v>
      </c>
      <c r="J100">
        <v>5</v>
      </c>
      <c r="K100">
        <v>8</v>
      </c>
      <c r="L100">
        <v>10</v>
      </c>
      <c r="M100" s="1" t="s">
        <v>24</v>
      </c>
      <c r="N100" s="2">
        <v>45809</v>
      </c>
      <c r="O100">
        <v>2025</v>
      </c>
      <c r="P100">
        <v>2</v>
      </c>
      <c r="Q100" s="1" t="s">
        <v>24</v>
      </c>
    </row>
    <row r="101" spans="1:17" x14ac:dyDescent="0.3">
      <c r="A101" s="1" t="s">
        <v>166</v>
      </c>
      <c r="B101" s="1" t="s">
        <v>58</v>
      </c>
      <c r="C101" s="1" t="s">
        <v>145</v>
      </c>
      <c r="D101" s="1" t="s">
        <v>20</v>
      </c>
      <c r="E101" s="1" t="s">
        <v>21</v>
      </c>
      <c r="F101" s="1" t="s">
        <v>52</v>
      </c>
      <c r="G101" s="2">
        <v>45879</v>
      </c>
      <c r="H101" s="2">
        <v>45893</v>
      </c>
      <c r="I101" s="1" t="s">
        <v>23</v>
      </c>
      <c r="J101">
        <v>4</v>
      </c>
      <c r="K101">
        <v>14</v>
      </c>
      <c r="L101">
        <v>14</v>
      </c>
      <c r="M101" s="1" t="s">
        <v>24</v>
      </c>
      <c r="N101" s="2">
        <v>45870</v>
      </c>
      <c r="O101">
        <v>2025</v>
      </c>
      <c r="P101">
        <v>3</v>
      </c>
      <c r="Q101" s="1" t="s">
        <v>24</v>
      </c>
    </row>
    <row r="102" spans="1:17" x14ac:dyDescent="0.3">
      <c r="A102" s="1" t="s">
        <v>167</v>
      </c>
      <c r="B102" s="1" t="s">
        <v>42</v>
      </c>
      <c r="C102" s="1" t="s">
        <v>76</v>
      </c>
      <c r="D102" s="1" t="s">
        <v>71</v>
      </c>
      <c r="E102" s="1" t="s">
        <v>37</v>
      </c>
      <c r="F102" s="1" t="s">
        <v>22</v>
      </c>
      <c r="G102" s="2">
        <v>45952</v>
      </c>
      <c r="H102" s="2"/>
      <c r="I102" s="1" t="s">
        <v>23</v>
      </c>
      <c r="L102">
        <v>3</v>
      </c>
      <c r="M102" s="1" t="s">
        <v>40</v>
      </c>
      <c r="N102" s="2">
        <v>45931</v>
      </c>
      <c r="O102">
        <v>2025</v>
      </c>
      <c r="P102">
        <v>4</v>
      </c>
      <c r="Q102" s="1" t="s">
        <v>33</v>
      </c>
    </row>
    <row r="103" spans="1:17" x14ac:dyDescent="0.3">
      <c r="A103" s="1" t="s">
        <v>168</v>
      </c>
      <c r="B103" s="1" t="s">
        <v>18</v>
      </c>
      <c r="C103" s="1" t="s">
        <v>56</v>
      </c>
      <c r="D103" s="1" t="s">
        <v>51</v>
      </c>
      <c r="E103" s="1" t="s">
        <v>37</v>
      </c>
      <c r="F103" s="1" t="s">
        <v>31</v>
      </c>
      <c r="G103" s="2">
        <v>45747</v>
      </c>
      <c r="H103" s="2"/>
      <c r="I103" s="1" t="s">
        <v>82</v>
      </c>
      <c r="L103">
        <v>10</v>
      </c>
      <c r="M103" s="1" t="s">
        <v>40</v>
      </c>
      <c r="N103" s="2">
        <v>45717</v>
      </c>
      <c r="O103">
        <v>2025</v>
      </c>
      <c r="P103">
        <v>1</v>
      </c>
      <c r="Q103" s="1" t="s">
        <v>33</v>
      </c>
    </row>
    <row r="104" spans="1:17" x14ac:dyDescent="0.3">
      <c r="A104" s="1" t="s">
        <v>169</v>
      </c>
      <c r="B104" s="1" t="s">
        <v>18</v>
      </c>
      <c r="C104" s="1" t="s">
        <v>30</v>
      </c>
      <c r="D104" s="1" t="s">
        <v>44</v>
      </c>
      <c r="E104" s="1" t="s">
        <v>21</v>
      </c>
      <c r="F104" s="1" t="s">
        <v>31</v>
      </c>
      <c r="G104" s="2">
        <v>45957</v>
      </c>
      <c r="H104" s="2">
        <v>45961</v>
      </c>
      <c r="I104" s="1" t="s">
        <v>23</v>
      </c>
      <c r="J104">
        <v>4</v>
      </c>
      <c r="K104">
        <v>4</v>
      </c>
      <c r="L104">
        <v>7</v>
      </c>
      <c r="M104" s="1" t="s">
        <v>24</v>
      </c>
      <c r="N104" s="2">
        <v>45931</v>
      </c>
      <c r="O104">
        <v>2025</v>
      </c>
      <c r="P104">
        <v>4</v>
      </c>
      <c r="Q104" s="1" t="s">
        <v>24</v>
      </c>
    </row>
    <row r="105" spans="1:17" x14ac:dyDescent="0.3">
      <c r="A105" s="1" t="s">
        <v>170</v>
      </c>
      <c r="B105" s="1" t="s">
        <v>58</v>
      </c>
      <c r="C105" s="1" t="s">
        <v>59</v>
      </c>
      <c r="D105" s="1" t="s">
        <v>51</v>
      </c>
      <c r="E105" s="1" t="s">
        <v>21</v>
      </c>
      <c r="F105" s="1" t="s">
        <v>31</v>
      </c>
      <c r="G105" s="2">
        <v>45711</v>
      </c>
      <c r="H105" s="2">
        <v>45715</v>
      </c>
      <c r="I105" s="1" t="s">
        <v>32</v>
      </c>
      <c r="J105">
        <v>4</v>
      </c>
      <c r="K105">
        <v>4</v>
      </c>
      <c r="L105">
        <v>10</v>
      </c>
      <c r="M105" s="1" t="s">
        <v>24</v>
      </c>
      <c r="N105" s="2">
        <v>45689</v>
      </c>
      <c r="O105">
        <v>2025</v>
      </c>
      <c r="P105">
        <v>1</v>
      </c>
      <c r="Q105" s="1" t="s">
        <v>24</v>
      </c>
    </row>
    <row r="106" spans="1:17" x14ac:dyDescent="0.3">
      <c r="A106" s="1" t="s">
        <v>171</v>
      </c>
      <c r="B106" s="1" t="s">
        <v>18</v>
      </c>
      <c r="C106" s="1" t="s">
        <v>30</v>
      </c>
      <c r="D106" s="1" t="s">
        <v>44</v>
      </c>
      <c r="E106" s="1" t="s">
        <v>21</v>
      </c>
      <c r="F106" s="1" t="s">
        <v>52</v>
      </c>
      <c r="G106" s="2">
        <v>45890</v>
      </c>
      <c r="H106" s="2">
        <v>45891</v>
      </c>
      <c r="I106" s="1" t="s">
        <v>23</v>
      </c>
      <c r="J106">
        <v>4</v>
      </c>
      <c r="K106">
        <v>1</v>
      </c>
      <c r="L106">
        <v>7</v>
      </c>
      <c r="M106" s="1" t="s">
        <v>24</v>
      </c>
      <c r="N106" s="2">
        <v>45870</v>
      </c>
      <c r="O106">
        <v>2025</v>
      </c>
      <c r="P106">
        <v>3</v>
      </c>
      <c r="Q106" s="1" t="s">
        <v>24</v>
      </c>
    </row>
    <row r="107" spans="1:17" x14ac:dyDescent="0.3">
      <c r="A107" s="1" t="s">
        <v>172</v>
      </c>
      <c r="B107" s="1" t="s">
        <v>58</v>
      </c>
      <c r="C107" s="1" t="s">
        <v>70</v>
      </c>
      <c r="D107" s="1" t="s">
        <v>51</v>
      </c>
      <c r="E107" s="1" t="s">
        <v>21</v>
      </c>
      <c r="F107" s="1" t="s">
        <v>52</v>
      </c>
      <c r="G107" s="2">
        <v>45869</v>
      </c>
      <c r="H107" s="2">
        <v>45871</v>
      </c>
      <c r="I107" s="1" t="s">
        <v>82</v>
      </c>
      <c r="J107">
        <v>3</v>
      </c>
      <c r="K107">
        <v>2</v>
      </c>
      <c r="L107">
        <v>10</v>
      </c>
      <c r="M107" s="1" t="s">
        <v>24</v>
      </c>
      <c r="N107" s="2">
        <v>45839</v>
      </c>
      <c r="O107">
        <v>2025</v>
      </c>
      <c r="P107">
        <v>3</v>
      </c>
      <c r="Q107" s="1" t="s">
        <v>24</v>
      </c>
    </row>
    <row r="108" spans="1:17" x14ac:dyDescent="0.3">
      <c r="A108" s="1" t="s">
        <v>173</v>
      </c>
      <c r="B108" s="1" t="s">
        <v>58</v>
      </c>
      <c r="C108" s="1" t="s">
        <v>145</v>
      </c>
      <c r="D108" s="1" t="s">
        <v>44</v>
      </c>
      <c r="E108" s="1" t="s">
        <v>21</v>
      </c>
      <c r="F108" s="1" t="s">
        <v>31</v>
      </c>
      <c r="G108" s="2">
        <v>45939</v>
      </c>
      <c r="H108" s="2">
        <v>45941</v>
      </c>
      <c r="I108" s="1" t="s">
        <v>39</v>
      </c>
      <c r="J108">
        <v>5</v>
      </c>
      <c r="K108">
        <v>2</v>
      </c>
      <c r="L108">
        <v>7</v>
      </c>
      <c r="M108" s="1" t="s">
        <v>24</v>
      </c>
      <c r="N108" s="2">
        <v>45931</v>
      </c>
      <c r="O108">
        <v>2025</v>
      </c>
      <c r="P108">
        <v>4</v>
      </c>
      <c r="Q108" s="1" t="s">
        <v>24</v>
      </c>
    </row>
    <row r="109" spans="1:17" x14ac:dyDescent="0.3">
      <c r="A109" s="1" t="s">
        <v>174</v>
      </c>
      <c r="B109" s="1" t="s">
        <v>42</v>
      </c>
      <c r="C109" s="1" t="s">
        <v>81</v>
      </c>
      <c r="D109" s="1" t="s">
        <v>71</v>
      </c>
      <c r="E109" s="1" t="s">
        <v>21</v>
      </c>
      <c r="F109" s="1" t="s">
        <v>38</v>
      </c>
      <c r="G109" s="2">
        <v>45780</v>
      </c>
      <c r="H109" s="2">
        <v>45781</v>
      </c>
      <c r="I109" s="1" t="s">
        <v>82</v>
      </c>
      <c r="J109">
        <v>4</v>
      </c>
      <c r="K109">
        <v>1</v>
      </c>
      <c r="L109">
        <v>3</v>
      </c>
      <c r="M109" s="1" t="s">
        <v>24</v>
      </c>
      <c r="N109" s="2">
        <v>45778</v>
      </c>
      <c r="O109">
        <v>2025</v>
      </c>
      <c r="P109">
        <v>2</v>
      </c>
      <c r="Q109" s="1" t="s">
        <v>24</v>
      </c>
    </row>
    <row r="110" spans="1:17" x14ac:dyDescent="0.3">
      <c r="A110" s="1" t="s">
        <v>175</v>
      </c>
      <c r="B110" s="1" t="s">
        <v>58</v>
      </c>
      <c r="C110" s="1" t="s">
        <v>70</v>
      </c>
      <c r="D110" s="1" t="s">
        <v>20</v>
      </c>
      <c r="E110" s="1" t="s">
        <v>37</v>
      </c>
      <c r="F110" s="1" t="s">
        <v>31</v>
      </c>
      <c r="G110" s="2">
        <v>45716</v>
      </c>
      <c r="H110" s="2"/>
      <c r="I110" s="1" t="s">
        <v>23</v>
      </c>
      <c r="L110">
        <v>14</v>
      </c>
      <c r="M110" s="1" t="s">
        <v>40</v>
      </c>
      <c r="N110" s="2">
        <v>45689</v>
      </c>
      <c r="O110">
        <v>2025</v>
      </c>
      <c r="P110">
        <v>1</v>
      </c>
      <c r="Q110" s="1" t="s">
        <v>33</v>
      </c>
    </row>
    <row r="111" spans="1:17" x14ac:dyDescent="0.3">
      <c r="A111" s="1" t="s">
        <v>176</v>
      </c>
      <c r="B111" s="1" t="s">
        <v>18</v>
      </c>
      <c r="C111" s="1" t="s">
        <v>47</v>
      </c>
      <c r="D111" s="1" t="s">
        <v>51</v>
      </c>
      <c r="E111" s="1" t="s">
        <v>21</v>
      </c>
      <c r="F111" s="1" t="s">
        <v>31</v>
      </c>
      <c r="G111" s="2">
        <v>45918</v>
      </c>
      <c r="H111" s="2">
        <v>45924</v>
      </c>
      <c r="I111" s="1" t="s">
        <v>39</v>
      </c>
      <c r="J111">
        <v>4</v>
      </c>
      <c r="K111">
        <v>6</v>
      </c>
      <c r="L111">
        <v>10</v>
      </c>
      <c r="M111" s="1" t="s">
        <v>24</v>
      </c>
      <c r="N111" s="2">
        <v>45901</v>
      </c>
      <c r="O111">
        <v>2025</v>
      </c>
      <c r="P111">
        <v>3</v>
      </c>
      <c r="Q111" s="1" t="s">
        <v>24</v>
      </c>
    </row>
    <row r="112" spans="1:17" x14ac:dyDescent="0.3">
      <c r="A112" s="1" t="s">
        <v>177</v>
      </c>
      <c r="B112" s="1" t="s">
        <v>63</v>
      </c>
      <c r="C112" s="1" t="s">
        <v>89</v>
      </c>
      <c r="D112" s="1" t="s">
        <v>51</v>
      </c>
      <c r="E112" s="1" t="s">
        <v>21</v>
      </c>
      <c r="F112" s="1" t="s">
        <v>61</v>
      </c>
      <c r="G112" s="2">
        <v>45964</v>
      </c>
      <c r="H112" s="2">
        <v>45974</v>
      </c>
      <c r="I112" s="1" t="s">
        <v>23</v>
      </c>
      <c r="J112">
        <v>5</v>
      </c>
      <c r="K112">
        <v>10</v>
      </c>
      <c r="L112">
        <v>10</v>
      </c>
      <c r="M112" s="1" t="s">
        <v>24</v>
      </c>
      <c r="N112" s="2">
        <v>45962</v>
      </c>
      <c r="O112">
        <v>2025</v>
      </c>
      <c r="P112">
        <v>4</v>
      </c>
      <c r="Q112" s="1" t="s">
        <v>24</v>
      </c>
    </row>
    <row r="113" spans="1:17" x14ac:dyDescent="0.3">
      <c r="A113" s="1" t="s">
        <v>178</v>
      </c>
      <c r="B113" s="1" t="s">
        <v>35</v>
      </c>
      <c r="C113" s="1" t="s">
        <v>50</v>
      </c>
      <c r="D113" s="1" t="s">
        <v>51</v>
      </c>
      <c r="E113" s="1" t="s">
        <v>37</v>
      </c>
      <c r="F113" s="1" t="s">
        <v>38</v>
      </c>
      <c r="G113" s="2">
        <v>45794</v>
      </c>
      <c r="H113" s="2"/>
      <c r="I113" s="1" t="s">
        <v>32</v>
      </c>
      <c r="L113">
        <v>10</v>
      </c>
      <c r="M113" s="1" t="s">
        <v>40</v>
      </c>
      <c r="N113" s="2">
        <v>45778</v>
      </c>
      <c r="O113">
        <v>2025</v>
      </c>
      <c r="P113">
        <v>2</v>
      </c>
      <c r="Q113" s="1" t="s">
        <v>33</v>
      </c>
    </row>
    <row r="114" spans="1:17" x14ac:dyDescent="0.3">
      <c r="A114" s="1" t="s">
        <v>179</v>
      </c>
      <c r="B114" s="1" t="s">
        <v>18</v>
      </c>
      <c r="C114" s="1" t="s">
        <v>56</v>
      </c>
      <c r="D114" s="1" t="s">
        <v>44</v>
      </c>
      <c r="E114" s="1" t="s">
        <v>21</v>
      </c>
      <c r="F114" s="1" t="s">
        <v>31</v>
      </c>
      <c r="G114" s="2">
        <v>45995</v>
      </c>
      <c r="H114" s="2">
        <v>45999</v>
      </c>
      <c r="I114" s="1" t="s">
        <v>82</v>
      </c>
      <c r="J114">
        <v>5</v>
      </c>
      <c r="K114">
        <v>4</v>
      </c>
      <c r="L114">
        <v>7</v>
      </c>
      <c r="M114" s="1" t="s">
        <v>24</v>
      </c>
      <c r="N114" s="2">
        <v>45992</v>
      </c>
      <c r="O114">
        <v>2025</v>
      </c>
      <c r="P114">
        <v>4</v>
      </c>
      <c r="Q114" s="1" t="s">
        <v>24</v>
      </c>
    </row>
    <row r="115" spans="1:17" x14ac:dyDescent="0.3">
      <c r="A115" s="1" t="s">
        <v>180</v>
      </c>
      <c r="B115" s="1" t="s">
        <v>58</v>
      </c>
      <c r="C115" s="1" t="s">
        <v>59</v>
      </c>
      <c r="D115" s="1" t="s">
        <v>51</v>
      </c>
      <c r="E115" s="1" t="s">
        <v>37</v>
      </c>
      <c r="F115" s="1" t="s">
        <v>31</v>
      </c>
      <c r="G115" s="2">
        <v>45851</v>
      </c>
      <c r="H115" s="2"/>
      <c r="I115" s="1" t="s">
        <v>32</v>
      </c>
      <c r="L115">
        <v>10</v>
      </c>
      <c r="M115" s="1" t="s">
        <v>40</v>
      </c>
      <c r="N115" s="2">
        <v>45839</v>
      </c>
      <c r="O115">
        <v>2025</v>
      </c>
      <c r="P115">
        <v>3</v>
      </c>
      <c r="Q115" s="1" t="s">
        <v>33</v>
      </c>
    </row>
    <row r="116" spans="1:17" x14ac:dyDescent="0.3">
      <c r="A116" s="1" t="s">
        <v>181</v>
      </c>
      <c r="B116" s="1" t="s">
        <v>63</v>
      </c>
      <c r="C116" s="1" t="s">
        <v>64</v>
      </c>
      <c r="D116" s="1" t="s">
        <v>51</v>
      </c>
      <c r="E116" s="1" t="s">
        <v>21</v>
      </c>
      <c r="F116" s="1" t="s">
        <v>31</v>
      </c>
      <c r="G116" s="2">
        <v>45868</v>
      </c>
      <c r="H116" s="2">
        <v>45870</v>
      </c>
      <c r="I116" s="1" t="s">
        <v>39</v>
      </c>
      <c r="J116">
        <v>4</v>
      </c>
      <c r="K116">
        <v>2</v>
      </c>
      <c r="L116">
        <v>10</v>
      </c>
      <c r="M116" s="1" t="s">
        <v>24</v>
      </c>
      <c r="N116" s="2">
        <v>45839</v>
      </c>
      <c r="O116">
        <v>2025</v>
      </c>
      <c r="P116">
        <v>3</v>
      </c>
      <c r="Q116" s="1" t="s">
        <v>24</v>
      </c>
    </row>
    <row r="117" spans="1:17" x14ac:dyDescent="0.3">
      <c r="A117" s="1" t="s">
        <v>182</v>
      </c>
      <c r="B117" s="1" t="s">
        <v>58</v>
      </c>
      <c r="C117" s="1" t="s">
        <v>108</v>
      </c>
      <c r="D117" s="1" t="s">
        <v>51</v>
      </c>
      <c r="E117" s="1" t="s">
        <v>21</v>
      </c>
      <c r="F117" s="1" t="s">
        <v>31</v>
      </c>
      <c r="G117" s="2">
        <v>45915</v>
      </c>
      <c r="H117" s="2">
        <v>45922</v>
      </c>
      <c r="I117" s="1" t="s">
        <v>23</v>
      </c>
      <c r="J117">
        <v>5</v>
      </c>
      <c r="K117">
        <v>7</v>
      </c>
      <c r="L117">
        <v>10</v>
      </c>
      <c r="M117" s="1" t="s">
        <v>24</v>
      </c>
      <c r="N117" s="2">
        <v>45901</v>
      </c>
      <c r="O117">
        <v>2025</v>
      </c>
      <c r="P117">
        <v>3</v>
      </c>
      <c r="Q117" s="1" t="s">
        <v>24</v>
      </c>
    </row>
    <row r="118" spans="1:17" x14ac:dyDescent="0.3">
      <c r="A118" s="1" t="s">
        <v>183</v>
      </c>
      <c r="B118" s="1" t="s">
        <v>26</v>
      </c>
      <c r="C118" s="1" t="s">
        <v>27</v>
      </c>
      <c r="D118" s="1" t="s">
        <v>20</v>
      </c>
      <c r="E118" s="1" t="s">
        <v>21</v>
      </c>
      <c r="F118" s="1" t="s">
        <v>52</v>
      </c>
      <c r="G118" s="2">
        <v>45993</v>
      </c>
      <c r="H118" s="2">
        <v>45998</v>
      </c>
      <c r="I118" s="1" t="s">
        <v>32</v>
      </c>
      <c r="J118">
        <v>2</v>
      </c>
      <c r="K118">
        <v>5</v>
      </c>
      <c r="L118">
        <v>14</v>
      </c>
      <c r="M118" s="1" t="s">
        <v>24</v>
      </c>
      <c r="N118" s="2">
        <v>45992</v>
      </c>
      <c r="O118">
        <v>2025</v>
      </c>
      <c r="P118">
        <v>4</v>
      </c>
      <c r="Q118" s="1" t="s">
        <v>24</v>
      </c>
    </row>
    <row r="119" spans="1:17" x14ac:dyDescent="0.3">
      <c r="A119" s="1" t="s">
        <v>184</v>
      </c>
      <c r="B119" s="1" t="s">
        <v>26</v>
      </c>
      <c r="C119" s="1" t="s">
        <v>27</v>
      </c>
      <c r="D119" s="1" t="s">
        <v>51</v>
      </c>
      <c r="E119" s="1" t="s">
        <v>37</v>
      </c>
      <c r="F119" s="1" t="s">
        <v>22</v>
      </c>
      <c r="G119" s="2">
        <v>46003</v>
      </c>
      <c r="H119" s="2"/>
      <c r="I119" s="1" t="s">
        <v>39</v>
      </c>
      <c r="L119">
        <v>10</v>
      </c>
      <c r="M119" s="1" t="s">
        <v>40</v>
      </c>
      <c r="N119" s="2">
        <v>45992</v>
      </c>
      <c r="O119">
        <v>2025</v>
      </c>
      <c r="P119">
        <v>4</v>
      </c>
      <c r="Q119" s="1" t="s">
        <v>33</v>
      </c>
    </row>
    <row r="120" spans="1:17" x14ac:dyDescent="0.3">
      <c r="A120" s="1" t="s">
        <v>185</v>
      </c>
      <c r="B120" s="1" t="s">
        <v>35</v>
      </c>
      <c r="C120" s="1" t="s">
        <v>50</v>
      </c>
      <c r="D120" s="1" t="s">
        <v>44</v>
      </c>
      <c r="E120" s="1" t="s">
        <v>21</v>
      </c>
      <c r="F120" s="1" t="s">
        <v>52</v>
      </c>
      <c r="G120" s="2">
        <v>45693</v>
      </c>
      <c r="H120" s="2">
        <v>45695</v>
      </c>
      <c r="I120" s="1" t="s">
        <v>28</v>
      </c>
      <c r="J120">
        <v>4</v>
      </c>
      <c r="K120">
        <v>2</v>
      </c>
      <c r="L120">
        <v>7</v>
      </c>
      <c r="M120" s="1" t="s">
        <v>24</v>
      </c>
      <c r="N120" s="2">
        <v>45689</v>
      </c>
      <c r="O120">
        <v>2025</v>
      </c>
      <c r="P120">
        <v>1</v>
      </c>
      <c r="Q120" s="1" t="s">
        <v>24</v>
      </c>
    </row>
    <row r="121" spans="1:17" x14ac:dyDescent="0.3">
      <c r="A121" s="1" t="s">
        <v>186</v>
      </c>
      <c r="B121" s="1" t="s">
        <v>18</v>
      </c>
      <c r="C121" s="1" t="s">
        <v>19</v>
      </c>
      <c r="D121" s="1" t="s">
        <v>51</v>
      </c>
      <c r="E121" s="1" t="s">
        <v>21</v>
      </c>
      <c r="F121" s="1" t="s">
        <v>52</v>
      </c>
      <c r="G121" s="2">
        <v>45982</v>
      </c>
      <c r="H121" s="2">
        <v>45985</v>
      </c>
      <c r="I121" s="1" t="s">
        <v>23</v>
      </c>
      <c r="J121">
        <v>4</v>
      </c>
      <c r="K121">
        <v>3</v>
      </c>
      <c r="L121">
        <v>10</v>
      </c>
      <c r="M121" s="1" t="s">
        <v>24</v>
      </c>
      <c r="N121" s="2">
        <v>45962</v>
      </c>
      <c r="O121">
        <v>2025</v>
      </c>
      <c r="P121">
        <v>4</v>
      </c>
      <c r="Q121" s="1" t="s">
        <v>24</v>
      </c>
    </row>
    <row r="122" spans="1:17" x14ac:dyDescent="0.3">
      <c r="A122" s="1" t="s">
        <v>187</v>
      </c>
      <c r="B122" s="1" t="s">
        <v>42</v>
      </c>
      <c r="C122" s="1" t="s">
        <v>43</v>
      </c>
      <c r="D122" s="1" t="s">
        <v>44</v>
      </c>
      <c r="E122" s="1" t="s">
        <v>21</v>
      </c>
      <c r="F122" s="1" t="s">
        <v>22</v>
      </c>
      <c r="G122" s="2">
        <v>45849</v>
      </c>
      <c r="H122" s="2">
        <v>45853</v>
      </c>
      <c r="I122" s="1" t="s">
        <v>39</v>
      </c>
      <c r="J122">
        <v>3</v>
      </c>
      <c r="K122">
        <v>4</v>
      </c>
      <c r="L122">
        <v>7</v>
      </c>
      <c r="M122" s="1" t="s">
        <v>24</v>
      </c>
      <c r="N122" s="2">
        <v>45839</v>
      </c>
      <c r="O122">
        <v>2025</v>
      </c>
      <c r="P122">
        <v>3</v>
      </c>
      <c r="Q122" s="1" t="s">
        <v>24</v>
      </c>
    </row>
    <row r="123" spans="1:17" x14ac:dyDescent="0.3">
      <c r="A123" s="1" t="s">
        <v>188</v>
      </c>
      <c r="B123" s="1" t="s">
        <v>26</v>
      </c>
      <c r="C123" s="1" t="s">
        <v>54</v>
      </c>
      <c r="D123" s="1" t="s">
        <v>20</v>
      </c>
      <c r="E123" s="1" t="s">
        <v>21</v>
      </c>
      <c r="F123" s="1" t="s">
        <v>31</v>
      </c>
      <c r="G123" s="2">
        <v>45853</v>
      </c>
      <c r="H123" s="2">
        <v>45865</v>
      </c>
      <c r="I123" s="1" t="s">
        <v>82</v>
      </c>
      <c r="J123">
        <v>5</v>
      </c>
      <c r="K123">
        <v>12</v>
      </c>
      <c r="L123">
        <v>14</v>
      </c>
      <c r="M123" s="1" t="s">
        <v>24</v>
      </c>
      <c r="N123" s="2">
        <v>45839</v>
      </c>
      <c r="O123">
        <v>2025</v>
      </c>
      <c r="P123">
        <v>3</v>
      </c>
      <c r="Q123" s="1" t="s">
        <v>24</v>
      </c>
    </row>
    <row r="124" spans="1:17" x14ac:dyDescent="0.3">
      <c r="A124" s="1" t="s">
        <v>189</v>
      </c>
      <c r="B124" s="1" t="s">
        <v>63</v>
      </c>
      <c r="C124" s="1" t="s">
        <v>64</v>
      </c>
      <c r="D124" s="1" t="s">
        <v>51</v>
      </c>
      <c r="E124" s="1" t="s">
        <v>21</v>
      </c>
      <c r="F124" s="1" t="s">
        <v>31</v>
      </c>
      <c r="G124" s="2">
        <v>45788</v>
      </c>
      <c r="H124" s="2">
        <v>45790</v>
      </c>
      <c r="I124" s="1" t="s">
        <v>32</v>
      </c>
      <c r="J124">
        <v>5</v>
      </c>
      <c r="K124">
        <v>2</v>
      </c>
      <c r="L124">
        <v>10</v>
      </c>
      <c r="M124" s="1" t="s">
        <v>24</v>
      </c>
      <c r="N124" s="2">
        <v>45778</v>
      </c>
      <c r="O124">
        <v>2025</v>
      </c>
      <c r="P124">
        <v>2</v>
      </c>
      <c r="Q124" s="1" t="s">
        <v>24</v>
      </c>
    </row>
    <row r="125" spans="1:17" x14ac:dyDescent="0.3">
      <c r="A125" s="1" t="s">
        <v>190</v>
      </c>
      <c r="B125" s="1" t="s">
        <v>18</v>
      </c>
      <c r="C125" s="1" t="s">
        <v>47</v>
      </c>
      <c r="D125" s="1" t="s">
        <v>20</v>
      </c>
      <c r="E125" s="1" t="s">
        <v>48</v>
      </c>
      <c r="F125" s="1" t="s">
        <v>52</v>
      </c>
      <c r="G125" s="2">
        <v>45958</v>
      </c>
      <c r="H125" s="2"/>
      <c r="I125" s="1" t="s">
        <v>39</v>
      </c>
      <c r="L125">
        <v>14</v>
      </c>
      <c r="M125" s="1" t="s">
        <v>40</v>
      </c>
      <c r="N125" s="2">
        <v>45931</v>
      </c>
      <c r="O125">
        <v>2025</v>
      </c>
      <c r="P125">
        <v>4</v>
      </c>
      <c r="Q125" s="1" t="s">
        <v>33</v>
      </c>
    </row>
    <row r="126" spans="1:17" x14ac:dyDescent="0.3">
      <c r="A126" s="1" t="s">
        <v>191</v>
      </c>
      <c r="B126" s="1" t="s">
        <v>18</v>
      </c>
      <c r="C126" s="1" t="s">
        <v>56</v>
      </c>
      <c r="D126" s="1" t="s">
        <v>51</v>
      </c>
      <c r="E126" s="1" t="s">
        <v>21</v>
      </c>
      <c r="F126" s="1" t="s">
        <v>31</v>
      </c>
      <c r="G126" s="2">
        <v>45854</v>
      </c>
      <c r="H126" s="2">
        <v>45863</v>
      </c>
      <c r="I126" s="1" t="s">
        <v>82</v>
      </c>
      <c r="J126">
        <v>2</v>
      </c>
      <c r="K126">
        <v>9</v>
      </c>
      <c r="L126">
        <v>10</v>
      </c>
      <c r="M126" s="1" t="s">
        <v>24</v>
      </c>
      <c r="N126" s="2">
        <v>45839</v>
      </c>
      <c r="O126">
        <v>2025</v>
      </c>
      <c r="P126">
        <v>3</v>
      </c>
      <c r="Q126" s="1" t="s">
        <v>24</v>
      </c>
    </row>
    <row r="127" spans="1:17" x14ac:dyDescent="0.3">
      <c r="A127" s="1" t="s">
        <v>192</v>
      </c>
      <c r="B127" s="1" t="s">
        <v>35</v>
      </c>
      <c r="C127" s="1" t="s">
        <v>97</v>
      </c>
      <c r="D127" s="1" t="s">
        <v>71</v>
      </c>
      <c r="E127" s="1" t="s">
        <v>21</v>
      </c>
      <c r="F127" s="1" t="s">
        <v>22</v>
      </c>
      <c r="G127" s="2">
        <v>45995</v>
      </c>
      <c r="H127" s="2">
        <v>45998</v>
      </c>
      <c r="I127" s="1" t="s">
        <v>23</v>
      </c>
      <c r="J127">
        <v>3</v>
      </c>
      <c r="K127">
        <v>3</v>
      </c>
      <c r="L127">
        <v>3</v>
      </c>
      <c r="M127" s="1" t="s">
        <v>24</v>
      </c>
      <c r="N127" s="2">
        <v>45992</v>
      </c>
      <c r="O127">
        <v>2025</v>
      </c>
      <c r="P127">
        <v>4</v>
      </c>
      <c r="Q127" s="1" t="s">
        <v>24</v>
      </c>
    </row>
    <row r="128" spans="1:17" x14ac:dyDescent="0.3">
      <c r="A128" s="1" t="s">
        <v>193</v>
      </c>
      <c r="B128" s="1" t="s">
        <v>26</v>
      </c>
      <c r="C128" s="1" t="s">
        <v>27</v>
      </c>
      <c r="D128" s="1" t="s">
        <v>44</v>
      </c>
      <c r="E128" s="1" t="s">
        <v>48</v>
      </c>
      <c r="F128" s="1" t="s">
        <v>22</v>
      </c>
      <c r="G128" s="2">
        <v>45775</v>
      </c>
      <c r="H128" s="2"/>
      <c r="I128" s="1" t="s">
        <v>32</v>
      </c>
      <c r="L128">
        <v>7</v>
      </c>
      <c r="M128" s="1" t="s">
        <v>40</v>
      </c>
      <c r="N128" s="2">
        <v>45748</v>
      </c>
      <c r="O128">
        <v>2025</v>
      </c>
      <c r="P128">
        <v>2</v>
      </c>
      <c r="Q128" s="1" t="s">
        <v>33</v>
      </c>
    </row>
    <row r="129" spans="1:17" x14ac:dyDescent="0.3">
      <c r="A129" s="1" t="s">
        <v>194</v>
      </c>
      <c r="B129" s="1" t="s">
        <v>63</v>
      </c>
      <c r="C129" s="1" t="s">
        <v>64</v>
      </c>
      <c r="D129" s="1" t="s">
        <v>51</v>
      </c>
      <c r="E129" s="1" t="s">
        <v>21</v>
      </c>
      <c r="F129" s="1" t="s">
        <v>38</v>
      </c>
      <c r="G129" s="2">
        <v>45995</v>
      </c>
      <c r="H129" s="2">
        <v>45999</v>
      </c>
      <c r="I129" s="1" t="s">
        <v>32</v>
      </c>
      <c r="J129">
        <v>4</v>
      </c>
      <c r="K129">
        <v>4</v>
      </c>
      <c r="L129">
        <v>10</v>
      </c>
      <c r="M129" s="1" t="s">
        <v>24</v>
      </c>
      <c r="N129" s="2">
        <v>45992</v>
      </c>
      <c r="O129">
        <v>2025</v>
      </c>
      <c r="P129">
        <v>4</v>
      </c>
      <c r="Q129" s="1" t="s">
        <v>24</v>
      </c>
    </row>
    <row r="130" spans="1:17" x14ac:dyDescent="0.3">
      <c r="A130" s="1" t="s">
        <v>195</v>
      </c>
      <c r="B130" s="1" t="s">
        <v>58</v>
      </c>
      <c r="C130" s="1" t="s">
        <v>70</v>
      </c>
      <c r="D130" s="1" t="s">
        <v>51</v>
      </c>
      <c r="E130" s="1" t="s">
        <v>21</v>
      </c>
      <c r="F130" s="1" t="s">
        <v>31</v>
      </c>
      <c r="G130" s="2">
        <v>45704</v>
      </c>
      <c r="H130" s="2">
        <v>45710</v>
      </c>
      <c r="I130" s="1" t="s">
        <v>28</v>
      </c>
      <c r="J130">
        <v>4</v>
      </c>
      <c r="K130">
        <v>6</v>
      </c>
      <c r="L130">
        <v>10</v>
      </c>
      <c r="M130" s="1" t="s">
        <v>24</v>
      </c>
      <c r="N130" s="2">
        <v>45689</v>
      </c>
      <c r="O130">
        <v>2025</v>
      </c>
      <c r="P130">
        <v>1</v>
      </c>
      <c r="Q130" s="1" t="s">
        <v>24</v>
      </c>
    </row>
    <row r="131" spans="1:17" x14ac:dyDescent="0.3">
      <c r="A131" s="1" t="s">
        <v>196</v>
      </c>
      <c r="B131" s="1" t="s">
        <v>63</v>
      </c>
      <c r="C131" s="1" t="s">
        <v>64</v>
      </c>
      <c r="D131" s="1" t="s">
        <v>44</v>
      </c>
      <c r="E131" s="1" t="s">
        <v>48</v>
      </c>
      <c r="F131" s="1" t="s">
        <v>22</v>
      </c>
      <c r="G131" s="2">
        <v>45845</v>
      </c>
      <c r="H131" s="2"/>
      <c r="I131" s="1" t="s">
        <v>82</v>
      </c>
      <c r="L131">
        <v>7</v>
      </c>
      <c r="M131" s="1" t="s">
        <v>40</v>
      </c>
      <c r="N131" s="2">
        <v>45839</v>
      </c>
      <c r="O131">
        <v>2025</v>
      </c>
      <c r="P131">
        <v>3</v>
      </c>
      <c r="Q131" s="1" t="s">
        <v>33</v>
      </c>
    </row>
    <row r="132" spans="1:17" x14ac:dyDescent="0.3">
      <c r="A132" s="1" t="s">
        <v>197</v>
      </c>
      <c r="B132" s="1" t="s">
        <v>35</v>
      </c>
      <c r="C132" s="1" t="s">
        <v>36</v>
      </c>
      <c r="D132" s="1" t="s">
        <v>51</v>
      </c>
      <c r="E132" s="1" t="s">
        <v>37</v>
      </c>
      <c r="F132" s="1" t="s">
        <v>52</v>
      </c>
      <c r="G132" s="2">
        <v>45904</v>
      </c>
      <c r="H132" s="2"/>
      <c r="I132" s="1" t="s">
        <v>32</v>
      </c>
      <c r="L132">
        <v>10</v>
      </c>
      <c r="M132" s="1" t="s">
        <v>40</v>
      </c>
      <c r="N132" s="2">
        <v>45901</v>
      </c>
      <c r="O132">
        <v>2025</v>
      </c>
      <c r="P132">
        <v>3</v>
      </c>
      <c r="Q132" s="1" t="s">
        <v>33</v>
      </c>
    </row>
    <row r="133" spans="1:17" x14ac:dyDescent="0.3">
      <c r="A133" s="1" t="s">
        <v>198</v>
      </c>
      <c r="B133" s="1" t="s">
        <v>42</v>
      </c>
      <c r="C133" s="1" t="s">
        <v>87</v>
      </c>
      <c r="D133" s="1" t="s">
        <v>71</v>
      </c>
      <c r="E133" s="1" t="s">
        <v>21</v>
      </c>
      <c r="F133" s="1" t="s">
        <v>22</v>
      </c>
      <c r="G133" s="2">
        <v>45773</v>
      </c>
      <c r="H133" s="2">
        <v>45776</v>
      </c>
      <c r="I133" s="1" t="s">
        <v>32</v>
      </c>
      <c r="J133">
        <v>5</v>
      </c>
      <c r="K133">
        <v>3</v>
      </c>
      <c r="L133">
        <v>3</v>
      </c>
      <c r="M133" s="1" t="s">
        <v>24</v>
      </c>
      <c r="N133" s="2">
        <v>45748</v>
      </c>
      <c r="O133">
        <v>2025</v>
      </c>
      <c r="P133">
        <v>2</v>
      </c>
      <c r="Q133" s="1" t="s">
        <v>24</v>
      </c>
    </row>
    <row r="134" spans="1:17" x14ac:dyDescent="0.3">
      <c r="A134" s="1" t="s">
        <v>199</v>
      </c>
      <c r="B134" s="1" t="s">
        <v>42</v>
      </c>
      <c r="C134" s="1" t="s">
        <v>87</v>
      </c>
      <c r="D134" s="1" t="s">
        <v>20</v>
      </c>
      <c r="E134" s="1" t="s">
        <v>21</v>
      </c>
      <c r="F134" s="1" t="s">
        <v>52</v>
      </c>
      <c r="G134" s="2">
        <v>45890</v>
      </c>
      <c r="H134" s="2">
        <v>45898</v>
      </c>
      <c r="I134" s="1" t="s">
        <v>82</v>
      </c>
      <c r="J134">
        <v>5</v>
      </c>
      <c r="K134">
        <v>8</v>
      </c>
      <c r="L134">
        <v>14</v>
      </c>
      <c r="M134" s="1" t="s">
        <v>24</v>
      </c>
      <c r="N134" s="2">
        <v>45870</v>
      </c>
      <c r="O134">
        <v>2025</v>
      </c>
      <c r="P134">
        <v>3</v>
      </c>
      <c r="Q134" s="1" t="s">
        <v>24</v>
      </c>
    </row>
    <row r="135" spans="1:17" x14ac:dyDescent="0.3">
      <c r="A135" s="1" t="s">
        <v>200</v>
      </c>
      <c r="B135" s="1" t="s">
        <v>58</v>
      </c>
      <c r="C135" s="1" t="s">
        <v>59</v>
      </c>
      <c r="D135" s="1" t="s">
        <v>20</v>
      </c>
      <c r="E135" s="1" t="s">
        <v>21</v>
      </c>
      <c r="F135" s="1" t="s">
        <v>22</v>
      </c>
      <c r="G135" s="2">
        <v>45670</v>
      </c>
      <c r="H135" s="2">
        <v>45682</v>
      </c>
      <c r="I135" s="1" t="s">
        <v>32</v>
      </c>
      <c r="J135">
        <v>5</v>
      </c>
      <c r="K135">
        <v>12</v>
      </c>
      <c r="L135">
        <v>14</v>
      </c>
      <c r="M135" s="1" t="s">
        <v>24</v>
      </c>
      <c r="N135" s="2">
        <v>45658</v>
      </c>
      <c r="O135">
        <v>2025</v>
      </c>
      <c r="P135">
        <v>1</v>
      </c>
      <c r="Q135" s="1" t="s">
        <v>24</v>
      </c>
    </row>
    <row r="136" spans="1:17" x14ac:dyDescent="0.3">
      <c r="A136" s="1" t="s">
        <v>201</v>
      </c>
      <c r="B136" s="1" t="s">
        <v>26</v>
      </c>
      <c r="C136" s="1" t="s">
        <v>54</v>
      </c>
      <c r="D136" s="1" t="s">
        <v>51</v>
      </c>
      <c r="E136" s="1" t="s">
        <v>21</v>
      </c>
      <c r="F136" s="1" t="s">
        <v>38</v>
      </c>
      <c r="G136" s="2">
        <v>45895</v>
      </c>
      <c r="H136" s="2">
        <v>45901</v>
      </c>
      <c r="I136" s="1" t="s">
        <v>28</v>
      </c>
      <c r="J136">
        <v>4</v>
      </c>
      <c r="K136">
        <v>6</v>
      </c>
      <c r="L136">
        <v>10</v>
      </c>
      <c r="M136" s="1" t="s">
        <v>24</v>
      </c>
      <c r="N136" s="2">
        <v>45870</v>
      </c>
      <c r="O136">
        <v>2025</v>
      </c>
      <c r="P136">
        <v>3</v>
      </c>
      <c r="Q136" s="1" t="s">
        <v>24</v>
      </c>
    </row>
    <row r="137" spans="1:17" x14ac:dyDescent="0.3">
      <c r="A137" s="1" t="s">
        <v>202</v>
      </c>
      <c r="B137" s="1" t="s">
        <v>42</v>
      </c>
      <c r="C137" s="1" t="s">
        <v>81</v>
      </c>
      <c r="D137" s="1" t="s">
        <v>51</v>
      </c>
      <c r="E137" s="1" t="s">
        <v>21</v>
      </c>
      <c r="F137" s="1" t="s">
        <v>61</v>
      </c>
      <c r="G137" s="2">
        <v>45707</v>
      </c>
      <c r="H137" s="2">
        <v>45712</v>
      </c>
      <c r="I137" s="1" t="s">
        <v>39</v>
      </c>
      <c r="J137">
        <v>5</v>
      </c>
      <c r="K137">
        <v>5</v>
      </c>
      <c r="L137">
        <v>10</v>
      </c>
      <c r="M137" s="1" t="s">
        <v>24</v>
      </c>
      <c r="N137" s="2">
        <v>45689</v>
      </c>
      <c r="O137">
        <v>2025</v>
      </c>
      <c r="P137">
        <v>1</v>
      </c>
      <c r="Q137" s="1" t="s">
        <v>24</v>
      </c>
    </row>
    <row r="138" spans="1:17" x14ac:dyDescent="0.3">
      <c r="A138" s="1" t="s">
        <v>203</v>
      </c>
      <c r="B138" s="1" t="s">
        <v>58</v>
      </c>
      <c r="C138" s="1" t="s">
        <v>59</v>
      </c>
      <c r="D138" s="1" t="s">
        <v>51</v>
      </c>
      <c r="E138" s="1" t="s">
        <v>37</v>
      </c>
      <c r="F138" s="1" t="s">
        <v>31</v>
      </c>
      <c r="G138" s="2">
        <v>45934</v>
      </c>
      <c r="H138" s="2"/>
      <c r="I138" s="1" t="s">
        <v>82</v>
      </c>
      <c r="L138">
        <v>10</v>
      </c>
      <c r="M138" s="1" t="s">
        <v>40</v>
      </c>
      <c r="N138" s="2">
        <v>45931</v>
      </c>
      <c r="O138">
        <v>2025</v>
      </c>
      <c r="P138">
        <v>4</v>
      </c>
      <c r="Q138" s="1" t="s">
        <v>33</v>
      </c>
    </row>
    <row r="139" spans="1:17" x14ac:dyDescent="0.3">
      <c r="A139" s="1" t="s">
        <v>204</v>
      </c>
      <c r="B139" s="1" t="s">
        <v>18</v>
      </c>
      <c r="C139" s="1" t="s">
        <v>47</v>
      </c>
      <c r="D139" s="1" t="s">
        <v>44</v>
      </c>
      <c r="E139" s="1" t="s">
        <v>21</v>
      </c>
      <c r="F139" s="1" t="s">
        <v>52</v>
      </c>
      <c r="G139" s="2">
        <v>45908</v>
      </c>
      <c r="H139" s="2">
        <v>45913</v>
      </c>
      <c r="I139" s="1" t="s">
        <v>23</v>
      </c>
      <c r="J139">
        <v>4</v>
      </c>
      <c r="K139">
        <v>5</v>
      </c>
      <c r="L139">
        <v>7</v>
      </c>
      <c r="M139" s="1" t="s">
        <v>24</v>
      </c>
      <c r="N139" s="2">
        <v>45901</v>
      </c>
      <c r="O139">
        <v>2025</v>
      </c>
      <c r="P139">
        <v>3</v>
      </c>
      <c r="Q139" s="1" t="s">
        <v>24</v>
      </c>
    </row>
    <row r="140" spans="1:17" x14ac:dyDescent="0.3">
      <c r="A140" s="1" t="s">
        <v>205</v>
      </c>
      <c r="B140" s="1" t="s">
        <v>18</v>
      </c>
      <c r="C140" s="1" t="s">
        <v>56</v>
      </c>
      <c r="D140" s="1" t="s">
        <v>20</v>
      </c>
      <c r="E140" s="1" t="s">
        <v>21</v>
      </c>
      <c r="F140" s="1" t="s">
        <v>52</v>
      </c>
      <c r="G140" s="2">
        <v>45778</v>
      </c>
      <c r="H140" s="2">
        <v>45786</v>
      </c>
      <c r="I140" s="1" t="s">
        <v>82</v>
      </c>
      <c r="J140">
        <v>2</v>
      </c>
      <c r="K140">
        <v>8</v>
      </c>
      <c r="L140">
        <v>14</v>
      </c>
      <c r="M140" s="1" t="s">
        <v>24</v>
      </c>
      <c r="N140" s="2">
        <v>45778</v>
      </c>
      <c r="O140">
        <v>2025</v>
      </c>
      <c r="P140">
        <v>2</v>
      </c>
      <c r="Q140" s="1" t="s">
        <v>24</v>
      </c>
    </row>
    <row r="141" spans="1:17" x14ac:dyDescent="0.3">
      <c r="A141" s="1" t="s">
        <v>206</v>
      </c>
      <c r="B141" s="1" t="s">
        <v>18</v>
      </c>
      <c r="C141" s="1" t="s">
        <v>56</v>
      </c>
      <c r="D141" s="1" t="s">
        <v>20</v>
      </c>
      <c r="E141" s="1" t="s">
        <v>21</v>
      </c>
      <c r="F141" s="1" t="s">
        <v>61</v>
      </c>
      <c r="G141" s="2">
        <v>45720</v>
      </c>
      <c r="H141" s="2">
        <v>45730</v>
      </c>
      <c r="I141" s="1" t="s">
        <v>82</v>
      </c>
      <c r="J141">
        <v>2</v>
      </c>
      <c r="K141">
        <v>10</v>
      </c>
      <c r="L141">
        <v>14</v>
      </c>
      <c r="M141" s="1" t="s">
        <v>24</v>
      </c>
      <c r="N141" s="2">
        <v>45717</v>
      </c>
      <c r="O141">
        <v>2025</v>
      </c>
      <c r="P141">
        <v>1</v>
      </c>
      <c r="Q141" s="1" t="s">
        <v>24</v>
      </c>
    </row>
    <row r="142" spans="1:17" x14ac:dyDescent="0.3">
      <c r="A142" s="1" t="s">
        <v>207</v>
      </c>
      <c r="B142" s="1" t="s">
        <v>42</v>
      </c>
      <c r="C142" s="1" t="s">
        <v>81</v>
      </c>
      <c r="D142" s="1" t="s">
        <v>44</v>
      </c>
      <c r="E142" s="1" t="s">
        <v>21</v>
      </c>
      <c r="F142" s="1" t="s">
        <v>38</v>
      </c>
      <c r="G142" s="2">
        <v>45722</v>
      </c>
      <c r="H142" s="2">
        <v>45729</v>
      </c>
      <c r="I142" s="1" t="s">
        <v>82</v>
      </c>
      <c r="J142">
        <v>4</v>
      </c>
      <c r="K142">
        <v>7</v>
      </c>
      <c r="L142">
        <v>7</v>
      </c>
      <c r="M142" s="1" t="s">
        <v>24</v>
      </c>
      <c r="N142" s="2">
        <v>45717</v>
      </c>
      <c r="O142">
        <v>2025</v>
      </c>
      <c r="P142">
        <v>1</v>
      </c>
      <c r="Q142" s="1" t="s">
        <v>24</v>
      </c>
    </row>
    <row r="143" spans="1:17" x14ac:dyDescent="0.3">
      <c r="A143" s="1" t="s">
        <v>208</v>
      </c>
      <c r="B143" s="1" t="s">
        <v>63</v>
      </c>
      <c r="C143" s="1" t="s">
        <v>64</v>
      </c>
      <c r="D143" s="1" t="s">
        <v>44</v>
      </c>
      <c r="E143" s="1" t="s">
        <v>21</v>
      </c>
      <c r="F143" s="1" t="s">
        <v>38</v>
      </c>
      <c r="G143" s="2">
        <v>45733</v>
      </c>
      <c r="H143" s="2">
        <v>45740</v>
      </c>
      <c r="I143" s="1" t="s">
        <v>32</v>
      </c>
      <c r="J143">
        <v>5</v>
      </c>
      <c r="K143">
        <v>7</v>
      </c>
      <c r="L143">
        <v>7</v>
      </c>
      <c r="M143" s="1" t="s">
        <v>24</v>
      </c>
      <c r="N143" s="2">
        <v>45717</v>
      </c>
      <c r="O143">
        <v>2025</v>
      </c>
      <c r="P143">
        <v>1</v>
      </c>
      <c r="Q143" s="1" t="s">
        <v>24</v>
      </c>
    </row>
    <row r="144" spans="1:17" x14ac:dyDescent="0.3">
      <c r="A144" s="1" t="s">
        <v>209</v>
      </c>
      <c r="B144" s="1" t="s">
        <v>63</v>
      </c>
      <c r="C144" s="1" t="s">
        <v>64</v>
      </c>
      <c r="D144" s="1" t="s">
        <v>51</v>
      </c>
      <c r="E144" s="1" t="s">
        <v>37</v>
      </c>
      <c r="F144" s="1" t="s">
        <v>38</v>
      </c>
      <c r="G144" s="2">
        <v>45714</v>
      </c>
      <c r="H144" s="2"/>
      <c r="I144" s="1" t="s">
        <v>28</v>
      </c>
      <c r="L144">
        <v>10</v>
      </c>
      <c r="M144" s="1" t="s">
        <v>40</v>
      </c>
      <c r="N144" s="2">
        <v>45689</v>
      </c>
      <c r="O144">
        <v>2025</v>
      </c>
      <c r="P144">
        <v>1</v>
      </c>
      <c r="Q144" s="1" t="s">
        <v>33</v>
      </c>
    </row>
    <row r="145" spans="1:17" x14ac:dyDescent="0.3">
      <c r="A145" s="1" t="s">
        <v>210</v>
      </c>
      <c r="B145" s="1" t="s">
        <v>42</v>
      </c>
      <c r="C145" s="1" t="s">
        <v>43</v>
      </c>
      <c r="D145" s="1" t="s">
        <v>44</v>
      </c>
      <c r="E145" s="1" t="s">
        <v>21</v>
      </c>
      <c r="F145" s="1" t="s">
        <v>38</v>
      </c>
      <c r="G145" s="2">
        <v>45823</v>
      </c>
      <c r="H145" s="2">
        <v>45824</v>
      </c>
      <c r="I145" s="1" t="s">
        <v>28</v>
      </c>
      <c r="J145">
        <v>3</v>
      </c>
      <c r="K145">
        <v>1</v>
      </c>
      <c r="L145">
        <v>7</v>
      </c>
      <c r="M145" s="1" t="s">
        <v>24</v>
      </c>
      <c r="N145" s="2">
        <v>45809</v>
      </c>
      <c r="O145">
        <v>2025</v>
      </c>
      <c r="P145">
        <v>2</v>
      </c>
      <c r="Q145" s="1" t="s">
        <v>24</v>
      </c>
    </row>
    <row r="146" spans="1:17" x14ac:dyDescent="0.3">
      <c r="A146" s="1" t="s">
        <v>211</v>
      </c>
      <c r="B146" s="1" t="s">
        <v>18</v>
      </c>
      <c r="C146" s="1" t="s">
        <v>30</v>
      </c>
      <c r="D146" s="1" t="s">
        <v>51</v>
      </c>
      <c r="E146" s="1" t="s">
        <v>37</v>
      </c>
      <c r="F146" s="1" t="s">
        <v>31</v>
      </c>
      <c r="G146" s="2">
        <v>45901</v>
      </c>
      <c r="H146" s="2"/>
      <c r="I146" s="1" t="s">
        <v>32</v>
      </c>
      <c r="L146">
        <v>10</v>
      </c>
      <c r="M146" s="1" t="s">
        <v>40</v>
      </c>
      <c r="N146" s="2">
        <v>45901</v>
      </c>
      <c r="O146">
        <v>2025</v>
      </c>
      <c r="P146">
        <v>3</v>
      </c>
      <c r="Q146" s="1" t="s">
        <v>33</v>
      </c>
    </row>
    <row r="147" spans="1:17" x14ac:dyDescent="0.3">
      <c r="A147" s="1" t="s">
        <v>212</v>
      </c>
      <c r="B147" s="1" t="s">
        <v>26</v>
      </c>
      <c r="C147" s="1" t="s">
        <v>67</v>
      </c>
      <c r="D147" s="1" t="s">
        <v>51</v>
      </c>
      <c r="E147" s="1" t="s">
        <v>21</v>
      </c>
      <c r="F147" s="1" t="s">
        <v>22</v>
      </c>
      <c r="G147" s="2">
        <v>45972</v>
      </c>
      <c r="H147" s="2">
        <v>45974</v>
      </c>
      <c r="I147" s="1" t="s">
        <v>32</v>
      </c>
      <c r="J147">
        <v>5</v>
      </c>
      <c r="K147">
        <v>2</v>
      </c>
      <c r="L147">
        <v>10</v>
      </c>
      <c r="M147" s="1" t="s">
        <v>24</v>
      </c>
      <c r="N147" s="2">
        <v>45962</v>
      </c>
      <c r="O147">
        <v>2025</v>
      </c>
      <c r="P147">
        <v>4</v>
      </c>
      <c r="Q147" s="1" t="s">
        <v>24</v>
      </c>
    </row>
    <row r="148" spans="1:17" x14ac:dyDescent="0.3">
      <c r="A148" s="1" t="s">
        <v>213</v>
      </c>
      <c r="B148" s="1" t="s">
        <v>58</v>
      </c>
      <c r="C148" s="1" t="s">
        <v>70</v>
      </c>
      <c r="D148" s="1" t="s">
        <v>20</v>
      </c>
      <c r="E148" s="1" t="s">
        <v>21</v>
      </c>
      <c r="F148" s="1" t="s">
        <v>31</v>
      </c>
      <c r="G148" s="2">
        <v>45863</v>
      </c>
      <c r="H148" s="2">
        <v>45872</v>
      </c>
      <c r="I148" s="1" t="s">
        <v>39</v>
      </c>
      <c r="J148">
        <v>5</v>
      </c>
      <c r="K148">
        <v>9</v>
      </c>
      <c r="L148">
        <v>14</v>
      </c>
      <c r="M148" s="1" t="s">
        <v>24</v>
      </c>
      <c r="N148" s="2">
        <v>45839</v>
      </c>
      <c r="O148">
        <v>2025</v>
      </c>
      <c r="P148">
        <v>3</v>
      </c>
      <c r="Q148" s="1" t="s">
        <v>24</v>
      </c>
    </row>
    <row r="149" spans="1:17" x14ac:dyDescent="0.3">
      <c r="A149" s="1" t="s">
        <v>214</v>
      </c>
      <c r="B149" s="1" t="s">
        <v>42</v>
      </c>
      <c r="C149" s="1" t="s">
        <v>81</v>
      </c>
      <c r="D149" s="1" t="s">
        <v>51</v>
      </c>
      <c r="E149" s="1" t="s">
        <v>21</v>
      </c>
      <c r="F149" s="1" t="s">
        <v>22</v>
      </c>
      <c r="G149" s="2">
        <v>45722</v>
      </c>
      <c r="H149" s="2">
        <v>45728</v>
      </c>
      <c r="I149" s="1" t="s">
        <v>82</v>
      </c>
      <c r="J149">
        <v>4</v>
      </c>
      <c r="K149">
        <v>6</v>
      </c>
      <c r="L149">
        <v>10</v>
      </c>
      <c r="M149" s="1" t="s">
        <v>24</v>
      </c>
      <c r="N149" s="2">
        <v>45717</v>
      </c>
      <c r="O149">
        <v>2025</v>
      </c>
      <c r="P149">
        <v>1</v>
      </c>
      <c r="Q149" s="1" t="s">
        <v>24</v>
      </c>
    </row>
    <row r="150" spans="1:17" x14ac:dyDescent="0.3">
      <c r="A150" s="1" t="s">
        <v>215</v>
      </c>
      <c r="B150" s="1" t="s">
        <v>18</v>
      </c>
      <c r="C150" s="1" t="s">
        <v>56</v>
      </c>
      <c r="D150" s="1" t="s">
        <v>51</v>
      </c>
      <c r="E150" s="1" t="s">
        <v>21</v>
      </c>
      <c r="F150" s="1" t="s">
        <v>31</v>
      </c>
      <c r="G150" s="2">
        <v>45808</v>
      </c>
      <c r="H150" s="2">
        <v>45817</v>
      </c>
      <c r="I150" s="1" t="s">
        <v>23</v>
      </c>
      <c r="J150">
        <v>4</v>
      </c>
      <c r="K150">
        <v>9</v>
      </c>
      <c r="L150">
        <v>10</v>
      </c>
      <c r="M150" s="1" t="s">
        <v>24</v>
      </c>
      <c r="N150" s="2">
        <v>45778</v>
      </c>
      <c r="O150">
        <v>2025</v>
      </c>
      <c r="P150">
        <v>2</v>
      </c>
      <c r="Q150" s="1" t="s">
        <v>24</v>
      </c>
    </row>
    <row r="151" spans="1:17" x14ac:dyDescent="0.3">
      <c r="A151" s="1" t="s">
        <v>216</v>
      </c>
      <c r="B151" s="1" t="s">
        <v>18</v>
      </c>
      <c r="C151" s="1" t="s">
        <v>19</v>
      </c>
      <c r="D151" s="1" t="s">
        <v>44</v>
      </c>
      <c r="E151" s="1" t="s">
        <v>21</v>
      </c>
      <c r="F151" s="1" t="s">
        <v>31</v>
      </c>
      <c r="G151" s="2">
        <v>45940</v>
      </c>
      <c r="H151" s="2">
        <v>45946</v>
      </c>
      <c r="I151" s="1" t="s">
        <v>39</v>
      </c>
      <c r="J151">
        <v>5</v>
      </c>
      <c r="K151">
        <v>6</v>
      </c>
      <c r="L151">
        <v>7</v>
      </c>
      <c r="M151" s="1" t="s">
        <v>24</v>
      </c>
      <c r="N151" s="2">
        <v>45931</v>
      </c>
      <c r="O151">
        <v>2025</v>
      </c>
      <c r="P151">
        <v>4</v>
      </c>
      <c r="Q151" s="1" t="s">
        <v>24</v>
      </c>
    </row>
    <row r="152" spans="1:17" x14ac:dyDescent="0.3">
      <c r="A152" s="1" t="s">
        <v>217</v>
      </c>
      <c r="B152" s="1" t="s">
        <v>63</v>
      </c>
      <c r="C152" s="1" t="s">
        <v>89</v>
      </c>
      <c r="D152" s="1" t="s">
        <v>51</v>
      </c>
      <c r="E152" s="1" t="s">
        <v>21</v>
      </c>
      <c r="F152" s="1" t="s">
        <v>52</v>
      </c>
      <c r="G152" s="2">
        <v>45870</v>
      </c>
      <c r="H152" s="2">
        <v>45873</v>
      </c>
      <c r="I152" s="1" t="s">
        <v>32</v>
      </c>
      <c r="J152">
        <v>4</v>
      </c>
      <c r="K152">
        <v>3</v>
      </c>
      <c r="L152">
        <v>10</v>
      </c>
      <c r="M152" s="1" t="s">
        <v>24</v>
      </c>
      <c r="N152" s="2">
        <v>45870</v>
      </c>
      <c r="O152">
        <v>2025</v>
      </c>
      <c r="P152">
        <v>3</v>
      </c>
      <c r="Q152" s="1" t="s">
        <v>24</v>
      </c>
    </row>
    <row r="153" spans="1:17" x14ac:dyDescent="0.3">
      <c r="A153" s="1" t="s">
        <v>218</v>
      </c>
      <c r="B153" s="1" t="s">
        <v>35</v>
      </c>
      <c r="C153" s="1" t="s">
        <v>36</v>
      </c>
      <c r="D153" s="1" t="s">
        <v>51</v>
      </c>
      <c r="E153" s="1" t="s">
        <v>21</v>
      </c>
      <c r="F153" s="1" t="s">
        <v>38</v>
      </c>
      <c r="G153" s="2">
        <v>45704</v>
      </c>
      <c r="H153" s="2">
        <v>45707</v>
      </c>
      <c r="I153" s="1" t="s">
        <v>32</v>
      </c>
      <c r="J153">
        <v>2</v>
      </c>
      <c r="K153">
        <v>3</v>
      </c>
      <c r="L153">
        <v>10</v>
      </c>
      <c r="M153" s="1" t="s">
        <v>24</v>
      </c>
      <c r="N153" s="2">
        <v>45689</v>
      </c>
      <c r="O153">
        <v>2025</v>
      </c>
      <c r="P153">
        <v>1</v>
      </c>
      <c r="Q153" s="1" t="s">
        <v>24</v>
      </c>
    </row>
    <row r="154" spans="1:17" x14ac:dyDescent="0.3">
      <c r="A154" s="1" t="s">
        <v>219</v>
      </c>
      <c r="B154" s="1" t="s">
        <v>63</v>
      </c>
      <c r="C154" s="1" t="s">
        <v>74</v>
      </c>
      <c r="D154" s="1" t="s">
        <v>51</v>
      </c>
      <c r="E154" s="1" t="s">
        <v>21</v>
      </c>
      <c r="F154" s="1" t="s">
        <v>31</v>
      </c>
      <c r="G154" s="2">
        <v>45826</v>
      </c>
      <c r="H154" s="2">
        <v>45829</v>
      </c>
      <c r="I154" s="1" t="s">
        <v>23</v>
      </c>
      <c r="J154">
        <v>4</v>
      </c>
      <c r="K154">
        <v>3</v>
      </c>
      <c r="L154">
        <v>10</v>
      </c>
      <c r="M154" s="1" t="s">
        <v>24</v>
      </c>
      <c r="N154" s="2">
        <v>45809</v>
      </c>
      <c r="O154">
        <v>2025</v>
      </c>
      <c r="P154">
        <v>2</v>
      </c>
      <c r="Q154" s="1" t="s">
        <v>24</v>
      </c>
    </row>
    <row r="155" spans="1:17" x14ac:dyDescent="0.3">
      <c r="A155" s="1" t="s">
        <v>220</v>
      </c>
      <c r="B155" s="1" t="s">
        <v>35</v>
      </c>
      <c r="C155" s="1" t="s">
        <v>97</v>
      </c>
      <c r="D155" s="1" t="s">
        <v>51</v>
      </c>
      <c r="E155" s="1" t="s">
        <v>21</v>
      </c>
      <c r="F155" s="1" t="s">
        <v>61</v>
      </c>
      <c r="G155" s="2">
        <v>45766</v>
      </c>
      <c r="H155" s="2">
        <v>45770</v>
      </c>
      <c r="I155" s="1" t="s">
        <v>23</v>
      </c>
      <c r="J155">
        <v>4</v>
      </c>
      <c r="K155">
        <v>4</v>
      </c>
      <c r="L155">
        <v>10</v>
      </c>
      <c r="M155" s="1" t="s">
        <v>24</v>
      </c>
      <c r="N155" s="2">
        <v>45748</v>
      </c>
      <c r="O155">
        <v>2025</v>
      </c>
      <c r="P155">
        <v>2</v>
      </c>
      <c r="Q155" s="1" t="s">
        <v>24</v>
      </c>
    </row>
    <row r="156" spans="1:17" x14ac:dyDescent="0.3">
      <c r="A156" s="1" t="s">
        <v>221</v>
      </c>
      <c r="B156" s="1" t="s">
        <v>35</v>
      </c>
      <c r="C156" s="1" t="s">
        <v>97</v>
      </c>
      <c r="D156" s="1" t="s">
        <v>20</v>
      </c>
      <c r="E156" s="1" t="s">
        <v>21</v>
      </c>
      <c r="F156" s="1" t="s">
        <v>22</v>
      </c>
      <c r="G156" s="2">
        <v>45773</v>
      </c>
      <c r="H156" s="2">
        <v>45788</v>
      </c>
      <c r="I156" s="1" t="s">
        <v>82</v>
      </c>
      <c r="J156">
        <v>4</v>
      </c>
      <c r="K156">
        <v>15</v>
      </c>
      <c r="L156">
        <v>14</v>
      </c>
      <c r="M156" s="1" t="s">
        <v>33</v>
      </c>
      <c r="N156" s="2">
        <v>45748</v>
      </c>
      <c r="O156">
        <v>2025</v>
      </c>
      <c r="P156">
        <v>2</v>
      </c>
      <c r="Q156" s="1" t="s">
        <v>24</v>
      </c>
    </row>
    <row r="157" spans="1:17" x14ac:dyDescent="0.3">
      <c r="A157" s="1" t="s">
        <v>222</v>
      </c>
      <c r="B157" s="1" t="s">
        <v>26</v>
      </c>
      <c r="C157" s="1" t="s">
        <v>67</v>
      </c>
      <c r="D157" s="1" t="s">
        <v>51</v>
      </c>
      <c r="E157" s="1" t="s">
        <v>21</v>
      </c>
      <c r="F157" s="1" t="s">
        <v>52</v>
      </c>
      <c r="G157" s="2">
        <v>46013</v>
      </c>
      <c r="H157" s="2">
        <v>46019</v>
      </c>
      <c r="I157" s="1" t="s">
        <v>32</v>
      </c>
      <c r="J157">
        <v>1</v>
      </c>
      <c r="K157">
        <v>6</v>
      </c>
      <c r="L157">
        <v>10</v>
      </c>
      <c r="M157" s="1" t="s">
        <v>24</v>
      </c>
      <c r="N157" s="2">
        <v>45992</v>
      </c>
      <c r="O157">
        <v>2025</v>
      </c>
      <c r="P157">
        <v>4</v>
      </c>
      <c r="Q157" s="1" t="s">
        <v>24</v>
      </c>
    </row>
    <row r="158" spans="1:17" x14ac:dyDescent="0.3">
      <c r="A158" s="1" t="s">
        <v>223</v>
      </c>
      <c r="B158" s="1" t="s">
        <v>35</v>
      </c>
      <c r="C158" s="1" t="s">
        <v>97</v>
      </c>
      <c r="D158" s="1" t="s">
        <v>20</v>
      </c>
      <c r="E158" s="1" t="s">
        <v>48</v>
      </c>
      <c r="F158" s="1" t="s">
        <v>31</v>
      </c>
      <c r="G158" s="2">
        <v>45947</v>
      </c>
      <c r="H158" s="2"/>
      <c r="I158" s="1" t="s">
        <v>23</v>
      </c>
      <c r="L158">
        <v>14</v>
      </c>
      <c r="M158" s="1" t="s">
        <v>40</v>
      </c>
      <c r="N158" s="2">
        <v>45931</v>
      </c>
      <c r="O158">
        <v>2025</v>
      </c>
      <c r="P158">
        <v>4</v>
      </c>
      <c r="Q158" s="1" t="s">
        <v>33</v>
      </c>
    </row>
    <row r="159" spans="1:17" x14ac:dyDescent="0.3">
      <c r="A159" s="1" t="s">
        <v>224</v>
      </c>
      <c r="B159" s="1" t="s">
        <v>63</v>
      </c>
      <c r="C159" s="1" t="s">
        <v>74</v>
      </c>
      <c r="D159" s="1" t="s">
        <v>20</v>
      </c>
      <c r="E159" s="1" t="s">
        <v>21</v>
      </c>
      <c r="F159" s="1" t="s">
        <v>61</v>
      </c>
      <c r="G159" s="2">
        <v>45850</v>
      </c>
      <c r="H159" s="2">
        <v>45859</v>
      </c>
      <c r="I159" s="1" t="s">
        <v>32</v>
      </c>
      <c r="J159">
        <v>4</v>
      </c>
      <c r="K159">
        <v>9</v>
      </c>
      <c r="L159">
        <v>14</v>
      </c>
      <c r="M159" s="1" t="s">
        <v>24</v>
      </c>
      <c r="N159" s="2">
        <v>45839</v>
      </c>
      <c r="O159">
        <v>2025</v>
      </c>
      <c r="P159">
        <v>3</v>
      </c>
      <c r="Q159" s="1" t="s">
        <v>24</v>
      </c>
    </row>
    <row r="160" spans="1:17" x14ac:dyDescent="0.3">
      <c r="A160" s="1" t="s">
        <v>225</v>
      </c>
      <c r="B160" s="1" t="s">
        <v>35</v>
      </c>
      <c r="C160" s="1" t="s">
        <v>97</v>
      </c>
      <c r="D160" s="1" t="s">
        <v>44</v>
      </c>
      <c r="E160" s="1" t="s">
        <v>21</v>
      </c>
      <c r="F160" s="1" t="s">
        <v>22</v>
      </c>
      <c r="G160" s="2">
        <v>45701</v>
      </c>
      <c r="H160" s="2">
        <v>45702</v>
      </c>
      <c r="I160" s="1" t="s">
        <v>23</v>
      </c>
      <c r="J160">
        <v>3</v>
      </c>
      <c r="K160">
        <v>1</v>
      </c>
      <c r="L160">
        <v>7</v>
      </c>
      <c r="M160" s="1" t="s">
        <v>24</v>
      </c>
      <c r="N160" s="2">
        <v>45689</v>
      </c>
      <c r="O160">
        <v>2025</v>
      </c>
      <c r="P160">
        <v>1</v>
      </c>
      <c r="Q160" s="1" t="s">
        <v>24</v>
      </c>
    </row>
    <row r="161" spans="1:17" x14ac:dyDescent="0.3">
      <c r="A161" s="1" t="s">
        <v>226</v>
      </c>
      <c r="B161" s="1" t="s">
        <v>18</v>
      </c>
      <c r="C161" s="1" t="s">
        <v>19</v>
      </c>
      <c r="D161" s="1" t="s">
        <v>51</v>
      </c>
      <c r="E161" s="1" t="s">
        <v>21</v>
      </c>
      <c r="F161" s="1" t="s">
        <v>61</v>
      </c>
      <c r="G161" s="2">
        <v>45906</v>
      </c>
      <c r="H161" s="2">
        <v>45915</v>
      </c>
      <c r="I161" s="1" t="s">
        <v>82</v>
      </c>
      <c r="J161">
        <v>4</v>
      </c>
      <c r="K161">
        <v>9</v>
      </c>
      <c r="L161">
        <v>10</v>
      </c>
      <c r="M161" s="1" t="s">
        <v>24</v>
      </c>
      <c r="N161" s="2">
        <v>45901</v>
      </c>
      <c r="O161">
        <v>2025</v>
      </c>
      <c r="P161">
        <v>3</v>
      </c>
      <c r="Q161" s="1" t="s">
        <v>24</v>
      </c>
    </row>
    <row r="162" spans="1:17" x14ac:dyDescent="0.3">
      <c r="A162" s="1" t="s">
        <v>227</v>
      </c>
      <c r="B162" s="1" t="s">
        <v>42</v>
      </c>
      <c r="C162" s="1" t="s">
        <v>43</v>
      </c>
      <c r="D162" s="1" t="s">
        <v>51</v>
      </c>
      <c r="E162" s="1" t="s">
        <v>21</v>
      </c>
      <c r="F162" s="1" t="s">
        <v>52</v>
      </c>
      <c r="G162" s="2">
        <v>46005</v>
      </c>
      <c r="H162" s="2">
        <v>46014</v>
      </c>
      <c r="I162" s="1" t="s">
        <v>23</v>
      </c>
      <c r="J162">
        <v>4</v>
      </c>
      <c r="K162">
        <v>9</v>
      </c>
      <c r="L162">
        <v>10</v>
      </c>
      <c r="M162" s="1" t="s">
        <v>24</v>
      </c>
      <c r="N162" s="2">
        <v>45992</v>
      </c>
      <c r="O162">
        <v>2025</v>
      </c>
      <c r="P162">
        <v>4</v>
      </c>
      <c r="Q162" s="1" t="s">
        <v>24</v>
      </c>
    </row>
    <row r="163" spans="1:17" x14ac:dyDescent="0.3">
      <c r="A163" s="1" t="s">
        <v>228</v>
      </c>
      <c r="B163" s="1" t="s">
        <v>63</v>
      </c>
      <c r="C163" s="1" t="s">
        <v>89</v>
      </c>
      <c r="D163" s="1" t="s">
        <v>71</v>
      </c>
      <c r="E163" s="1" t="s">
        <v>21</v>
      </c>
      <c r="F163" s="1" t="s">
        <v>61</v>
      </c>
      <c r="G163" s="2">
        <v>45762</v>
      </c>
      <c r="H163" s="2">
        <v>45764</v>
      </c>
      <c r="I163" s="1" t="s">
        <v>32</v>
      </c>
      <c r="J163">
        <v>5</v>
      </c>
      <c r="K163">
        <v>2</v>
      </c>
      <c r="L163">
        <v>3</v>
      </c>
      <c r="M163" s="1" t="s">
        <v>24</v>
      </c>
      <c r="N163" s="2">
        <v>45748</v>
      </c>
      <c r="O163">
        <v>2025</v>
      </c>
      <c r="P163">
        <v>2</v>
      </c>
      <c r="Q163" s="1" t="s">
        <v>24</v>
      </c>
    </row>
    <row r="164" spans="1:17" x14ac:dyDescent="0.3">
      <c r="A164" s="1" t="s">
        <v>229</v>
      </c>
      <c r="B164" s="1" t="s">
        <v>35</v>
      </c>
      <c r="C164" s="1" t="s">
        <v>97</v>
      </c>
      <c r="D164" s="1" t="s">
        <v>20</v>
      </c>
      <c r="E164" s="1" t="s">
        <v>21</v>
      </c>
      <c r="F164" s="1" t="s">
        <v>22</v>
      </c>
      <c r="G164" s="2">
        <v>45878</v>
      </c>
      <c r="H164" s="2">
        <v>45883</v>
      </c>
      <c r="I164" s="1" t="s">
        <v>28</v>
      </c>
      <c r="J164">
        <v>3</v>
      </c>
      <c r="K164">
        <v>5</v>
      </c>
      <c r="L164">
        <v>14</v>
      </c>
      <c r="M164" s="1" t="s">
        <v>24</v>
      </c>
      <c r="N164" s="2">
        <v>45870</v>
      </c>
      <c r="O164">
        <v>2025</v>
      </c>
      <c r="P164">
        <v>3</v>
      </c>
      <c r="Q164" s="1" t="s">
        <v>24</v>
      </c>
    </row>
    <row r="165" spans="1:17" x14ac:dyDescent="0.3">
      <c r="A165" s="1" t="s">
        <v>230</v>
      </c>
      <c r="B165" s="1" t="s">
        <v>26</v>
      </c>
      <c r="C165" s="1" t="s">
        <v>123</v>
      </c>
      <c r="D165" s="1" t="s">
        <v>20</v>
      </c>
      <c r="E165" s="1" t="s">
        <v>48</v>
      </c>
      <c r="F165" s="1" t="s">
        <v>31</v>
      </c>
      <c r="G165" s="2">
        <v>45679</v>
      </c>
      <c r="H165" s="2"/>
      <c r="I165" s="1" t="s">
        <v>23</v>
      </c>
      <c r="L165">
        <v>14</v>
      </c>
      <c r="M165" s="1" t="s">
        <v>40</v>
      </c>
      <c r="N165" s="2">
        <v>45658</v>
      </c>
      <c r="O165">
        <v>2025</v>
      </c>
      <c r="P165">
        <v>1</v>
      </c>
      <c r="Q165" s="1" t="s">
        <v>33</v>
      </c>
    </row>
    <row r="166" spans="1:17" x14ac:dyDescent="0.3">
      <c r="A166" s="1" t="s">
        <v>231</v>
      </c>
      <c r="B166" s="1" t="s">
        <v>58</v>
      </c>
      <c r="C166" s="1" t="s">
        <v>70</v>
      </c>
      <c r="D166" s="1" t="s">
        <v>44</v>
      </c>
      <c r="E166" s="1" t="s">
        <v>21</v>
      </c>
      <c r="F166" s="1" t="s">
        <v>31</v>
      </c>
      <c r="G166" s="2">
        <v>45951</v>
      </c>
      <c r="H166" s="2">
        <v>45955</v>
      </c>
      <c r="I166" s="1" t="s">
        <v>32</v>
      </c>
      <c r="J166">
        <v>5</v>
      </c>
      <c r="K166">
        <v>4</v>
      </c>
      <c r="L166">
        <v>7</v>
      </c>
      <c r="M166" s="1" t="s">
        <v>24</v>
      </c>
      <c r="N166" s="2">
        <v>45931</v>
      </c>
      <c r="O166">
        <v>2025</v>
      </c>
      <c r="P166">
        <v>4</v>
      </c>
      <c r="Q166" s="1" t="s">
        <v>24</v>
      </c>
    </row>
    <row r="167" spans="1:17" x14ac:dyDescent="0.3">
      <c r="A167" s="1" t="s">
        <v>232</v>
      </c>
      <c r="B167" s="1" t="s">
        <v>42</v>
      </c>
      <c r="C167" s="1" t="s">
        <v>87</v>
      </c>
      <c r="D167" s="1" t="s">
        <v>20</v>
      </c>
      <c r="E167" s="1" t="s">
        <v>21</v>
      </c>
      <c r="F167" s="1" t="s">
        <v>52</v>
      </c>
      <c r="G167" s="2">
        <v>45974</v>
      </c>
      <c r="H167" s="2">
        <v>45984</v>
      </c>
      <c r="I167" s="1" t="s">
        <v>23</v>
      </c>
      <c r="J167">
        <v>5</v>
      </c>
      <c r="K167">
        <v>10</v>
      </c>
      <c r="L167">
        <v>14</v>
      </c>
      <c r="M167" s="1" t="s">
        <v>24</v>
      </c>
      <c r="N167" s="2">
        <v>45962</v>
      </c>
      <c r="O167">
        <v>2025</v>
      </c>
      <c r="P167">
        <v>4</v>
      </c>
      <c r="Q167" s="1" t="s">
        <v>24</v>
      </c>
    </row>
    <row r="168" spans="1:17" x14ac:dyDescent="0.3">
      <c r="A168" s="1" t="s">
        <v>233</v>
      </c>
      <c r="B168" s="1" t="s">
        <v>58</v>
      </c>
      <c r="C168" s="1" t="s">
        <v>70</v>
      </c>
      <c r="D168" s="1" t="s">
        <v>20</v>
      </c>
      <c r="E168" s="1" t="s">
        <v>21</v>
      </c>
      <c r="F168" s="1" t="s">
        <v>52</v>
      </c>
      <c r="G168" s="2">
        <v>45926</v>
      </c>
      <c r="H168" s="2">
        <v>45930</v>
      </c>
      <c r="I168" s="1" t="s">
        <v>32</v>
      </c>
      <c r="J168">
        <v>4</v>
      </c>
      <c r="K168">
        <v>4</v>
      </c>
      <c r="L168">
        <v>14</v>
      </c>
      <c r="M168" s="1" t="s">
        <v>24</v>
      </c>
      <c r="N168" s="2">
        <v>45901</v>
      </c>
      <c r="O168">
        <v>2025</v>
      </c>
      <c r="P168">
        <v>3</v>
      </c>
      <c r="Q168" s="1" t="s">
        <v>24</v>
      </c>
    </row>
    <row r="169" spans="1:17" x14ac:dyDescent="0.3">
      <c r="A169" s="1" t="s">
        <v>234</v>
      </c>
      <c r="B169" s="1" t="s">
        <v>63</v>
      </c>
      <c r="C169" s="1" t="s">
        <v>84</v>
      </c>
      <c r="D169" s="1" t="s">
        <v>44</v>
      </c>
      <c r="E169" s="1" t="s">
        <v>21</v>
      </c>
      <c r="F169" s="1" t="s">
        <v>61</v>
      </c>
      <c r="G169" s="2">
        <v>45982</v>
      </c>
      <c r="H169" s="2">
        <v>45983</v>
      </c>
      <c r="I169" s="1" t="s">
        <v>32</v>
      </c>
      <c r="J169">
        <v>4</v>
      </c>
      <c r="K169">
        <v>1</v>
      </c>
      <c r="L169">
        <v>7</v>
      </c>
      <c r="M169" s="1" t="s">
        <v>24</v>
      </c>
      <c r="N169" s="2">
        <v>45962</v>
      </c>
      <c r="O169">
        <v>2025</v>
      </c>
      <c r="P169">
        <v>4</v>
      </c>
      <c r="Q169" s="1" t="s">
        <v>24</v>
      </c>
    </row>
    <row r="170" spans="1:17" x14ac:dyDescent="0.3">
      <c r="A170" s="1" t="s">
        <v>235</v>
      </c>
      <c r="B170" s="1" t="s">
        <v>35</v>
      </c>
      <c r="C170" s="1" t="s">
        <v>36</v>
      </c>
      <c r="D170" s="1" t="s">
        <v>20</v>
      </c>
      <c r="E170" s="1" t="s">
        <v>21</v>
      </c>
      <c r="F170" s="1" t="s">
        <v>38</v>
      </c>
      <c r="G170" s="2">
        <v>45759</v>
      </c>
      <c r="H170" s="2">
        <v>45764</v>
      </c>
      <c r="I170" s="1" t="s">
        <v>28</v>
      </c>
      <c r="J170">
        <v>4</v>
      </c>
      <c r="K170">
        <v>5</v>
      </c>
      <c r="L170">
        <v>14</v>
      </c>
      <c r="M170" s="1" t="s">
        <v>24</v>
      </c>
      <c r="N170" s="2">
        <v>45748</v>
      </c>
      <c r="O170">
        <v>2025</v>
      </c>
      <c r="P170">
        <v>2</v>
      </c>
      <c r="Q170" s="1" t="s">
        <v>24</v>
      </c>
    </row>
    <row r="171" spans="1:17" x14ac:dyDescent="0.3">
      <c r="A171" s="1" t="s">
        <v>236</v>
      </c>
      <c r="B171" s="1" t="s">
        <v>18</v>
      </c>
      <c r="C171" s="1" t="s">
        <v>30</v>
      </c>
      <c r="D171" s="1" t="s">
        <v>51</v>
      </c>
      <c r="E171" s="1" t="s">
        <v>21</v>
      </c>
      <c r="F171" s="1" t="s">
        <v>22</v>
      </c>
      <c r="G171" s="2">
        <v>45954</v>
      </c>
      <c r="H171" s="2">
        <v>45963</v>
      </c>
      <c r="I171" s="1" t="s">
        <v>82</v>
      </c>
      <c r="J171">
        <v>5</v>
      </c>
      <c r="K171">
        <v>9</v>
      </c>
      <c r="L171">
        <v>10</v>
      </c>
      <c r="M171" s="1" t="s">
        <v>24</v>
      </c>
      <c r="N171" s="2">
        <v>45931</v>
      </c>
      <c r="O171">
        <v>2025</v>
      </c>
      <c r="P171">
        <v>4</v>
      </c>
      <c r="Q171" s="1" t="s">
        <v>24</v>
      </c>
    </row>
    <row r="172" spans="1:17" x14ac:dyDescent="0.3">
      <c r="A172" s="1" t="s">
        <v>237</v>
      </c>
      <c r="B172" s="1" t="s">
        <v>35</v>
      </c>
      <c r="C172" s="1" t="s">
        <v>97</v>
      </c>
      <c r="D172" s="1" t="s">
        <v>20</v>
      </c>
      <c r="E172" s="1" t="s">
        <v>21</v>
      </c>
      <c r="F172" s="1" t="s">
        <v>52</v>
      </c>
      <c r="G172" s="2">
        <v>45884</v>
      </c>
      <c r="H172" s="2">
        <v>45897</v>
      </c>
      <c r="I172" s="1" t="s">
        <v>82</v>
      </c>
      <c r="J172">
        <v>4</v>
      </c>
      <c r="K172">
        <v>13</v>
      </c>
      <c r="L172">
        <v>14</v>
      </c>
      <c r="M172" s="1" t="s">
        <v>24</v>
      </c>
      <c r="N172" s="2">
        <v>45870</v>
      </c>
      <c r="O172">
        <v>2025</v>
      </c>
      <c r="P172">
        <v>3</v>
      </c>
      <c r="Q172" s="1" t="s">
        <v>24</v>
      </c>
    </row>
    <row r="173" spans="1:17" x14ac:dyDescent="0.3">
      <c r="A173" s="1" t="s">
        <v>238</v>
      </c>
      <c r="B173" s="1" t="s">
        <v>42</v>
      </c>
      <c r="C173" s="1" t="s">
        <v>43</v>
      </c>
      <c r="D173" s="1" t="s">
        <v>51</v>
      </c>
      <c r="E173" s="1" t="s">
        <v>21</v>
      </c>
      <c r="F173" s="1" t="s">
        <v>52</v>
      </c>
      <c r="G173" s="2">
        <v>45889</v>
      </c>
      <c r="H173" s="2">
        <v>45891</v>
      </c>
      <c r="I173" s="1" t="s">
        <v>23</v>
      </c>
      <c r="J173">
        <v>2</v>
      </c>
      <c r="K173">
        <v>2</v>
      </c>
      <c r="L173">
        <v>10</v>
      </c>
      <c r="M173" s="1" t="s">
        <v>24</v>
      </c>
      <c r="N173" s="2">
        <v>45870</v>
      </c>
      <c r="O173">
        <v>2025</v>
      </c>
      <c r="P173">
        <v>3</v>
      </c>
      <c r="Q173" s="1" t="s">
        <v>24</v>
      </c>
    </row>
    <row r="174" spans="1:17" x14ac:dyDescent="0.3">
      <c r="A174" s="1" t="s">
        <v>239</v>
      </c>
      <c r="B174" s="1" t="s">
        <v>18</v>
      </c>
      <c r="C174" s="1" t="s">
        <v>19</v>
      </c>
      <c r="D174" s="1" t="s">
        <v>51</v>
      </c>
      <c r="E174" s="1" t="s">
        <v>21</v>
      </c>
      <c r="F174" s="1" t="s">
        <v>38</v>
      </c>
      <c r="G174" s="2">
        <v>45894</v>
      </c>
      <c r="H174" s="2">
        <v>45904</v>
      </c>
      <c r="I174" s="1" t="s">
        <v>39</v>
      </c>
      <c r="J174">
        <v>5</v>
      </c>
      <c r="K174">
        <v>10</v>
      </c>
      <c r="L174">
        <v>10</v>
      </c>
      <c r="M174" s="1" t="s">
        <v>24</v>
      </c>
      <c r="N174" s="2">
        <v>45870</v>
      </c>
      <c r="O174">
        <v>2025</v>
      </c>
      <c r="P174">
        <v>3</v>
      </c>
      <c r="Q174" s="1" t="s">
        <v>24</v>
      </c>
    </row>
    <row r="175" spans="1:17" x14ac:dyDescent="0.3">
      <c r="A175" s="1" t="s">
        <v>240</v>
      </c>
      <c r="B175" s="1" t="s">
        <v>26</v>
      </c>
      <c r="C175" s="1" t="s">
        <v>54</v>
      </c>
      <c r="D175" s="1" t="s">
        <v>51</v>
      </c>
      <c r="E175" s="1" t="s">
        <v>21</v>
      </c>
      <c r="F175" s="1" t="s">
        <v>52</v>
      </c>
      <c r="G175" s="2">
        <v>45735</v>
      </c>
      <c r="H175" s="2">
        <v>45737</v>
      </c>
      <c r="I175" s="1" t="s">
        <v>23</v>
      </c>
      <c r="J175">
        <v>4</v>
      </c>
      <c r="K175">
        <v>2</v>
      </c>
      <c r="L175">
        <v>10</v>
      </c>
      <c r="M175" s="1" t="s">
        <v>24</v>
      </c>
      <c r="N175" s="2">
        <v>45717</v>
      </c>
      <c r="O175">
        <v>2025</v>
      </c>
      <c r="P175">
        <v>1</v>
      </c>
      <c r="Q175" s="1" t="s">
        <v>24</v>
      </c>
    </row>
    <row r="176" spans="1:17" x14ac:dyDescent="0.3">
      <c r="A176" s="1" t="s">
        <v>241</v>
      </c>
      <c r="B176" s="1" t="s">
        <v>26</v>
      </c>
      <c r="C176" s="1" t="s">
        <v>54</v>
      </c>
      <c r="D176" s="1" t="s">
        <v>20</v>
      </c>
      <c r="E176" s="1" t="s">
        <v>21</v>
      </c>
      <c r="F176" s="1" t="s">
        <v>61</v>
      </c>
      <c r="G176" s="2">
        <v>45882</v>
      </c>
      <c r="H176" s="2">
        <v>45893</v>
      </c>
      <c r="I176" s="1" t="s">
        <v>32</v>
      </c>
      <c r="J176">
        <v>4</v>
      </c>
      <c r="K176">
        <v>11</v>
      </c>
      <c r="L176">
        <v>14</v>
      </c>
      <c r="M176" s="1" t="s">
        <v>24</v>
      </c>
      <c r="N176" s="2">
        <v>45870</v>
      </c>
      <c r="O176">
        <v>2025</v>
      </c>
      <c r="P176">
        <v>3</v>
      </c>
      <c r="Q176" s="1" t="s">
        <v>24</v>
      </c>
    </row>
    <row r="177" spans="1:17" x14ac:dyDescent="0.3">
      <c r="A177" s="1" t="s">
        <v>242</v>
      </c>
      <c r="B177" s="1" t="s">
        <v>35</v>
      </c>
      <c r="C177" s="1" t="s">
        <v>97</v>
      </c>
      <c r="D177" s="1" t="s">
        <v>51</v>
      </c>
      <c r="E177" s="1" t="s">
        <v>37</v>
      </c>
      <c r="F177" s="1" t="s">
        <v>22</v>
      </c>
      <c r="G177" s="2">
        <v>46005</v>
      </c>
      <c r="H177" s="2"/>
      <c r="I177" s="1" t="s">
        <v>23</v>
      </c>
      <c r="L177">
        <v>10</v>
      </c>
      <c r="M177" s="1" t="s">
        <v>40</v>
      </c>
      <c r="N177" s="2">
        <v>45992</v>
      </c>
      <c r="O177">
        <v>2025</v>
      </c>
      <c r="P177">
        <v>4</v>
      </c>
      <c r="Q177" s="1" t="s">
        <v>33</v>
      </c>
    </row>
    <row r="178" spans="1:17" x14ac:dyDescent="0.3">
      <c r="A178" s="1" t="s">
        <v>243</v>
      </c>
      <c r="B178" s="1" t="s">
        <v>18</v>
      </c>
      <c r="C178" s="1" t="s">
        <v>56</v>
      </c>
      <c r="D178" s="1" t="s">
        <v>20</v>
      </c>
      <c r="E178" s="1" t="s">
        <v>21</v>
      </c>
      <c r="F178" s="1" t="s">
        <v>22</v>
      </c>
      <c r="G178" s="2">
        <v>46005</v>
      </c>
      <c r="H178" s="2">
        <v>46014</v>
      </c>
      <c r="I178" s="1" t="s">
        <v>28</v>
      </c>
      <c r="J178">
        <v>3</v>
      </c>
      <c r="K178">
        <v>9</v>
      </c>
      <c r="L178">
        <v>14</v>
      </c>
      <c r="M178" s="1" t="s">
        <v>24</v>
      </c>
      <c r="N178" s="2">
        <v>45992</v>
      </c>
      <c r="O178">
        <v>2025</v>
      </c>
      <c r="P178">
        <v>4</v>
      </c>
      <c r="Q178" s="1" t="s">
        <v>24</v>
      </c>
    </row>
    <row r="179" spans="1:17" x14ac:dyDescent="0.3">
      <c r="A179" s="1" t="s">
        <v>244</v>
      </c>
      <c r="B179" s="1" t="s">
        <v>35</v>
      </c>
      <c r="C179" s="1" t="s">
        <v>99</v>
      </c>
      <c r="D179" s="1" t="s">
        <v>51</v>
      </c>
      <c r="E179" s="1" t="s">
        <v>21</v>
      </c>
      <c r="F179" s="1" t="s">
        <v>31</v>
      </c>
      <c r="G179" s="2">
        <v>45837</v>
      </c>
      <c r="H179" s="2">
        <v>45843</v>
      </c>
      <c r="I179" s="1" t="s">
        <v>28</v>
      </c>
      <c r="J179">
        <v>5</v>
      </c>
      <c r="K179">
        <v>6</v>
      </c>
      <c r="L179">
        <v>10</v>
      </c>
      <c r="M179" s="1" t="s">
        <v>24</v>
      </c>
      <c r="N179" s="2">
        <v>45809</v>
      </c>
      <c r="O179">
        <v>2025</v>
      </c>
      <c r="P179">
        <v>2</v>
      </c>
      <c r="Q179" s="1" t="s">
        <v>24</v>
      </c>
    </row>
    <row r="180" spans="1:17" x14ac:dyDescent="0.3">
      <c r="A180" s="1" t="s">
        <v>245</v>
      </c>
      <c r="B180" s="1" t="s">
        <v>26</v>
      </c>
      <c r="C180" s="1" t="s">
        <v>67</v>
      </c>
      <c r="D180" s="1" t="s">
        <v>51</v>
      </c>
      <c r="E180" s="1" t="s">
        <v>21</v>
      </c>
      <c r="F180" s="1" t="s">
        <v>22</v>
      </c>
      <c r="G180" s="2">
        <v>45826</v>
      </c>
      <c r="H180" s="2">
        <v>45830</v>
      </c>
      <c r="I180" s="1" t="s">
        <v>23</v>
      </c>
      <c r="J180">
        <v>5</v>
      </c>
      <c r="K180">
        <v>4</v>
      </c>
      <c r="L180">
        <v>10</v>
      </c>
      <c r="M180" s="1" t="s">
        <v>24</v>
      </c>
      <c r="N180" s="2">
        <v>45809</v>
      </c>
      <c r="O180">
        <v>2025</v>
      </c>
      <c r="P180">
        <v>2</v>
      </c>
      <c r="Q180" s="1" t="s">
        <v>24</v>
      </c>
    </row>
    <row r="181" spans="1:17" x14ac:dyDescent="0.3">
      <c r="A181" s="1" t="s">
        <v>246</v>
      </c>
      <c r="B181" s="1" t="s">
        <v>18</v>
      </c>
      <c r="C181" s="1" t="s">
        <v>30</v>
      </c>
      <c r="D181" s="1" t="s">
        <v>51</v>
      </c>
      <c r="E181" s="1" t="s">
        <v>21</v>
      </c>
      <c r="F181" s="1" t="s">
        <v>52</v>
      </c>
      <c r="G181" s="2">
        <v>45816</v>
      </c>
      <c r="H181" s="2">
        <v>45820</v>
      </c>
      <c r="I181" s="1" t="s">
        <v>39</v>
      </c>
      <c r="J181">
        <v>5</v>
      </c>
      <c r="K181">
        <v>4</v>
      </c>
      <c r="L181">
        <v>10</v>
      </c>
      <c r="M181" s="1" t="s">
        <v>24</v>
      </c>
      <c r="N181" s="2">
        <v>45809</v>
      </c>
      <c r="O181">
        <v>2025</v>
      </c>
      <c r="P181">
        <v>2</v>
      </c>
      <c r="Q181" s="1" t="s">
        <v>24</v>
      </c>
    </row>
    <row r="182" spans="1:17" x14ac:dyDescent="0.3">
      <c r="A182" s="1" t="s">
        <v>247</v>
      </c>
      <c r="B182" s="1" t="s">
        <v>63</v>
      </c>
      <c r="C182" s="1" t="s">
        <v>64</v>
      </c>
      <c r="D182" s="1" t="s">
        <v>71</v>
      </c>
      <c r="E182" s="1" t="s">
        <v>21</v>
      </c>
      <c r="F182" s="1" t="s">
        <v>22</v>
      </c>
      <c r="G182" s="2">
        <v>45809</v>
      </c>
      <c r="H182" s="2">
        <v>45809</v>
      </c>
      <c r="I182" s="1" t="s">
        <v>82</v>
      </c>
      <c r="J182">
        <v>4</v>
      </c>
      <c r="K182">
        <v>0</v>
      </c>
      <c r="L182">
        <v>3</v>
      </c>
      <c r="M182" s="1" t="s">
        <v>24</v>
      </c>
      <c r="N182" s="2">
        <v>45809</v>
      </c>
      <c r="O182">
        <v>2025</v>
      </c>
      <c r="P182">
        <v>2</v>
      </c>
      <c r="Q182" s="1" t="s">
        <v>24</v>
      </c>
    </row>
    <row r="183" spans="1:17" x14ac:dyDescent="0.3">
      <c r="A183" s="1" t="s">
        <v>248</v>
      </c>
      <c r="B183" s="1" t="s">
        <v>42</v>
      </c>
      <c r="C183" s="1" t="s">
        <v>43</v>
      </c>
      <c r="D183" s="1" t="s">
        <v>44</v>
      </c>
      <c r="E183" s="1" t="s">
        <v>21</v>
      </c>
      <c r="F183" s="1" t="s">
        <v>61</v>
      </c>
      <c r="G183" s="2">
        <v>45963</v>
      </c>
      <c r="H183" s="2">
        <v>45967</v>
      </c>
      <c r="I183" s="1" t="s">
        <v>82</v>
      </c>
      <c r="J183">
        <v>3</v>
      </c>
      <c r="K183">
        <v>4</v>
      </c>
      <c r="L183">
        <v>7</v>
      </c>
      <c r="M183" s="1" t="s">
        <v>24</v>
      </c>
      <c r="N183" s="2">
        <v>45962</v>
      </c>
      <c r="O183">
        <v>2025</v>
      </c>
      <c r="P183">
        <v>4</v>
      </c>
      <c r="Q183" s="1" t="s">
        <v>24</v>
      </c>
    </row>
    <row r="184" spans="1:17" x14ac:dyDescent="0.3">
      <c r="A184" s="1" t="s">
        <v>249</v>
      </c>
      <c r="B184" s="1" t="s">
        <v>63</v>
      </c>
      <c r="C184" s="1" t="s">
        <v>89</v>
      </c>
      <c r="D184" s="1" t="s">
        <v>20</v>
      </c>
      <c r="E184" s="1" t="s">
        <v>21</v>
      </c>
      <c r="F184" s="1" t="s">
        <v>31</v>
      </c>
      <c r="G184" s="2">
        <v>45779</v>
      </c>
      <c r="H184" s="2">
        <v>45789</v>
      </c>
      <c r="I184" s="1" t="s">
        <v>28</v>
      </c>
      <c r="J184">
        <v>4</v>
      </c>
      <c r="K184">
        <v>10</v>
      </c>
      <c r="L184">
        <v>14</v>
      </c>
      <c r="M184" s="1" t="s">
        <v>24</v>
      </c>
      <c r="N184" s="2">
        <v>45778</v>
      </c>
      <c r="O184">
        <v>2025</v>
      </c>
      <c r="P184">
        <v>2</v>
      </c>
      <c r="Q184" s="1" t="s">
        <v>24</v>
      </c>
    </row>
    <row r="185" spans="1:17" x14ac:dyDescent="0.3">
      <c r="A185" s="1" t="s">
        <v>250</v>
      </c>
      <c r="B185" s="1" t="s">
        <v>26</v>
      </c>
      <c r="C185" s="1" t="s">
        <v>54</v>
      </c>
      <c r="D185" s="1" t="s">
        <v>51</v>
      </c>
      <c r="E185" s="1" t="s">
        <v>37</v>
      </c>
      <c r="F185" s="1" t="s">
        <v>61</v>
      </c>
      <c r="G185" s="2">
        <v>45898</v>
      </c>
      <c r="H185" s="2"/>
      <c r="I185" s="1" t="s">
        <v>32</v>
      </c>
      <c r="L185">
        <v>10</v>
      </c>
      <c r="M185" s="1" t="s">
        <v>40</v>
      </c>
      <c r="N185" s="2">
        <v>45870</v>
      </c>
      <c r="O185">
        <v>2025</v>
      </c>
      <c r="P185">
        <v>3</v>
      </c>
      <c r="Q185" s="1" t="s">
        <v>33</v>
      </c>
    </row>
    <row r="186" spans="1:17" x14ac:dyDescent="0.3">
      <c r="A186" s="1" t="s">
        <v>251</v>
      </c>
      <c r="B186" s="1" t="s">
        <v>18</v>
      </c>
      <c r="C186" s="1" t="s">
        <v>30</v>
      </c>
      <c r="D186" s="1" t="s">
        <v>51</v>
      </c>
      <c r="E186" s="1" t="s">
        <v>21</v>
      </c>
      <c r="F186" s="1" t="s">
        <v>61</v>
      </c>
      <c r="G186" s="2">
        <v>45853</v>
      </c>
      <c r="H186" s="2">
        <v>45863</v>
      </c>
      <c r="I186" s="1" t="s">
        <v>28</v>
      </c>
      <c r="J186">
        <v>4</v>
      </c>
      <c r="K186">
        <v>10</v>
      </c>
      <c r="L186">
        <v>10</v>
      </c>
      <c r="M186" s="1" t="s">
        <v>24</v>
      </c>
      <c r="N186" s="2">
        <v>45839</v>
      </c>
      <c r="O186">
        <v>2025</v>
      </c>
      <c r="P186">
        <v>3</v>
      </c>
      <c r="Q186" s="1" t="s">
        <v>24</v>
      </c>
    </row>
    <row r="187" spans="1:17" x14ac:dyDescent="0.3">
      <c r="A187" s="1" t="s">
        <v>252</v>
      </c>
      <c r="B187" s="1" t="s">
        <v>26</v>
      </c>
      <c r="C187" s="1" t="s">
        <v>54</v>
      </c>
      <c r="D187" s="1" t="s">
        <v>44</v>
      </c>
      <c r="E187" s="1" t="s">
        <v>21</v>
      </c>
      <c r="F187" s="1" t="s">
        <v>38</v>
      </c>
      <c r="G187" s="2">
        <v>45904</v>
      </c>
      <c r="H187" s="2">
        <v>45911</v>
      </c>
      <c r="I187" s="1" t="s">
        <v>82</v>
      </c>
      <c r="J187">
        <v>4</v>
      </c>
      <c r="K187">
        <v>7</v>
      </c>
      <c r="L187">
        <v>7</v>
      </c>
      <c r="M187" s="1" t="s">
        <v>24</v>
      </c>
      <c r="N187" s="2">
        <v>45901</v>
      </c>
      <c r="O187">
        <v>2025</v>
      </c>
      <c r="P187">
        <v>3</v>
      </c>
      <c r="Q187" s="1" t="s">
        <v>24</v>
      </c>
    </row>
    <row r="188" spans="1:17" x14ac:dyDescent="0.3">
      <c r="A188" s="1" t="s">
        <v>253</v>
      </c>
      <c r="B188" s="1" t="s">
        <v>42</v>
      </c>
      <c r="C188" s="1" t="s">
        <v>43</v>
      </c>
      <c r="D188" s="1" t="s">
        <v>20</v>
      </c>
      <c r="E188" s="1" t="s">
        <v>21</v>
      </c>
      <c r="F188" s="1" t="s">
        <v>31</v>
      </c>
      <c r="G188" s="2">
        <v>45888</v>
      </c>
      <c r="H188" s="2">
        <v>45899</v>
      </c>
      <c r="I188" s="1" t="s">
        <v>23</v>
      </c>
      <c r="J188">
        <v>3</v>
      </c>
      <c r="K188">
        <v>11</v>
      </c>
      <c r="L188">
        <v>14</v>
      </c>
      <c r="M188" s="1" t="s">
        <v>24</v>
      </c>
      <c r="N188" s="2">
        <v>45870</v>
      </c>
      <c r="O188">
        <v>2025</v>
      </c>
      <c r="P188">
        <v>3</v>
      </c>
      <c r="Q188" s="1" t="s">
        <v>24</v>
      </c>
    </row>
    <row r="189" spans="1:17" x14ac:dyDescent="0.3">
      <c r="A189" s="1" t="s">
        <v>254</v>
      </c>
      <c r="B189" s="1" t="s">
        <v>63</v>
      </c>
      <c r="C189" s="1" t="s">
        <v>89</v>
      </c>
      <c r="D189" s="1" t="s">
        <v>44</v>
      </c>
      <c r="E189" s="1" t="s">
        <v>48</v>
      </c>
      <c r="F189" s="1" t="s">
        <v>38</v>
      </c>
      <c r="G189" s="2">
        <v>45870</v>
      </c>
      <c r="H189" s="2"/>
      <c r="I189" s="1" t="s">
        <v>39</v>
      </c>
      <c r="L189">
        <v>7</v>
      </c>
      <c r="M189" s="1" t="s">
        <v>40</v>
      </c>
      <c r="N189" s="2">
        <v>45870</v>
      </c>
      <c r="O189">
        <v>2025</v>
      </c>
      <c r="P189">
        <v>3</v>
      </c>
      <c r="Q189" s="1" t="s">
        <v>33</v>
      </c>
    </row>
    <row r="190" spans="1:17" x14ac:dyDescent="0.3">
      <c r="A190" s="1" t="s">
        <v>255</v>
      </c>
      <c r="B190" s="1" t="s">
        <v>26</v>
      </c>
      <c r="C190" s="1" t="s">
        <v>123</v>
      </c>
      <c r="D190" s="1" t="s">
        <v>20</v>
      </c>
      <c r="E190" s="1" t="s">
        <v>48</v>
      </c>
      <c r="F190" s="1" t="s">
        <v>61</v>
      </c>
      <c r="G190" s="2">
        <v>45849</v>
      </c>
      <c r="H190" s="2"/>
      <c r="I190" s="1" t="s">
        <v>23</v>
      </c>
      <c r="L190">
        <v>14</v>
      </c>
      <c r="M190" s="1" t="s">
        <v>40</v>
      </c>
      <c r="N190" s="2">
        <v>45839</v>
      </c>
      <c r="O190">
        <v>2025</v>
      </c>
      <c r="P190">
        <v>3</v>
      </c>
      <c r="Q190" s="1" t="s">
        <v>33</v>
      </c>
    </row>
    <row r="191" spans="1:17" x14ac:dyDescent="0.3">
      <c r="A191" s="1" t="s">
        <v>256</v>
      </c>
      <c r="B191" s="1" t="s">
        <v>35</v>
      </c>
      <c r="C191" s="1" t="s">
        <v>99</v>
      </c>
      <c r="D191" s="1" t="s">
        <v>44</v>
      </c>
      <c r="E191" s="1" t="s">
        <v>21</v>
      </c>
      <c r="F191" s="1" t="s">
        <v>31</v>
      </c>
      <c r="G191" s="2">
        <v>45732</v>
      </c>
      <c r="H191" s="2">
        <v>45734</v>
      </c>
      <c r="I191" s="1" t="s">
        <v>28</v>
      </c>
      <c r="J191">
        <v>1</v>
      </c>
      <c r="K191">
        <v>2</v>
      </c>
      <c r="L191">
        <v>7</v>
      </c>
      <c r="M191" s="1" t="s">
        <v>24</v>
      </c>
      <c r="N191" s="2">
        <v>45717</v>
      </c>
      <c r="O191">
        <v>2025</v>
      </c>
      <c r="P191">
        <v>1</v>
      </c>
      <c r="Q191" s="1" t="s">
        <v>24</v>
      </c>
    </row>
    <row r="192" spans="1:17" x14ac:dyDescent="0.3">
      <c r="A192" s="1" t="s">
        <v>257</v>
      </c>
      <c r="B192" s="1" t="s">
        <v>18</v>
      </c>
      <c r="C192" s="1" t="s">
        <v>30</v>
      </c>
      <c r="D192" s="1" t="s">
        <v>51</v>
      </c>
      <c r="E192" s="1" t="s">
        <v>21</v>
      </c>
      <c r="F192" s="1" t="s">
        <v>61</v>
      </c>
      <c r="G192" s="2">
        <v>45698</v>
      </c>
      <c r="H192" s="2">
        <v>45700</v>
      </c>
      <c r="I192" s="1" t="s">
        <v>82</v>
      </c>
      <c r="J192">
        <v>3</v>
      </c>
      <c r="K192">
        <v>2</v>
      </c>
      <c r="L192">
        <v>10</v>
      </c>
      <c r="M192" s="1" t="s">
        <v>24</v>
      </c>
      <c r="N192" s="2">
        <v>45689</v>
      </c>
      <c r="O192">
        <v>2025</v>
      </c>
      <c r="P192">
        <v>1</v>
      </c>
      <c r="Q192" s="1" t="s">
        <v>24</v>
      </c>
    </row>
    <row r="193" spans="1:17" x14ac:dyDescent="0.3">
      <c r="A193" s="1" t="s">
        <v>258</v>
      </c>
      <c r="B193" s="1" t="s">
        <v>18</v>
      </c>
      <c r="C193" s="1" t="s">
        <v>30</v>
      </c>
      <c r="D193" s="1" t="s">
        <v>20</v>
      </c>
      <c r="E193" s="1" t="s">
        <v>21</v>
      </c>
      <c r="F193" s="1" t="s">
        <v>31</v>
      </c>
      <c r="G193" s="2">
        <v>45812</v>
      </c>
      <c r="H193" s="2">
        <v>45816</v>
      </c>
      <c r="I193" s="1" t="s">
        <v>82</v>
      </c>
      <c r="J193">
        <v>2</v>
      </c>
      <c r="K193">
        <v>4</v>
      </c>
      <c r="L193">
        <v>14</v>
      </c>
      <c r="M193" s="1" t="s">
        <v>24</v>
      </c>
      <c r="N193" s="2">
        <v>45809</v>
      </c>
      <c r="O193">
        <v>2025</v>
      </c>
      <c r="P193">
        <v>2</v>
      </c>
      <c r="Q193" s="1" t="s">
        <v>24</v>
      </c>
    </row>
    <row r="194" spans="1:17" x14ac:dyDescent="0.3">
      <c r="A194" s="1" t="s">
        <v>259</v>
      </c>
      <c r="B194" s="1" t="s">
        <v>58</v>
      </c>
      <c r="C194" s="1" t="s">
        <v>70</v>
      </c>
      <c r="D194" s="1" t="s">
        <v>20</v>
      </c>
      <c r="E194" s="1" t="s">
        <v>48</v>
      </c>
      <c r="F194" s="1" t="s">
        <v>22</v>
      </c>
      <c r="G194" s="2">
        <v>45963</v>
      </c>
      <c r="H194" s="2"/>
      <c r="I194" s="1" t="s">
        <v>23</v>
      </c>
      <c r="L194">
        <v>14</v>
      </c>
      <c r="M194" s="1" t="s">
        <v>40</v>
      </c>
      <c r="N194" s="2">
        <v>45962</v>
      </c>
      <c r="O194">
        <v>2025</v>
      </c>
      <c r="P194">
        <v>4</v>
      </c>
      <c r="Q194" s="1" t="s">
        <v>33</v>
      </c>
    </row>
    <row r="195" spans="1:17" x14ac:dyDescent="0.3">
      <c r="A195" s="1" t="s">
        <v>260</v>
      </c>
      <c r="B195" s="1" t="s">
        <v>18</v>
      </c>
      <c r="C195" s="1" t="s">
        <v>47</v>
      </c>
      <c r="D195" s="1" t="s">
        <v>44</v>
      </c>
      <c r="E195" s="1" t="s">
        <v>21</v>
      </c>
      <c r="F195" s="1" t="s">
        <v>22</v>
      </c>
      <c r="G195" s="2">
        <v>45658</v>
      </c>
      <c r="H195" s="2">
        <v>45663</v>
      </c>
      <c r="I195" s="1" t="s">
        <v>39</v>
      </c>
      <c r="J195">
        <v>4</v>
      </c>
      <c r="K195">
        <v>5</v>
      </c>
      <c r="L195">
        <v>7</v>
      </c>
      <c r="M195" s="1" t="s">
        <v>24</v>
      </c>
      <c r="N195" s="2">
        <v>45658</v>
      </c>
      <c r="O195">
        <v>2025</v>
      </c>
      <c r="P195">
        <v>1</v>
      </c>
      <c r="Q195" s="1" t="s">
        <v>24</v>
      </c>
    </row>
    <row r="196" spans="1:17" x14ac:dyDescent="0.3">
      <c r="A196" s="1" t="s">
        <v>261</v>
      </c>
      <c r="B196" s="1" t="s">
        <v>63</v>
      </c>
      <c r="C196" s="1" t="s">
        <v>74</v>
      </c>
      <c r="D196" s="1" t="s">
        <v>51</v>
      </c>
      <c r="E196" s="1" t="s">
        <v>21</v>
      </c>
      <c r="F196" s="1" t="s">
        <v>22</v>
      </c>
      <c r="G196" s="2">
        <v>45927</v>
      </c>
      <c r="H196" s="2">
        <v>45937</v>
      </c>
      <c r="I196" s="1" t="s">
        <v>82</v>
      </c>
      <c r="J196">
        <v>4</v>
      </c>
      <c r="K196">
        <v>10</v>
      </c>
      <c r="L196">
        <v>10</v>
      </c>
      <c r="M196" s="1" t="s">
        <v>24</v>
      </c>
      <c r="N196" s="2">
        <v>45901</v>
      </c>
      <c r="O196">
        <v>2025</v>
      </c>
      <c r="P196">
        <v>3</v>
      </c>
      <c r="Q196" s="1" t="s">
        <v>24</v>
      </c>
    </row>
    <row r="197" spans="1:17" x14ac:dyDescent="0.3">
      <c r="A197" s="1" t="s">
        <v>262</v>
      </c>
      <c r="B197" s="1" t="s">
        <v>42</v>
      </c>
      <c r="C197" s="1" t="s">
        <v>87</v>
      </c>
      <c r="D197" s="1" t="s">
        <v>44</v>
      </c>
      <c r="E197" s="1" t="s">
        <v>21</v>
      </c>
      <c r="F197" s="1" t="s">
        <v>38</v>
      </c>
      <c r="G197" s="2">
        <v>45856</v>
      </c>
      <c r="H197" s="2">
        <v>45859</v>
      </c>
      <c r="I197" s="1" t="s">
        <v>32</v>
      </c>
      <c r="J197">
        <v>3</v>
      </c>
      <c r="K197">
        <v>3</v>
      </c>
      <c r="L197">
        <v>7</v>
      </c>
      <c r="M197" s="1" t="s">
        <v>24</v>
      </c>
      <c r="N197" s="2">
        <v>45839</v>
      </c>
      <c r="O197">
        <v>2025</v>
      </c>
      <c r="P197">
        <v>3</v>
      </c>
      <c r="Q197" s="1" t="s">
        <v>24</v>
      </c>
    </row>
    <row r="198" spans="1:17" x14ac:dyDescent="0.3">
      <c r="A198" s="1" t="s">
        <v>263</v>
      </c>
      <c r="B198" s="1" t="s">
        <v>42</v>
      </c>
      <c r="C198" s="1" t="s">
        <v>43</v>
      </c>
      <c r="D198" s="1" t="s">
        <v>20</v>
      </c>
      <c r="E198" s="1" t="s">
        <v>21</v>
      </c>
      <c r="F198" s="1" t="s">
        <v>52</v>
      </c>
      <c r="G198" s="2">
        <v>45711</v>
      </c>
      <c r="H198" s="2">
        <v>45726</v>
      </c>
      <c r="I198" s="1" t="s">
        <v>28</v>
      </c>
      <c r="J198">
        <v>4</v>
      </c>
      <c r="K198">
        <v>15</v>
      </c>
      <c r="L198">
        <v>14</v>
      </c>
      <c r="M198" s="1" t="s">
        <v>33</v>
      </c>
      <c r="N198" s="2">
        <v>45689</v>
      </c>
      <c r="O198">
        <v>2025</v>
      </c>
      <c r="P198">
        <v>1</v>
      </c>
      <c r="Q198" s="1" t="s">
        <v>24</v>
      </c>
    </row>
    <row r="199" spans="1:17" x14ac:dyDescent="0.3">
      <c r="A199" s="1" t="s">
        <v>264</v>
      </c>
      <c r="B199" s="1" t="s">
        <v>42</v>
      </c>
      <c r="C199" s="1" t="s">
        <v>43</v>
      </c>
      <c r="D199" s="1" t="s">
        <v>51</v>
      </c>
      <c r="E199" s="1" t="s">
        <v>37</v>
      </c>
      <c r="F199" s="1" t="s">
        <v>31</v>
      </c>
      <c r="G199" s="2">
        <v>45747</v>
      </c>
      <c r="H199" s="2"/>
      <c r="I199" s="1" t="s">
        <v>39</v>
      </c>
      <c r="L199">
        <v>10</v>
      </c>
      <c r="M199" s="1" t="s">
        <v>40</v>
      </c>
      <c r="N199" s="2">
        <v>45717</v>
      </c>
      <c r="O199">
        <v>2025</v>
      </c>
      <c r="P199">
        <v>1</v>
      </c>
      <c r="Q199" s="1" t="s">
        <v>33</v>
      </c>
    </row>
    <row r="200" spans="1:17" x14ac:dyDescent="0.3">
      <c r="A200" s="1" t="s">
        <v>265</v>
      </c>
      <c r="B200" s="1" t="s">
        <v>18</v>
      </c>
      <c r="C200" s="1" t="s">
        <v>47</v>
      </c>
      <c r="D200" s="1" t="s">
        <v>44</v>
      </c>
      <c r="E200" s="1" t="s">
        <v>21</v>
      </c>
      <c r="F200" s="1" t="s">
        <v>38</v>
      </c>
      <c r="G200" s="2">
        <v>45892</v>
      </c>
      <c r="H200" s="2">
        <v>45893</v>
      </c>
      <c r="I200" s="1" t="s">
        <v>28</v>
      </c>
      <c r="J200">
        <v>4</v>
      </c>
      <c r="K200">
        <v>1</v>
      </c>
      <c r="L200">
        <v>7</v>
      </c>
      <c r="M200" s="1" t="s">
        <v>24</v>
      </c>
      <c r="N200" s="2">
        <v>45870</v>
      </c>
      <c r="O200">
        <v>2025</v>
      </c>
      <c r="P200">
        <v>3</v>
      </c>
      <c r="Q200" s="1" t="s">
        <v>24</v>
      </c>
    </row>
    <row r="201" spans="1:17" x14ac:dyDescent="0.3">
      <c r="A201" s="1" t="s">
        <v>266</v>
      </c>
      <c r="B201" s="1" t="s">
        <v>42</v>
      </c>
      <c r="C201" s="1" t="s">
        <v>43</v>
      </c>
      <c r="D201" s="1" t="s">
        <v>44</v>
      </c>
      <c r="E201" s="1" t="s">
        <v>21</v>
      </c>
      <c r="F201" s="1" t="s">
        <v>61</v>
      </c>
      <c r="G201" s="2">
        <v>45936</v>
      </c>
      <c r="H201" s="2">
        <v>45940</v>
      </c>
      <c r="I201" s="1" t="s">
        <v>32</v>
      </c>
      <c r="J201">
        <v>3</v>
      </c>
      <c r="K201">
        <v>4</v>
      </c>
      <c r="L201">
        <v>7</v>
      </c>
      <c r="M201" s="1" t="s">
        <v>24</v>
      </c>
      <c r="N201" s="2">
        <v>45931</v>
      </c>
      <c r="O201">
        <v>2025</v>
      </c>
      <c r="P201">
        <v>4</v>
      </c>
      <c r="Q201" s="1" t="s">
        <v>24</v>
      </c>
    </row>
    <row r="202" spans="1:17" x14ac:dyDescent="0.3">
      <c r="A202" s="1" t="s">
        <v>267</v>
      </c>
      <c r="B202" s="1" t="s">
        <v>35</v>
      </c>
      <c r="C202" s="1" t="s">
        <v>99</v>
      </c>
      <c r="D202" s="1" t="s">
        <v>44</v>
      </c>
      <c r="E202" s="1" t="s">
        <v>21</v>
      </c>
      <c r="F202" s="1" t="s">
        <v>31</v>
      </c>
      <c r="G202" s="2">
        <v>45721</v>
      </c>
      <c r="H202" s="2">
        <v>45728</v>
      </c>
      <c r="I202" s="1" t="s">
        <v>39</v>
      </c>
      <c r="J202">
        <v>4</v>
      </c>
      <c r="K202">
        <v>7</v>
      </c>
      <c r="L202">
        <v>7</v>
      </c>
      <c r="M202" s="1" t="s">
        <v>24</v>
      </c>
      <c r="N202" s="2">
        <v>45717</v>
      </c>
      <c r="O202">
        <v>2025</v>
      </c>
      <c r="P202">
        <v>1</v>
      </c>
      <c r="Q202" s="1" t="s">
        <v>24</v>
      </c>
    </row>
    <row r="203" spans="1:17" x14ac:dyDescent="0.3">
      <c r="A203" s="1" t="s">
        <v>268</v>
      </c>
      <c r="B203" s="1" t="s">
        <v>58</v>
      </c>
      <c r="C203" s="1" t="s">
        <v>59</v>
      </c>
      <c r="D203" s="1" t="s">
        <v>71</v>
      </c>
      <c r="E203" s="1" t="s">
        <v>21</v>
      </c>
      <c r="F203" s="1" t="s">
        <v>22</v>
      </c>
      <c r="G203" s="2">
        <v>45912</v>
      </c>
      <c r="H203" s="2">
        <v>45914</v>
      </c>
      <c r="I203" s="1" t="s">
        <v>32</v>
      </c>
      <c r="J203">
        <v>5</v>
      </c>
      <c r="K203">
        <v>2</v>
      </c>
      <c r="L203">
        <v>3</v>
      </c>
      <c r="M203" s="1" t="s">
        <v>24</v>
      </c>
      <c r="N203" s="2">
        <v>45901</v>
      </c>
      <c r="O203">
        <v>2025</v>
      </c>
      <c r="P203">
        <v>3</v>
      </c>
      <c r="Q203" s="1" t="s">
        <v>24</v>
      </c>
    </row>
    <row r="204" spans="1:17" x14ac:dyDescent="0.3">
      <c r="A204" s="1" t="s">
        <v>269</v>
      </c>
      <c r="B204" s="1" t="s">
        <v>42</v>
      </c>
      <c r="C204" s="1" t="s">
        <v>87</v>
      </c>
      <c r="D204" s="1" t="s">
        <v>20</v>
      </c>
      <c r="E204" s="1" t="s">
        <v>21</v>
      </c>
      <c r="F204" s="1" t="s">
        <v>38</v>
      </c>
      <c r="G204" s="2">
        <v>45750</v>
      </c>
      <c r="H204" s="2">
        <v>45761</v>
      </c>
      <c r="I204" s="1" t="s">
        <v>23</v>
      </c>
      <c r="J204">
        <v>4</v>
      </c>
      <c r="K204">
        <v>11</v>
      </c>
      <c r="L204">
        <v>14</v>
      </c>
      <c r="M204" s="1" t="s">
        <v>24</v>
      </c>
      <c r="N204" s="2">
        <v>45748</v>
      </c>
      <c r="O204">
        <v>2025</v>
      </c>
      <c r="P204">
        <v>2</v>
      </c>
      <c r="Q204" s="1" t="s">
        <v>24</v>
      </c>
    </row>
    <row r="205" spans="1:17" x14ac:dyDescent="0.3">
      <c r="A205" s="1" t="s">
        <v>270</v>
      </c>
      <c r="B205" s="1" t="s">
        <v>35</v>
      </c>
      <c r="C205" s="1" t="s">
        <v>97</v>
      </c>
      <c r="D205" s="1" t="s">
        <v>51</v>
      </c>
      <c r="E205" s="1" t="s">
        <v>21</v>
      </c>
      <c r="F205" s="1" t="s">
        <v>52</v>
      </c>
      <c r="G205" s="2">
        <v>45876</v>
      </c>
      <c r="H205" s="2">
        <v>45880</v>
      </c>
      <c r="I205" s="1" t="s">
        <v>39</v>
      </c>
      <c r="J205">
        <v>5</v>
      </c>
      <c r="K205">
        <v>4</v>
      </c>
      <c r="L205">
        <v>10</v>
      </c>
      <c r="M205" s="1" t="s">
        <v>24</v>
      </c>
      <c r="N205" s="2">
        <v>45870</v>
      </c>
      <c r="O205">
        <v>2025</v>
      </c>
      <c r="P205">
        <v>3</v>
      </c>
      <c r="Q205" s="1" t="s">
        <v>24</v>
      </c>
    </row>
    <row r="206" spans="1:17" x14ac:dyDescent="0.3">
      <c r="A206" s="1" t="s">
        <v>271</v>
      </c>
      <c r="B206" s="1" t="s">
        <v>42</v>
      </c>
      <c r="C206" s="1" t="s">
        <v>43</v>
      </c>
      <c r="D206" s="1" t="s">
        <v>51</v>
      </c>
      <c r="E206" s="1" t="s">
        <v>21</v>
      </c>
      <c r="F206" s="1" t="s">
        <v>31</v>
      </c>
      <c r="G206" s="2">
        <v>45985</v>
      </c>
      <c r="H206" s="2">
        <v>45987</v>
      </c>
      <c r="I206" s="1" t="s">
        <v>32</v>
      </c>
      <c r="J206">
        <v>2</v>
      </c>
      <c r="K206">
        <v>2</v>
      </c>
      <c r="L206">
        <v>10</v>
      </c>
      <c r="M206" s="1" t="s">
        <v>24</v>
      </c>
      <c r="N206" s="2">
        <v>45962</v>
      </c>
      <c r="O206">
        <v>2025</v>
      </c>
      <c r="P206">
        <v>4</v>
      </c>
      <c r="Q206" s="1" t="s">
        <v>24</v>
      </c>
    </row>
    <row r="207" spans="1:17" x14ac:dyDescent="0.3">
      <c r="A207" s="1" t="s">
        <v>272</v>
      </c>
      <c r="B207" s="1" t="s">
        <v>26</v>
      </c>
      <c r="C207" s="1" t="s">
        <v>54</v>
      </c>
      <c r="D207" s="1" t="s">
        <v>71</v>
      </c>
      <c r="E207" s="1" t="s">
        <v>21</v>
      </c>
      <c r="F207" s="1" t="s">
        <v>38</v>
      </c>
      <c r="G207" s="2">
        <v>45969</v>
      </c>
      <c r="H207" s="2">
        <v>45972</v>
      </c>
      <c r="I207" s="1" t="s">
        <v>28</v>
      </c>
      <c r="J207">
        <v>1</v>
      </c>
      <c r="K207">
        <v>3</v>
      </c>
      <c r="L207">
        <v>3</v>
      </c>
      <c r="M207" s="1" t="s">
        <v>24</v>
      </c>
      <c r="N207" s="2">
        <v>45962</v>
      </c>
      <c r="O207">
        <v>2025</v>
      </c>
      <c r="P207">
        <v>4</v>
      </c>
      <c r="Q207" s="1" t="s">
        <v>24</v>
      </c>
    </row>
    <row r="208" spans="1:17" x14ac:dyDescent="0.3">
      <c r="A208" s="1" t="s">
        <v>273</v>
      </c>
      <c r="B208" s="1" t="s">
        <v>18</v>
      </c>
      <c r="C208" s="1" t="s">
        <v>56</v>
      </c>
      <c r="D208" s="1" t="s">
        <v>51</v>
      </c>
      <c r="E208" s="1" t="s">
        <v>48</v>
      </c>
      <c r="F208" s="1" t="s">
        <v>22</v>
      </c>
      <c r="G208" s="2">
        <v>45674</v>
      </c>
      <c r="H208" s="2"/>
      <c r="I208" s="1" t="s">
        <v>28</v>
      </c>
      <c r="L208">
        <v>10</v>
      </c>
      <c r="M208" s="1" t="s">
        <v>40</v>
      </c>
      <c r="N208" s="2">
        <v>45658</v>
      </c>
      <c r="O208">
        <v>2025</v>
      </c>
      <c r="P208">
        <v>1</v>
      </c>
      <c r="Q208" s="1" t="s">
        <v>33</v>
      </c>
    </row>
    <row r="209" spans="1:17" x14ac:dyDescent="0.3">
      <c r="A209" s="1" t="s">
        <v>274</v>
      </c>
      <c r="B209" s="1" t="s">
        <v>18</v>
      </c>
      <c r="C209" s="1" t="s">
        <v>30</v>
      </c>
      <c r="D209" s="1" t="s">
        <v>71</v>
      </c>
      <c r="E209" s="1" t="s">
        <v>21</v>
      </c>
      <c r="F209" s="1" t="s">
        <v>31</v>
      </c>
      <c r="G209" s="2">
        <v>45697</v>
      </c>
      <c r="H209" s="2">
        <v>45698</v>
      </c>
      <c r="I209" s="1" t="s">
        <v>32</v>
      </c>
      <c r="J209">
        <v>4</v>
      </c>
      <c r="K209">
        <v>1</v>
      </c>
      <c r="L209">
        <v>3</v>
      </c>
      <c r="M209" s="1" t="s">
        <v>24</v>
      </c>
      <c r="N209" s="2">
        <v>45689</v>
      </c>
      <c r="O209">
        <v>2025</v>
      </c>
      <c r="P209">
        <v>1</v>
      </c>
      <c r="Q209" s="1" t="s">
        <v>24</v>
      </c>
    </row>
    <row r="210" spans="1:17" x14ac:dyDescent="0.3">
      <c r="A210" s="1" t="s">
        <v>275</v>
      </c>
      <c r="B210" s="1" t="s">
        <v>18</v>
      </c>
      <c r="C210" s="1" t="s">
        <v>56</v>
      </c>
      <c r="D210" s="1" t="s">
        <v>20</v>
      </c>
      <c r="E210" s="1" t="s">
        <v>21</v>
      </c>
      <c r="F210" s="1" t="s">
        <v>22</v>
      </c>
      <c r="G210" s="2">
        <v>45753</v>
      </c>
      <c r="H210" s="2">
        <v>45763</v>
      </c>
      <c r="I210" s="1" t="s">
        <v>23</v>
      </c>
      <c r="J210">
        <v>4</v>
      </c>
      <c r="K210">
        <v>10</v>
      </c>
      <c r="L210">
        <v>14</v>
      </c>
      <c r="M210" s="1" t="s">
        <v>24</v>
      </c>
      <c r="N210" s="2">
        <v>45748</v>
      </c>
      <c r="O210">
        <v>2025</v>
      </c>
      <c r="P210">
        <v>2</v>
      </c>
      <c r="Q210" s="1" t="s">
        <v>24</v>
      </c>
    </row>
    <row r="211" spans="1:17" x14ac:dyDescent="0.3">
      <c r="A211" s="1" t="s">
        <v>276</v>
      </c>
      <c r="B211" s="1" t="s">
        <v>35</v>
      </c>
      <c r="C211" s="1" t="s">
        <v>97</v>
      </c>
      <c r="D211" s="1" t="s">
        <v>44</v>
      </c>
      <c r="E211" s="1" t="s">
        <v>21</v>
      </c>
      <c r="F211" s="1" t="s">
        <v>31</v>
      </c>
      <c r="G211" s="2">
        <v>45971</v>
      </c>
      <c r="H211" s="2">
        <v>45974</v>
      </c>
      <c r="I211" s="1" t="s">
        <v>28</v>
      </c>
      <c r="J211">
        <v>5</v>
      </c>
      <c r="K211">
        <v>3</v>
      </c>
      <c r="L211">
        <v>7</v>
      </c>
      <c r="M211" s="1" t="s">
        <v>24</v>
      </c>
      <c r="N211" s="2">
        <v>45962</v>
      </c>
      <c r="O211">
        <v>2025</v>
      </c>
      <c r="P211">
        <v>4</v>
      </c>
      <c r="Q211" s="1" t="s">
        <v>24</v>
      </c>
    </row>
    <row r="212" spans="1:17" x14ac:dyDescent="0.3">
      <c r="A212" s="1" t="s">
        <v>277</v>
      </c>
      <c r="B212" s="1" t="s">
        <v>42</v>
      </c>
      <c r="C212" s="1" t="s">
        <v>76</v>
      </c>
      <c r="D212" s="1" t="s">
        <v>44</v>
      </c>
      <c r="E212" s="1" t="s">
        <v>21</v>
      </c>
      <c r="F212" s="1" t="s">
        <v>52</v>
      </c>
      <c r="G212" s="2">
        <v>45885</v>
      </c>
      <c r="H212" s="2">
        <v>45886</v>
      </c>
      <c r="I212" s="1" t="s">
        <v>32</v>
      </c>
      <c r="J212">
        <v>5</v>
      </c>
      <c r="K212">
        <v>1</v>
      </c>
      <c r="L212">
        <v>7</v>
      </c>
      <c r="M212" s="1" t="s">
        <v>24</v>
      </c>
      <c r="N212" s="2">
        <v>45870</v>
      </c>
      <c r="O212">
        <v>2025</v>
      </c>
      <c r="P212">
        <v>3</v>
      </c>
      <c r="Q212" s="1" t="s">
        <v>24</v>
      </c>
    </row>
    <row r="213" spans="1:17" x14ac:dyDescent="0.3">
      <c r="A213" s="1" t="s">
        <v>278</v>
      </c>
      <c r="B213" s="1" t="s">
        <v>18</v>
      </c>
      <c r="C213" s="1" t="s">
        <v>19</v>
      </c>
      <c r="D213" s="1" t="s">
        <v>51</v>
      </c>
      <c r="E213" s="1" t="s">
        <v>21</v>
      </c>
      <c r="F213" s="1" t="s">
        <v>61</v>
      </c>
      <c r="G213" s="2">
        <v>45811</v>
      </c>
      <c r="H213" s="2">
        <v>45815</v>
      </c>
      <c r="I213" s="1" t="s">
        <v>32</v>
      </c>
      <c r="J213">
        <v>5</v>
      </c>
      <c r="K213">
        <v>4</v>
      </c>
      <c r="L213">
        <v>10</v>
      </c>
      <c r="M213" s="1" t="s">
        <v>24</v>
      </c>
      <c r="N213" s="2">
        <v>45809</v>
      </c>
      <c r="O213">
        <v>2025</v>
      </c>
      <c r="P213">
        <v>2</v>
      </c>
      <c r="Q213" s="1" t="s">
        <v>24</v>
      </c>
    </row>
    <row r="214" spans="1:17" x14ac:dyDescent="0.3">
      <c r="A214" s="1" t="s">
        <v>279</v>
      </c>
      <c r="B214" s="1" t="s">
        <v>26</v>
      </c>
      <c r="C214" s="1" t="s">
        <v>54</v>
      </c>
      <c r="D214" s="1" t="s">
        <v>20</v>
      </c>
      <c r="E214" s="1" t="s">
        <v>21</v>
      </c>
      <c r="F214" s="1" t="s">
        <v>38</v>
      </c>
      <c r="G214" s="2">
        <v>45729</v>
      </c>
      <c r="H214" s="2">
        <v>45735</v>
      </c>
      <c r="I214" s="1" t="s">
        <v>32</v>
      </c>
      <c r="J214">
        <v>5</v>
      </c>
      <c r="K214">
        <v>6</v>
      </c>
      <c r="L214">
        <v>14</v>
      </c>
      <c r="M214" s="1" t="s">
        <v>24</v>
      </c>
      <c r="N214" s="2">
        <v>45717</v>
      </c>
      <c r="O214">
        <v>2025</v>
      </c>
      <c r="P214">
        <v>1</v>
      </c>
      <c r="Q214" s="1" t="s">
        <v>24</v>
      </c>
    </row>
    <row r="215" spans="1:17" x14ac:dyDescent="0.3">
      <c r="A215" s="1" t="s">
        <v>280</v>
      </c>
      <c r="B215" s="1" t="s">
        <v>26</v>
      </c>
      <c r="C215" s="1" t="s">
        <v>123</v>
      </c>
      <c r="D215" s="1" t="s">
        <v>51</v>
      </c>
      <c r="E215" s="1" t="s">
        <v>48</v>
      </c>
      <c r="F215" s="1" t="s">
        <v>22</v>
      </c>
      <c r="G215" s="2">
        <v>45724</v>
      </c>
      <c r="H215" s="2"/>
      <c r="I215" s="1" t="s">
        <v>23</v>
      </c>
      <c r="L215">
        <v>10</v>
      </c>
      <c r="M215" s="1" t="s">
        <v>40</v>
      </c>
      <c r="N215" s="2">
        <v>45717</v>
      </c>
      <c r="O215">
        <v>2025</v>
      </c>
      <c r="P215">
        <v>1</v>
      </c>
      <c r="Q215" s="1" t="s">
        <v>33</v>
      </c>
    </row>
    <row r="216" spans="1:17" x14ac:dyDescent="0.3">
      <c r="A216" s="1" t="s">
        <v>281</v>
      </c>
      <c r="B216" s="1" t="s">
        <v>42</v>
      </c>
      <c r="C216" s="1" t="s">
        <v>43</v>
      </c>
      <c r="D216" s="1" t="s">
        <v>51</v>
      </c>
      <c r="E216" s="1" t="s">
        <v>21</v>
      </c>
      <c r="F216" s="1" t="s">
        <v>31</v>
      </c>
      <c r="G216" s="2">
        <v>45903</v>
      </c>
      <c r="H216" s="2">
        <v>45913</v>
      </c>
      <c r="I216" s="1" t="s">
        <v>82</v>
      </c>
      <c r="J216">
        <v>4</v>
      </c>
      <c r="K216">
        <v>10</v>
      </c>
      <c r="L216">
        <v>10</v>
      </c>
      <c r="M216" s="1" t="s">
        <v>24</v>
      </c>
      <c r="N216" s="2">
        <v>45901</v>
      </c>
      <c r="O216">
        <v>2025</v>
      </c>
      <c r="P216">
        <v>3</v>
      </c>
      <c r="Q216" s="1" t="s">
        <v>24</v>
      </c>
    </row>
    <row r="217" spans="1:17" x14ac:dyDescent="0.3">
      <c r="A217" s="1" t="s">
        <v>282</v>
      </c>
      <c r="B217" s="1" t="s">
        <v>42</v>
      </c>
      <c r="C217" s="1" t="s">
        <v>76</v>
      </c>
      <c r="D217" s="1" t="s">
        <v>71</v>
      </c>
      <c r="E217" s="1" t="s">
        <v>21</v>
      </c>
      <c r="F217" s="1" t="s">
        <v>52</v>
      </c>
      <c r="G217" s="2">
        <v>45888</v>
      </c>
      <c r="H217" s="2">
        <v>45891</v>
      </c>
      <c r="I217" s="1" t="s">
        <v>28</v>
      </c>
      <c r="J217">
        <v>5</v>
      </c>
      <c r="K217">
        <v>3</v>
      </c>
      <c r="L217">
        <v>3</v>
      </c>
      <c r="M217" s="1" t="s">
        <v>24</v>
      </c>
      <c r="N217" s="2">
        <v>45870</v>
      </c>
      <c r="O217">
        <v>2025</v>
      </c>
      <c r="P217">
        <v>3</v>
      </c>
      <c r="Q217" s="1" t="s">
        <v>24</v>
      </c>
    </row>
    <row r="218" spans="1:17" x14ac:dyDescent="0.3">
      <c r="A218" s="1" t="s">
        <v>283</v>
      </c>
      <c r="B218" s="1" t="s">
        <v>26</v>
      </c>
      <c r="C218" s="1" t="s">
        <v>54</v>
      </c>
      <c r="D218" s="1" t="s">
        <v>44</v>
      </c>
      <c r="E218" s="1" t="s">
        <v>21</v>
      </c>
      <c r="F218" s="1" t="s">
        <v>38</v>
      </c>
      <c r="G218" s="2">
        <v>45915</v>
      </c>
      <c r="H218" s="2">
        <v>45922</v>
      </c>
      <c r="I218" s="1" t="s">
        <v>82</v>
      </c>
      <c r="J218">
        <v>2</v>
      </c>
      <c r="K218">
        <v>7</v>
      </c>
      <c r="L218">
        <v>7</v>
      </c>
      <c r="M218" s="1" t="s">
        <v>24</v>
      </c>
      <c r="N218" s="2">
        <v>45901</v>
      </c>
      <c r="O218">
        <v>2025</v>
      </c>
      <c r="P218">
        <v>3</v>
      </c>
      <c r="Q218" s="1" t="s">
        <v>24</v>
      </c>
    </row>
    <row r="219" spans="1:17" x14ac:dyDescent="0.3">
      <c r="A219" s="1" t="s">
        <v>284</v>
      </c>
      <c r="B219" s="1" t="s">
        <v>63</v>
      </c>
      <c r="C219" s="1" t="s">
        <v>84</v>
      </c>
      <c r="D219" s="1" t="s">
        <v>20</v>
      </c>
      <c r="E219" s="1" t="s">
        <v>21</v>
      </c>
      <c r="F219" s="1" t="s">
        <v>22</v>
      </c>
      <c r="G219" s="2">
        <v>46021</v>
      </c>
      <c r="H219" s="2">
        <v>46027</v>
      </c>
      <c r="I219" s="1" t="s">
        <v>32</v>
      </c>
      <c r="J219">
        <v>4</v>
      </c>
      <c r="K219">
        <v>6</v>
      </c>
      <c r="L219">
        <v>14</v>
      </c>
      <c r="M219" s="1" t="s">
        <v>24</v>
      </c>
      <c r="N219" s="2">
        <v>45992</v>
      </c>
      <c r="O219">
        <v>2025</v>
      </c>
      <c r="P219">
        <v>4</v>
      </c>
      <c r="Q219" s="1" t="s">
        <v>24</v>
      </c>
    </row>
    <row r="220" spans="1:17" x14ac:dyDescent="0.3">
      <c r="A220" s="1" t="s">
        <v>285</v>
      </c>
      <c r="B220" s="1" t="s">
        <v>42</v>
      </c>
      <c r="C220" s="1" t="s">
        <v>43</v>
      </c>
      <c r="D220" s="1" t="s">
        <v>20</v>
      </c>
      <c r="E220" s="1" t="s">
        <v>48</v>
      </c>
      <c r="F220" s="1" t="s">
        <v>61</v>
      </c>
      <c r="G220" s="2">
        <v>45798</v>
      </c>
      <c r="H220" s="2"/>
      <c r="I220" s="1" t="s">
        <v>32</v>
      </c>
      <c r="L220">
        <v>14</v>
      </c>
      <c r="M220" s="1" t="s">
        <v>40</v>
      </c>
      <c r="N220" s="2">
        <v>45778</v>
      </c>
      <c r="O220">
        <v>2025</v>
      </c>
      <c r="P220">
        <v>2</v>
      </c>
      <c r="Q220" s="1" t="s">
        <v>33</v>
      </c>
    </row>
    <row r="221" spans="1:17" x14ac:dyDescent="0.3">
      <c r="A221" s="1" t="s">
        <v>286</v>
      </c>
      <c r="B221" s="1" t="s">
        <v>26</v>
      </c>
      <c r="C221" s="1" t="s">
        <v>67</v>
      </c>
      <c r="D221" s="1" t="s">
        <v>51</v>
      </c>
      <c r="E221" s="1" t="s">
        <v>21</v>
      </c>
      <c r="F221" s="1" t="s">
        <v>22</v>
      </c>
      <c r="G221" s="2">
        <v>45955</v>
      </c>
      <c r="H221" s="2">
        <v>45959</v>
      </c>
      <c r="I221" s="1" t="s">
        <v>82</v>
      </c>
      <c r="J221">
        <v>3</v>
      </c>
      <c r="K221">
        <v>4</v>
      </c>
      <c r="L221">
        <v>10</v>
      </c>
      <c r="M221" s="1" t="s">
        <v>24</v>
      </c>
      <c r="N221" s="2">
        <v>45931</v>
      </c>
      <c r="O221">
        <v>2025</v>
      </c>
      <c r="P221">
        <v>4</v>
      </c>
      <c r="Q221" s="1" t="s">
        <v>24</v>
      </c>
    </row>
    <row r="222" spans="1:17" x14ac:dyDescent="0.3">
      <c r="A222" s="1" t="s">
        <v>287</v>
      </c>
      <c r="B222" s="1" t="s">
        <v>35</v>
      </c>
      <c r="C222" s="1" t="s">
        <v>99</v>
      </c>
      <c r="D222" s="1" t="s">
        <v>44</v>
      </c>
      <c r="E222" s="1" t="s">
        <v>21</v>
      </c>
      <c r="F222" s="1" t="s">
        <v>52</v>
      </c>
      <c r="G222" s="2">
        <v>45681</v>
      </c>
      <c r="H222" s="2">
        <v>45687</v>
      </c>
      <c r="I222" s="1" t="s">
        <v>28</v>
      </c>
      <c r="J222">
        <v>5</v>
      </c>
      <c r="K222">
        <v>6</v>
      </c>
      <c r="L222">
        <v>7</v>
      </c>
      <c r="M222" s="1" t="s">
        <v>24</v>
      </c>
      <c r="N222" s="2">
        <v>45658</v>
      </c>
      <c r="O222">
        <v>2025</v>
      </c>
      <c r="P222">
        <v>1</v>
      </c>
      <c r="Q222" s="1" t="s">
        <v>24</v>
      </c>
    </row>
    <row r="223" spans="1:17" x14ac:dyDescent="0.3">
      <c r="A223" s="1" t="s">
        <v>288</v>
      </c>
      <c r="B223" s="1" t="s">
        <v>26</v>
      </c>
      <c r="C223" s="1" t="s">
        <v>27</v>
      </c>
      <c r="D223" s="1" t="s">
        <v>51</v>
      </c>
      <c r="E223" s="1" t="s">
        <v>21</v>
      </c>
      <c r="F223" s="1" t="s">
        <v>52</v>
      </c>
      <c r="G223" s="2">
        <v>45979</v>
      </c>
      <c r="H223" s="2">
        <v>45989</v>
      </c>
      <c r="I223" s="1" t="s">
        <v>39</v>
      </c>
      <c r="J223">
        <v>3</v>
      </c>
      <c r="K223">
        <v>10</v>
      </c>
      <c r="L223">
        <v>10</v>
      </c>
      <c r="M223" s="1" t="s">
        <v>24</v>
      </c>
      <c r="N223" s="2">
        <v>45962</v>
      </c>
      <c r="O223">
        <v>2025</v>
      </c>
      <c r="P223">
        <v>4</v>
      </c>
      <c r="Q223" s="1" t="s">
        <v>24</v>
      </c>
    </row>
    <row r="224" spans="1:17" x14ac:dyDescent="0.3">
      <c r="A224" s="1" t="s">
        <v>289</v>
      </c>
      <c r="B224" s="1" t="s">
        <v>63</v>
      </c>
      <c r="C224" s="1" t="s">
        <v>89</v>
      </c>
      <c r="D224" s="1" t="s">
        <v>51</v>
      </c>
      <c r="E224" s="1" t="s">
        <v>21</v>
      </c>
      <c r="F224" s="1" t="s">
        <v>31</v>
      </c>
      <c r="G224" s="2">
        <v>45688</v>
      </c>
      <c r="H224" s="2">
        <v>45692</v>
      </c>
      <c r="I224" s="1" t="s">
        <v>39</v>
      </c>
      <c r="J224">
        <v>4</v>
      </c>
      <c r="K224">
        <v>4</v>
      </c>
      <c r="L224">
        <v>10</v>
      </c>
      <c r="M224" s="1" t="s">
        <v>24</v>
      </c>
      <c r="N224" s="2">
        <v>45658</v>
      </c>
      <c r="O224">
        <v>2025</v>
      </c>
      <c r="P224">
        <v>1</v>
      </c>
      <c r="Q224" s="1" t="s">
        <v>24</v>
      </c>
    </row>
    <row r="225" spans="1:17" x14ac:dyDescent="0.3">
      <c r="A225" s="1" t="s">
        <v>290</v>
      </c>
      <c r="B225" s="1" t="s">
        <v>63</v>
      </c>
      <c r="C225" s="1" t="s">
        <v>84</v>
      </c>
      <c r="D225" s="1" t="s">
        <v>51</v>
      </c>
      <c r="E225" s="1" t="s">
        <v>21</v>
      </c>
      <c r="F225" s="1" t="s">
        <v>61</v>
      </c>
      <c r="G225" s="2">
        <v>45821</v>
      </c>
      <c r="H225" s="2">
        <v>45828</v>
      </c>
      <c r="I225" s="1" t="s">
        <v>32</v>
      </c>
      <c r="J225">
        <v>5</v>
      </c>
      <c r="K225">
        <v>7</v>
      </c>
      <c r="L225">
        <v>10</v>
      </c>
      <c r="M225" s="1" t="s">
        <v>24</v>
      </c>
      <c r="N225" s="2">
        <v>45809</v>
      </c>
      <c r="O225">
        <v>2025</v>
      </c>
      <c r="P225">
        <v>2</v>
      </c>
      <c r="Q225" s="1" t="s">
        <v>24</v>
      </c>
    </row>
    <row r="226" spans="1:17" x14ac:dyDescent="0.3">
      <c r="A226" s="1" t="s">
        <v>291</v>
      </c>
      <c r="B226" s="1" t="s">
        <v>26</v>
      </c>
      <c r="C226" s="1" t="s">
        <v>67</v>
      </c>
      <c r="D226" s="1" t="s">
        <v>51</v>
      </c>
      <c r="E226" s="1" t="s">
        <v>21</v>
      </c>
      <c r="F226" s="1" t="s">
        <v>38</v>
      </c>
      <c r="G226" s="2">
        <v>45794</v>
      </c>
      <c r="H226" s="2">
        <v>45803</v>
      </c>
      <c r="I226" s="1" t="s">
        <v>23</v>
      </c>
      <c r="J226">
        <v>3</v>
      </c>
      <c r="K226">
        <v>9</v>
      </c>
      <c r="L226">
        <v>10</v>
      </c>
      <c r="M226" s="1" t="s">
        <v>24</v>
      </c>
      <c r="N226" s="2">
        <v>45778</v>
      </c>
      <c r="O226">
        <v>2025</v>
      </c>
      <c r="P226">
        <v>2</v>
      </c>
      <c r="Q226" s="1" t="s">
        <v>24</v>
      </c>
    </row>
    <row r="227" spans="1:17" x14ac:dyDescent="0.3">
      <c r="A227" s="1" t="s">
        <v>292</v>
      </c>
      <c r="B227" s="1" t="s">
        <v>35</v>
      </c>
      <c r="C227" s="1" t="s">
        <v>50</v>
      </c>
      <c r="D227" s="1" t="s">
        <v>44</v>
      </c>
      <c r="E227" s="1" t="s">
        <v>21</v>
      </c>
      <c r="F227" s="1" t="s">
        <v>22</v>
      </c>
      <c r="G227" s="2">
        <v>45739</v>
      </c>
      <c r="H227" s="2">
        <v>45746</v>
      </c>
      <c r="I227" s="1" t="s">
        <v>32</v>
      </c>
      <c r="J227">
        <v>4</v>
      </c>
      <c r="K227">
        <v>7</v>
      </c>
      <c r="L227">
        <v>7</v>
      </c>
      <c r="M227" s="1" t="s">
        <v>24</v>
      </c>
      <c r="N227" s="2">
        <v>45717</v>
      </c>
      <c r="O227">
        <v>2025</v>
      </c>
      <c r="P227">
        <v>1</v>
      </c>
      <c r="Q227" s="1" t="s">
        <v>24</v>
      </c>
    </row>
    <row r="228" spans="1:17" x14ac:dyDescent="0.3">
      <c r="A228" s="1" t="s">
        <v>293</v>
      </c>
      <c r="B228" s="1" t="s">
        <v>63</v>
      </c>
      <c r="C228" s="1" t="s">
        <v>64</v>
      </c>
      <c r="D228" s="1" t="s">
        <v>51</v>
      </c>
      <c r="E228" s="1" t="s">
        <v>21</v>
      </c>
      <c r="F228" s="1" t="s">
        <v>38</v>
      </c>
      <c r="G228" s="2">
        <v>45913</v>
      </c>
      <c r="H228" s="2">
        <v>45919</v>
      </c>
      <c r="I228" s="1" t="s">
        <v>39</v>
      </c>
      <c r="J228">
        <v>4</v>
      </c>
      <c r="K228">
        <v>6</v>
      </c>
      <c r="L228">
        <v>10</v>
      </c>
      <c r="M228" s="1" t="s">
        <v>24</v>
      </c>
      <c r="N228" s="2">
        <v>45901</v>
      </c>
      <c r="O228">
        <v>2025</v>
      </c>
      <c r="P228">
        <v>3</v>
      </c>
      <c r="Q228" s="1" t="s">
        <v>24</v>
      </c>
    </row>
    <row r="229" spans="1:17" x14ac:dyDescent="0.3">
      <c r="A229" s="1" t="s">
        <v>294</v>
      </c>
      <c r="B229" s="1" t="s">
        <v>26</v>
      </c>
      <c r="C229" s="1" t="s">
        <v>27</v>
      </c>
      <c r="D229" s="1" t="s">
        <v>71</v>
      </c>
      <c r="E229" s="1" t="s">
        <v>21</v>
      </c>
      <c r="F229" s="1" t="s">
        <v>31</v>
      </c>
      <c r="G229" s="2">
        <v>45838</v>
      </c>
      <c r="H229" s="2">
        <v>45838</v>
      </c>
      <c r="I229" s="1" t="s">
        <v>82</v>
      </c>
      <c r="J229">
        <v>2</v>
      </c>
      <c r="K229">
        <v>0</v>
      </c>
      <c r="L229">
        <v>3</v>
      </c>
      <c r="M229" s="1" t="s">
        <v>24</v>
      </c>
      <c r="N229" s="2">
        <v>45809</v>
      </c>
      <c r="O229">
        <v>2025</v>
      </c>
      <c r="P229">
        <v>2</v>
      </c>
      <c r="Q229" s="1" t="s">
        <v>24</v>
      </c>
    </row>
    <row r="230" spans="1:17" x14ac:dyDescent="0.3">
      <c r="A230" s="1" t="s">
        <v>295</v>
      </c>
      <c r="B230" s="1" t="s">
        <v>18</v>
      </c>
      <c r="C230" s="1" t="s">
        <v>30</v>
      </c>
      <c r="D230" s="1" t="s">
        <v>51</v>
      </c>
      <c r="E230" s="1" t="s">
        <v>21</v>
      </c>
      <c r="F230" s="1" t="s">
        <v>52</v>
      </c>
      <c r="G230" s="2">
        <v>45713</v>
      </c>
      <c r="H230" s="2">
        <v>45721</v>
      </c>
      <c r="I230" s="1" t="s">
        <v>32</v>
      </c>
      <c r="J230">
        <v>3</v>
      </c>
      <c r="K230">
        <v>8</v>
      </c>
      <c r="L230">
        <v>10</v>
      </c>
      <c r="M230" s="1" t="s">
        <v>24</v>
      </c>
      <c r="N230" s="2">
        <v>45689</v>
      </c>
      <c r="O230">
        <v>2025</v>
      </c>
      <c r="P230">
        <v>1</v>
      </c>
      <c r="Q230" s="1" t="s">
        <v>24</v>
      </c>
    </row>
    <row r="231" spans="1:17" x14ac:dyDescent="0.3">
      <c r="A231" s="1" t="s">
        <v>296</v>
      </c>
      <c r="B231" s="1" t="s">
        <v>58</v>
      </c>
      <c r="C231" s="1" t="s">
        <v>59</v>
      </c>
      <c r="D231" s="1" t="s">
        <v>20</v>
      </c>
      <c r="E231" s="1" t="s">
        <v>21</v>
      </c>
      <c r="F231" s="1" t="s">
        <v>52</v>
      </c>
      <c r="G231" s="2">
        <v>45945</v>
      </c>
      <c r="H231" s="2">
        <v>45951</v>
      </c>
      <c r="I231" s="1" t="s">
        <v>23</v>
      </c>
      <c r="J231">
        <v>4</v>
      </c>
      <c r="K231">
        <v>6</v>
      </c>
      <c r="L231">
        <v>14</v>
      </c>
      <c r="M231" s="1" t="s">
        <v>24</v>
      </c>
      <c r="N231" s="2">
        <v>45931</v>
      </c>
      <c r="O231">
        <v>2025</v>
      </c>
      <c r="P231">
        <v>4</v>
      </c>
      <c r="Q231" s="1" t="s">
        <v>24</v>
      </c>
    </row>
    <row r="232" spans="1:17" x14ac:dyDescent="0.3">
      <c r="A232" s="1" t="s">
        <v>297</v>
      </c>
      <c r="B232" s="1" t="s">
        <v>58</v>
      </c>
      <c r="C232" s="1" t="s">
        <v>145</v>
      </c>
      <c r="D232" s="1" t="s">
        <v>44</v>
      </c>
      <c r="E232" s="1" t="s">
        <v>21</v>
      </c>
      <c r="F232" s="1" t="s">
        <v>61</v>
      </c>
      <c r="G232" s="2">
        <v>45977</v>
      </c>
      <c r="H232" s="2">
        <v>45983</v>
      </c>
      <c r="I232" s="1" t="s">
        <v>23</v>
      </c>
      <c r="J232">
        <v>4</v>
      </c>
      <c r="K232">
        <v>6</v>
      </c>
      <c r="L232">
        <v>7</v>
      </c>
      <c r="M232" s="1" t="s">
        <v>24</v>
      </c>
      <c r="N232" s="2">
        <v>45962</v>
      </c>
      <c r="O232">
        <v>2025</v>
      </c>
      <c r="P232">
        <v>4</v>
      </c>
      <c r="Q232" s="1" t="s">
        <v>24</v>
      </c>
    </row>
    <row r="233" spans="1:17" x14ac:dyDescent="0.3">
      <c r="A233" s="1" t="s">
        <v>298</v>
      </c>
      <c r="B233" s="1" t="s">
        <v>58</v>
      </c>
      <c r="C233" s="1" t="s">
        <v>59</v>
      </c>
      <c r="D233" s="1" t="s">
        <v>44</v>
      </c>
      <c r="E233" s="1" t="s">
        <v>21</v>
      </c>
      <c r="F233" s="1" t="s">
        <v>22</v>
      </c>
      <c r="G233" s="2">
        <v>45845</v>
      </c>
      <c r="H233" s="2">
        <v>45852</v>
      </c>
      <c r="I233" s="1" t="s">
        <v>82</v>
      </c>
      <c r="J233">
        <v>3</v>
      </c>
      <c r="K233">
        <v>7</v>
      </c>
      <c r="L233">
        <v>7</v>
      </c>
      <c r="M233" s="1" t="s">
        <v>24</v>
      </c>
      <c r="N233" s="2">
        <v>45839</v>
      </c>
      <c r="O233">
        <v>2025</v>
      </c>
      <c r="P233">
        <v>3</v>
      </c>
      <c r="Q233" s="1" t="s">
        <v>24</v>
      </c>
    </row>
    <row r="234" spans="1:17" x14ac:dyDescent="0.3">
      <c r="A234" s="1" t="s">
        <v>299</v>
      </c>
      <c r="B234" s="1" t="s">
        <v>58</v>
      </c>
      <c r="C234" s="1" t="s">
        <v>70</v>
      </c>
      <c r="D234" s="1" t="s">
        <v>20</v>
      </c>
      <c r="E234" s="1" t="s">
        <v>21</v>
      </c>
      <c r="F234" s="1" t="s">
        <v>31</v>
      </c>
      <c r="G234" s="2">
        <v>45828</v>
      </c>
      <c r="H234" s="2">
        <v>45843</v>
      </c>
      <c r="I234" s="1" t="s">
        <v>28</v>
      </c>
      <c r="J234">
        <v>4</v>
      </c>
      <c r="K234">
        <v>15</v>
      </c>
      <c r="L234">
        <v>14</v>
      </c>
      <c r="M234" s="1" t="s">
        <v>33</v>
      </c>
      <c r="N234" s="2">
        <v>45809</v>
      </c>
      <c r="O234">
        <v>2025</v>
      </c>
      <c r="P234">
        <v>2</v>
      </c>
      <c r="Q234" s="1" t="s">
        <v>24</v>
      </c>
    </row>
    <row r="235" spans="1:17" x14ac:dyDescent="0.3">
      <c r="A235" s="1" t="s">
        <v>300</v>
      </c>
      <c r="B235" s="1" t="s">
        <v>26</v>
      </c>
      <c r="C235" s="1" t="s">
        <v>54</v>
      </c>
      <c r="D235" s="1" t="s">
        <v>51</v>
      </c>
      <c r="E235" s="1" t="s">
        <v>21</v>
      </c>
      <c r="F235" s="1" t="s">
        <v>52</v>
      </c>
      <c r="G235" s="2">
        <v>45741</v>
      </c>
      <c r="H235" s="2">
        <v>45749</v>
      </c>
      <c r="I235" s="1" t="s">
        <v>82</v>
      </c>
      <c r="J235">
        <v>5</v>
      </c>
      <c r="K235">
        <v>8</v>
      </c>
      <c r="L235">
        <v>10</v>
      </c>
      <c r="M235" s="1" t="s">
        <v>24</v>
      </c>
      <c r="N235" s="2">
        <v>45717</v>
      </c>
      <c r="O235">
        <v>2025</v>
      </c>
      <c r="P235">
        <v>1</v>
      </c>
      <c r="Q235" s="1" t="s">
        <v>24</v>
      </c>
    </row>
    <row r="236" spans="1:17" x14ac:dyDescent="0.3">
      <c r="A236" s="1" t="s">
        <v>301</v>
      </c>
      <c r="B236" s="1" t="s">
        <v>35</v>
      </c>
      <c r="C236" s="1" t="s">
        <v>50</v>
      </c>
      <c r="D236" s="1" t="s">
        <v>44</v>
      </c>
      <c r="E236" s="1" t="s">
        <v>21</v>
      </c>
      <c r="F236" s="1" t="s">
        <v>38</v>
      </c>
      <c r="G236" s="2">
        <v>45666</v>
      </c>
      <c r="H236" s="2">
        <v>45669</v>
      </c>
      <c r="I236" s="1" t="s">
        <v>39</v>
      </c>
      <c r="J236">
        <v>4</v>
      </c>
      <c r="K236">
        <v>3</v>
      </c>
      <c r="L236">
        <v>7</v>
      </c>
      <c r="M236" s="1" t="s">
        <v>24</v>
      </c>
      <c r="N236" s="2">
        <v>45658</v>
      </c>
      <c r="O236">
        <v>2025</v>
      </c>
      <c r="P236">
        <v>1</v>
      </c>
      <c r="Q236" s="1" t="s">
        <v>24</v>
      </c>
    </row>
    <row r="237" spans="1:17" x14ac:dyDescent="0.3">
      <c r="A237" s="1" t="s">
        <v>302</v>
      </c>
      <c r="B237" s="1" t="s">
        <v>26</v>
      </c>
      <c r="C237" s="1" t="s">
        <v>123</v>
      </c>
      <c r="D237" s="1" t="s">
        <v>44</v>
      </c>
      <c r="E237" s="1" t="s">
        <v>21</v>
      </c>
      <c r="F237" s="1" t="s">
        <v>31</v>
      </c>
      <c r="G237" s="2">
        <v>46010</v>
      </c>
      <c r="H237" s="2">
        <v>46016</v>
      </c>
      <c r="I237" s="1" t="s">
        <v>32</v>
      </c>
      <c r="J237">
        <v>1</v>
      </c>
      <c r="K237">
        <v>6</v>
      </c>
      <c r="L237">
        <v>7</v>
      </c>
      <c r="M237" s="1" t="s">
        <v>24</v>
      </c>
      <c r="N237" s="2">
        <v>45992</v>
      </c>
      <c r="O237">
        <v>2025</v>
      </c>
      <c r="P237">
        <v>4</v>
      </c>
      <c r="Q237" s="1" t="s">
        <v>24</v>
      </c>
    </row>
    <row r="238" spans="1:17" x14ac:dyDescent="0.3">
      <c r="A238" s="1" t="s">
        <v>303</v>
      </c>
      <c r="B238" s="1" t="s">
        <v>18</v>
      </c>
      <c r="C238" s="1" t="s">
        <v>47</v>
      </c>
      <c r="D238" s="1" t="s">
        <v>44</v>
      </c>
      <c r="E238" s="1" t="s">
        <v>21</v>
      </c>
      <c r="F238" s="1" t="s">
        <v>22</v>
      </c>
      <c r="G238" s="2">
        <v>45745</v>
      </c>
      <c r="H238" s="2">
        <v>45750</v>
      </c>
      <c r="I238" s="1" t="s">
        <v>39</v>
      </c>
      <c r="J238">
        <v>4</v>
      </c>
      <c r="K238">
        <v>5</v>
      </c>
      <c r="L238">
        <v>7</v>
      </c>
      <c r="M238" s="1" t="s">
        <v>24</v>
      </c>
      <c r="N238" s="2">
        <v>45717</v>
      </c>
      <c r="O238">
        <v>2025</v>
      </c>
      <c r="P238">
        <v>1</v>
      </c>
      <c r="Q238" s="1" t="s">
        <v>24</v>
      </c>
    </row>
    <row r="239" spans="1:17" x14ac:dyDescent="0.3">
      <c r="A239" s="1" t="s">
        <v>304</v>
      </c>
      <c r="B239" s="1" t="s">
        <v>63</v>
      </c>
      <c r="C239" s="1" t="s">
        <v>64</v>
      </c>
      <c r="D239" s="1" t="s">
        <v>20</v>
      </c>
      <c r="E239" s="1" t="s">
        <v>48</v>
      </c>
      <c r="F239" s="1" t="s">
        <v>61</v>
      </c>
      <c r="G239" s="2">
        <v>45714</v>
      </c>
      <c r="H239" s="2"/>
      <c r="I239" s="1" t="s">
        <v>23</v>
      </c>
      <c r="L239">
        <v>14</v>
      </c>
      <c r="M239" s="1" t="s">
        <v>40</v>
      </c>
      <c r="N239" s="2">
        <v>45689</v>
      </c>
      <c r="O239">
        <v>2025</v>
      </c>
      <c r="P239">
        <v>1</v>
      </c>
      <c r="Q239" s="1" t="s">
        <v>33</v>
      </c>
    </row>
    <row r="240" spans="1:17" x14ac:dyDescent="0.3">
      <c r="A240" s="1" t="s">
        <v>305</v>
      </c>
      <c r="B240" s="1" t="s">
        <v>58</v>
      </c>
      <c r="C240" s="1" t="s">
        <v>59</v>
      </c>
      <c r="D240" s="1" t="s">
        <v>51</v>
      </c>
      <c r="E240" s="1" t="s">
        <v>21</v>
      </c>
      <c r="F240" s="1" t="s">
        <v>22</v>
      </c>
      <c r="G240" s="2">
        <v>45762</v>
      </c>
      <c r="H240" s="2">
        <v>45770</v>
      </c>
      <c r="I240" s="1" t="s">
        <v>39</v>
      </c>
      <c r="J240">
        <v>4</v>
      </c>
      <c r="K240">
        <v>8</v>
      </c>
      <c r="L240">
        <v>10</v>
      </c>
      <c r="M240" s="1" t="s">
        <v>24</v>
      </c>
      <c r="N240" s="2">
        <v>45748</v>
      </c>
      <c r="O240">
        <v>2025</v>
      </c>
      <c r="P240">
        <v>2</v>
      </c>
      <c r="Q240" s="1" t="s">
        <v>24</v>
      </c>
    </row>
    <row r="241" spans="1:17" x14ac:dyDescent="0.3">
      <c r="A241" s="1" t="s">
        <v>306</v>
      </c>
      <c r="B241" s="1" t="s">
        <v>18</v>
      </c>
      <c r="C241" s="1" t="s">
        <v>19</v>
      </c>
      <c r="D241" s="1" t="s">
        <v>44</v>
      </c>
      <c r="E241" s="1" t="s">
        <v>21</v>
      </c>
      <c r="F241" s="1" t="s">
        <v>31</v>
      </c>
      <c r="G241" s="2">
        <v>45945</v>
      </c>
      <c r="H241" s="2">
        <v>45948</v>
      </c>
      <c r="I241" s="1" t="s">
        <v>82</v>
      </c>
      <c r="J241">
        <v>5</v>
      </c>
      <c r="K241">
        <v>3</v>
      </c>
      <c r="L241">
        <v>7</v>
      </c>
      <c r="M241" s="1" t="s">
        <v>24</v>
      </c>
      <c r="N241" s="2">
        <v>45931</v>
      </c>
      <c r="O241">
        <v>2025</v>
      </c>
      <c r="P241">
        <v>4</v>
      </c>
      <c r="Q241" s="1" t="s">
        <v>24</v>
      </c>
    </row>
    <row r="242" spans="1:17" x14ac:dyDescent="0.3">
      <c r="A242" s="1" t="s">
        <v>307</v>
      </c>
      <c r="B242" s="1" t="s">
        <v>58</v>
      </c>
      <c r="C242" s="1" t="s">
        <v>59</v>
      </c>
      <c r="D242" s="1" t="s">
        <v>71</v>
      </c>
      <c r="E242" s="1" t="s">
        <v>21</v>
      </c>
      <c r="F242" s="1" t="s">
        <v>52</v>
      </c>
      <c r="G242" s="2">
        <v>45930</v>
      </c>
      <c r="H242" s="2">
        <v>45932</v>
      </c>
      <c r="I242" s="1" t="s">
        <v>82</v>
      </c>
      <c r="J242">
        <v>4</v>
      </c>
      <c r="K242">
        <v>2</v>
      </c>
      <c r="L242">
        <v>3</v>
      </c>
      <c r="M242" s="1" t="s">
        <v>24</v>
      </c>
      <c r="N242" s="2">
        <v>45901</v>
      </c>
      <c r="O242">
        <v>2025</v>
      </c>
      <c r="P242">
        <v>3</v>
      </c>
      <c r="Q242" s="1" t="s">
        <v>24</v>
      </c>
    </row>
    <row r="243" spans="1:17" x14ac:dyDescent="0.3">
      <c r="A243" s="1" t="s">
        <v>308</v>
      </c>
      <c r="B243" s="1" t="s">
        <v>58</v>
      </c>
      <c r="C243" s="1" t="s">
        <v>108</v>
      </c>
      <c r="D243" s="1" t="s">
        <v>71</v>
      </c>
      <c r="E243" s="1" t="s">
        <v>21</v>
      </c>
      <c r="F243" s="1" t="s">
        <v>52</v>
      </c>
      <c r="G243" s="2">
        <v>45810</v>
      </c>
      <c r="H243" s="2">
        <v>45811</v>
      </c>
      <c r="I243" s="1" t="s">
        <v>32</v>
      </c>
      <c r="J243">
        <v>5</v>
      </c>
      <c r="K243">
        <v>1</v>
      </c>
      <c r="L243">
        <v>3</v>
      </c>
      <c r="M243" s="1" t="s">
        <v>24</v>
      </c>
      <c r="N243" s="2">
        <v>45809</v>
      </c>
      <c r="O243">
        <v>2025</v>
      </c>
      <c r="P243">
        <v>2</v>
      </c>
      <c r="Q243" s="1" t="s">
        <v>24</v>
      </c>
    </row>
    <row r="244" spans="1:17" x14ac:dyDescent="0.3">
      <c r="A244" s="1" t="s">
        <v>309</v>
      </c>
      <c r="B244" s="1" t="s">
        <v>18</v>
      </c>
      <c r="C244" s="1" t="s">
        <v>47</v>
      </c>
      <c r="D244" s="1" t="s">
        <v>51</v>
      </c>
      <c r="E244" s="1" t="s">
        <v>21</v>
      </c>
      <c r="F244" s="1" t="s">
        <v>52</v>
      </c>
      <c r="G244" s="2">
        <v>45903</v>
      </c>
      <c r="H244" s="2">
        <v>45910</v>
      </c>
      <c r="I244" s="1" t="s">
        <v>32</v>
      </c>
      <c r="J244">
        <v>4</v>
      </c>
      <c r="K244">
        <v>7</v>
      </c>
      <c r="L244">
        <v>10</v>
      </c>
      <c r="M244" s="1" t="s">
        <v>24</v>
      </c>
      <c r="N244" s="2">
        <v>45901</v>
      </c>
      <c r="O244">
        <v>2025</v>
      </c>
      <c r="P244">
        <v>3</v>
      </c>
      <c r="Q244" s="1" t="s">
        <v>24</v>
      </c>
    </row>
    <row r="245" spans="1:17" x14ac:dyDescent="0.3">
      <c r="A245" s="1" t="s">
        <v>310</v>
      </c>
      <c r="B245" s="1" t="s">
        <v>42</v>
      </c>
      <c r="C245" s="1" t="s">
        <v>87</v>
      </c>
      <c r="D245" s="1" t="s">
        <v>44</v>
      </c>
      <c r="E245" s="1" t="s">
        <v>21</v>
      </c>
      <c r="F245" s="1" t="s">
        <v>52</v>
      </c>
      <c r="G245" s="2">
        <v>45834</v>
      </c>
      <c r="H245" s="2">
        <v>45841</v>
      </c>
      <c r="I245" s="1" t="s">
        <v>23</v>
      </c>
      <c r="J245">
        <v>5</v>
      </c>
      <c r="K245">
        <v>7</v>
      </c>
      <c r="L245">
        <v>7</v>
      </c>
      <c r="M245" s="1" t="s">
        <v>24</v>
      </c>
      <c r="N245" s="2">
        <v>45809</v>
      </c>
      <c r="O245">
        <v>2025</v>
      </c>
      <c r="P245">
        <v>2</v>
      </c>
      <c r="Q245" s="1" t="s">
        <v>24</v>
      </c>
    </row>
    <row r="246" spans="1:17" x14ac:dyDescent="0.3">
      <c r="A246" s="1" t="s">
        <v>311</v>
      </c>
      <c r="B246" s="1" t="s">
        <v>35</v>
      </c>
      <c r="C246" s="1" t="s">
        <v>99</v>
      </c>
      <c r="D246" s="1" t="s">
        <v>51</v>
      </c>
      <c r="E246" s="1" t="s">
        <v>21</v>
      </c>
      <c r="F246" s="1" t="s">
        <v>22</v>
      </c>
      <c r="G246" s="2">
        <v>45789</v>
      </c>
      <c r="H246" s="2">
        <v>45798</v>
      </c>
      <c r="I246" s="1" t="s">
        <v>32</v>
      </c>
      <c r="J246">
        <v>3</v>
      </c>
      <c r="K246">
        <v>9</v>
      </c>
      <c r="L246">
        <v>10</v>
      </c>
      <c r="M246" s="1" t="s">
        <v>24</v>
      </c>
      <c r="N246" s="2">
        <v>45778</v>
      </c>
      <c r="O246">
        <v>2025</v>
      </c>
      <c r="P246">
        <v>2</v>
      </c>
      <c r="Q246" s="1" t="s">
        <v>24</v>
      </c>
    </row>
    <row r="247" spans="1:17" x14ac:dyDescent="0.3">
      <c r="A247" s="1" t="s">
        <v>312</v>
      </c>
      <c r="B247" s="1" t="s">
        <v>26</v>
      </c>
      <c r="C247" s="1" t="s">
        <v>123</v>
      </c>
      <c r="D247" s="1" t="s">
        <v>20</v>
      </c>
      <c r="E247" s="1" t="s">
        <v>21</v>
      </c>
      <c r="F247" s="1" t="s">
        <v>22</v>
      </c>
      <c r="G247" s="2">
        <v>45958</v>
      </c>
      <c r="H247" s="2">
        <v>45964</v>
      </c>
      <c r="I247" s="1" t="s">
        <v>28</v>
      </c>
      <c r="J247">
        <v>3</v>
      </c>
      <c r="K247">
        <v>6</v>
      </c>
      <c r="L247">
        <v>14</v>
      </c>
      <c r="M247" s="1" t="s">
        <v>24</v>
      </c>
      <c r="N247" s="2">
        <v>45931</v>
      </c>
      <c r="O247">
        <v>2025</v>
      </c>
      <c r="P247">
        <v>4</v>
      </c>
      <c r="Q247" s="1" t="s">
        <v>24</v>
      </c>
    </row>
    <row r="248" spans="1:17" x14ac:dyDescent="0.3">
      <c r="A248" s="1" t="s">
        <v>313</v>
      </c>
      <c r="B248" s="1" t="s">
        <v>18</v>
      </c>
      <c r="C248" s="1" t="s">
        <v>47</v>
      </c>
      <c r="D248" s="1" t="s">
        <v>20</v>
      </c>
      <c r="E248" s="1" t="s">
        <v>21</v>
      </c>
      <c r="F248" s="1" t="s">
        <v>61</v>
      </c>
      <c r="G248" s="2">
        <v>45899</v>
      </c>
      <c r="H248" s="2">
        <v>45903</v>
      </c>
      <c r="I248" s="1" t="s">
        <v>23</v>
      </c>
      <c r="J248">
        <v>5</v>
      </c>
      <c r="K248">
        <v>4</v>
      </c>
      <c r="L248">
        <v>14</v>
      </c>
      <c r="M248" s="1" t="s">
        <v>24</v>
      </c>
      <c r="N248" s="2">
        <v>45870</v>
      </c>
      <c r="O248">
        <v>2025</v>
      </c>
      <c r="P248">
        <v>3</v>
      </c>
      <c r="Q248" s="1" t="s">
        <v>24</v>
      </c>
    </row>
    <row r="249" spans="1:17" x14ac:dyDescent="0.3">
      <c r="A249" s="1" t="s">
        <v>314</v>
      </c>
      <c r="B249" s="1" t="s">
        <v>26</v>
      </c>
      <c r="C249" s="1" t="s">
        <v>54</v>
      </c>
      <c r="D249" s="1" t="s">
        <v>51</v>
      </c>
      <c r="E249" s="1" t="s">
        <v>48</v>
      </c>
      <c r="F249" s="1" t="s">
        <v>31</v>
      </c>
      <c r="G249" s="2">
        <v>45901</v>
      </c>
      <c r="H249" s="2"/>
      <c r="I249" s="1" t="s">
        <v>28</v>
      </c>
      <c r="L249">
        <v>10</v>
      </c>
      <c r="M249" s="1" t="s">
        <v>40</v>
      </c>
      <c r="N249" s="2">
        <v>45901</v>
      </c>
      <c r="O249">
        <v>2025</v>
      </c>
      <c r="P249">
        <v>3</v>
      </c>
      <c r="Q249" s="1" t="s">
        <v>33</v>
      </c>
    </row>
    <row r="250" spans="1:17" x14ac:dyDescent="0.3">
      <c r="A250" s="1" t="s">
        <v>315</v>
      </c>
      <c r="B250" s="1" t="s">
        <v>35</v>
      </c>
      <c r="C250" s="1" t="s">
        <v>97</v>
      </c>
      <c r="D250" s="1" t="s">
        <v>51</v>
      </c>
      <c r="E250" s="1" t="s">
        <v>21</v>
      </c>
      <c r="F250" s="1" t="s">
        <v>38</v>
      </c>
      <c r="G250" s="2">
        <v>45703</v>
      </c>
      <c r="H250" s="2">
        <v>45708</v>
      </c>
      <c r="I250" s="1" t="s">
        <v>28</v>
      </c>
      <c r="J250">
        <v>4</v>
      </c>
      <c r="K250">
        <v>5</v>
      </c>
      <c r="L250">
        <v>10</v>
      </c>
      <c r="M250" s="1" t="s">
        <v>24</v>
      </c>
      <c r="N250" s="2">
        <v>45689</v>
      </c>
      <c r="O250">
        <v>2025</v>
      </c>
      <c r="P250">
        <v>1</v>
      </c>
      <c r="Q250" s="1" t="s">
        <v>24</v>
      </c>
    </row>
    <row r="251" spans="1:17" x14ac:dyDescent="0.3">
      <c r="A251" s="1" t="s">
        <v>316</v>
      </c>
      <c r="B251" s="1" t="s">
        <v>58</v>
      </c>
      <c r="C251" s="1" t="s">
        <v>108</v>
      </c>
      <c r="D251" s="1" t="s">
        <v>44</v>
      </c>
      <c r="E251" s="1" t="s">
        <v>21</v>
      </c>
      <c r="F251" s="1" t="s">
        <v>52</v>
      </c>
      <c r="G251" s="2">
        <v>45861</v>
      </c>
      <c r="H251" s="2">
        <v>45868</v>
      </c>
      <c r="I251" s="1" t="s">
        <v>23</v>
      </c>
      <c r="J251">
        <v>4</v>
      </c>
      <c r="K251">
        <v>7</v>
      </c>
      <c r="L251">
        <v>7</v>
      </c>
      <c r="M251" s="1" t="s">
        <v>24</v>
      </c>
      <c r="N251" s="2">
        <v>45839</v>
      </c>
      <c r="O251">
        <v>2025</v>
      </c>
      <c r="P251">
        <v>3</v>
      </c>
      <c r="Q251" s="1" t="s">
        <v>24</v>
      </c>
    </row>
    <row r="252" spans="1:17" x14ac:dyDescent="0.3">
      <c r="A252" s="1" t="s">
        <v>317</v>
      </c>
      <c r="B252" s="1" t="s">
        <v>42</v>
      </c>
      <c r="C252" s="1" t="s">
        <v>43</v>
      </c>
      <c r="D252" s="1" t="s">
        <v>51</v>
      </c>
      <c r="E252" s="1" t="s">
        <v>21</v>
      </c>
      <c r="F252" s="1" t="s">
        <v>22</v>
      </c>
      <c r="G252" s="2">
        <v>45829</v>
      </c>
      <c r="H252" s="2">
        <v>45835</v>
      </c>
      <c r="I252" s="1" t="s">
        <v>82</v>
      </c>
      <c r="J252">
        <v>4</v>
      </c>
      <c r="K252">
        <v>6</v>
      </c>
      <c r="L252">
        <v>10</v>
      </c>
      <c r="M252" s="1" t="s">
        <v>24</v>
      </c>
      <c r="N252" s="2">
        <v>45809</v>
      </c>
      <c r="O252">
        <v>2025</v>
      </c>
      <c r="P252">
        <v>2</v>
      </c>
      <c r="Q252" s="1" t="s">
        <v>24</v>
      </c>
    </row>
    <row r="253" spans="1:17" x14ac:dyDescent="0.3">
      <c r="A253" s="1" t="s">
        <v>318</v>
      </c>
      <c r="B253" s="1" t="s">
        <v>58</v>
      </c>
      <c r="C253" s="1" t="s">
        <v>108</v>
      </c>
      <c r="D253" s="1" t="s">
        <v>44</v>
      </c>
      <c r="E253" s="1" t="s">
        <v>21</v>
      </c>
      <c r="F253" s="1" t="s">
        <v>61</v>
      </c>
      <c r="G253" s="2">
        <v>45756</v>
      </c>
      <c r="H253" s="2">
        <v>45763</v>
      </c>
      <c r="I253" s="1" t="s">
        <v>39</v>
      </c>
      <c r="J253">
        <v>3</v>
      </c>
      <c r="K253">
        <v>7</v>
      </c>
      <c r="L253">
        <v>7</v>
      </c>
      <c r="M253" s="1" t="s">
        <v>24</v>
      </c>
      <c r="N253" s="2">
        <v>45748</v>
      </c>
      <c r="O253">
        <v>2025</v>
      </c>
      <c r="P253">
        <v>2</v>
      </c>
      <c r="Q253" s="1" t="s">
        <v>24</v>
      </c>
    </row>
    <row r="254" spans="1:17" x14ac:dyDescent="0.3">
      <c r="A254" s="1" t="s">
        <v>319</v>
      </c>
      <c r="B254" s="1" t="s">
        <v>18</v>
      </c>
      <c r="C254" s="1" t="s">
        <v>56</v>
      </c>
      <c r="D254" s="1" t="s">
        <v>44</v>
      </c>
      <c r="E254" s="1" t="s">
        <v>21</v>
      </c>
      <c r="F254" s="1" t="s">
        <v>61</v>
      </c>
      <c r="G254" s="2">
        <v>45830</v>
      </c>
      <c r="H254" s="2">
        <v>45837</v>
      </c>
      <c r="I254" s="1" t="s">
        <v>28</v>
      </c>
      <c r="J254">
        <v>4</v>
      </c>
      <c r="K254">
        <v>7</v>
      </c>
      <c r="L254">
        <v>7</v>
      </c>
      <c r="M254" s="1" t="s">
        <v>24</v>
      </c>
      <c r="N254" s="2">
        <v>45809</v>
      </c>
      <c r="O254">
        <v>2025</v>
      </c>
      <c r="P254">
        <v>2</v>
      </c>
      <c r="Q254" s="1" t="s">
        <v>24</v>
      </c>
    </row>
    <row r="255" spans="1:17" x14ac:dyDescent="0.3">
      <c r="A255" s="1" t="s">
        <v>320</v>
      </c>
      <c r="B255" s="1" t="s">
        <v>26</v>
      </c>
      <c r="C255" s="1" t="s">
        <v>27</v>
      </c>
      <c r="D255" s="1" t="s">
        <v>44</v>
      </c>
      <c r="E255" s="1" t="s">
        <v>21</v>
      </c>
      <c r="F255" s="1" t="s">
        <v>61</v>
      </c>
      <c r="G255" s="2">
        <v>45702</v>
      </c>
      <c r="H255" s="2">
        <v>45706</v>
      </c>
      <c r="I255" s="1" t="s">
        <v>28</v>
      </c>
      <c r="J255">
        <v>5</v>
      </c>
      <c r="K255">
        <v>4</v>
      </c>
      <c r="L255">
        <v>7</v>
      </c>
      <c r="M255" s="1" t="s">
        <v>24</v>
      </c>
      <c r="N255" s="2">
        <v>45689</v>
      </c>
      <c r="O255">
        <v>2025</v>
      </c>
      <c r="P255">
        <v>1</v>
      </c>
      <c r="Q255" s="1" t="s">
        <v>24</v>
      </c>
    </row>
    <row r="256" spans="1:17" x14ac:dyDescent="0.3">
      <c r="A256" s="1" t="s">
        <v>321</v>
      </c>
      <c r="B256" s="1" t="s">
        <v>58</v>
      </c>
      <c r="C256" s="1" t="s">
        <v>59</v>
      </c>
      <c r="D256" s="1" t="s">
        <v>44</v>
      </c>
      <c r="E256" s="1" t="s">
        <v>21</v>
      </c>
      <c r="F256" s="1" t="s">
        <v>52</v>
      </c>
      <c r="G256" s="2">
        <v>45854</v>
      </c>
      <c r="H256" s="2">
        <v>45856</v>
      </c>
      <c r="I256" s="1" t="s">
        <v>32</v>
      </c>
      <c r="J256">
        <v>4</v>
      </c>
      <c r="K256">
        <v>2</v>
      </c>
      <c r="L256">
        <v>7</v>
      </c>
      <c r="M256" s="1" t="s">
        <v>24</v>
      </c>
      <c r="N256" s="2">
        <v>45839</v>
      </c>
      <c r="O256">
        <v>2025</v>
      </c>
      <c r="P256">
        <v>3</v>
      </c>
      <c r="Q256" s="1" t="s">
        <v>24</v>
      </c>
    </row>
    <row r="257" spans="1:17" x14ac:dyDescent="0.3">
      <c r="A257" s="1" t="s">
        <v>322</v>
      </c>
      <c r="B257" s="1" t="s">
        <v>35</v>
      </c>
      <c r="C257" s="1" t="s">
        <v>99</v>
      </c>
      <c r="D257" s="1" t="s">
        <v>51</v>
      </c>
      <c r="E257" s="1" t="s">
        <v>21</v>
      </c>
      <c r="F257" s="1" t="s">
        <v>31</v>
      </c>
      <c r="G257" s="2">
        <v>45778</v>
      </c>
      <c r="H257" s="2">
        <v>45780</v>
      </c>
      <c r="I257" s="1" t="s">
        <v>32</v>
      </c>
      <c r="J257">
        <v>5</v>
      </c>
      <c r="K257">
        <v>2</v>
      </c>
      <c r="L257">
        <v>10</v>
      </c>
      <c r="M257" s="1" t="s">
        <v>24</v>
      </c>
      <c r="N257" s="2">
        <v>45778</v>
      </c>
      <c r="O257">
        <v>2025</v>
      </c>
      <c r="P257">
        <v>2</v>
      </c>
      <c r="Q257" s="1" t="s">
        <v>24</v>
      </c>
    </row>
    <row r="258" spans="1:17" x14ac:dyDescent="0.3">
      <c r="A258" s="1" t="s">
        <v>323</v>
      </c>
      <c r="B258" s="1" t="s">
        <v>63</v>
      </c>
      <c r="C258" s="1" t="s">
        <v>89</v>
      </c>
      <c r="D258" s="1" t="s">
        <v>51</v>
      </c>
      <c r="E258" s="1" t="s">
        <v>48</v>
      </c>
      <c r="F258" s="1" t="s">
        <v>52</v>
      </c>
      <c r="G258" s="2">
        <v>46018</v>
      </c>
      <c r="H258" s="2"/>
      <c r="I258" s="1" t="s">
        <v>23</v>
      </c>
      <c r="L258">
        <v>10</v>
      </c>
      <c r="M258" s="1" t="s">
        <v>40</v>
      </c>
      <c r="N258" s="2">
        <v>45992</v>
      </c>
      <c r="O258">
        <v>2025</v>
      </c>
      <c r="P258">
        <v>4</v>
      </c>
      <c r="Q258" s="1" t="s">
        <v>33</v>
      </c>
    </row>
    <row r="259" spans="1:17" x14ac:dyDescent="0.3">
      <c r="A259" s="1" t="s">
        <v>324</v>
      </c>
      <c r="B259" s="1" t="s">
        <v>18</v>
      </c>
      <c r="C259" s="1" t="s">
        <v>56</v>
      </c>
      <c r="D259" s="1" t="s">
        <v>51</v>
      </c>
      <c r="E259" s="1" t="s">
        <v>21</v>
      </c>
      <c r="F259" s="1" t="s">
        <v>22</v>
      </c>
      <c r="G259" s="2">
        <v>45726</v>
      </c>
      <c r="H259" s="2">
        <v>45735</v>
      </c>
      <c r="I259" s="1" t="s">
        <v>32</v>
      </c>
      <c r="J259">
        <v>3</v>
      </c>
      <c r="K259">
        <v>9</v>
      </c>
      <c r="L259">
        <v>10</v>
      </c>
      <c r="M259" s="1" t="s">
        <v>24</v>
      </c>
      <c r="N259" s="2">
        <v>45717</v>
      </c>
      <c r="O259">
        <v>2025</v>
      </c>
      <c r="P259">
        <v>1</v>
      </c>
      <c r="Q259" s="1" t="s">
        <v>24</v>
      </c>
    </row>
    <row r="260" spans="1:17" x14ac:dyDescent="0.3">
      <c r="A260" s="1" t="s">
        <v>325</v>
      </c>
      <c r="B260" s="1" t="s">
        <v>58</v>
      </c>
      <c r="C260" s="1" t="s">
        <v>145</v>
      </c>
      <c r="D260" s="1" t="s">
        <v>44</v>
      </c>
      <c r="E260" s="1" t="s">
        <v>37</v>
      </c>
      <c r="F260" s="1" t="s">
        <v>61</v>
      </c>
      <c r="G260" s="2">
        <v>45769</v>
      </c>
      <c r="H260" s="2"/>
      <c r="I260" s="1" t="s">
        <v>82</v>
      </c>
      <c r="L260">
        <v>7</v>
      </c>
      <c r="M260" s="1" t="s">
        <v>40</v>
      </c>
      <c r="N260" s="2">
        <v>45748</v>
      </c>
      <c r="O260">
        <v>2025</v>
      </c>
      <c r="P260">
        <v>2</v>
      </c>
      <c r="Q260" s="1" t="s">
        <v>33</v>
      </c>
    </row>
    <row r="261" spans="1:17" x14ac:dyDescent="0.3">
      <c r="A261" s="1" t="s">
        <v>326</v>
      </c>
      <c r="B261" s="1" t="s">
        <v>42</v>
      </c>
      <c r="C261" s="1" t="s">
        <v>87</v>
      </c>
      <c r="D261" s="1" t="s">
        <v>51</v>
      </c>
      <c r="E261" s="1" t="s">
        <v>21</v>
      </c>
      <c r="F261" s="1" t="s">
        <v>22</v>
      </c>
      <c r="G261" s="2">
        <v>45946</v>
      </c>
      <c r="H261" s="2">
        <v>45949</v>
      </c>
      <c r="I261" s="1" t="s">
        <v>82</v>
      </c>
      <c r="J261">
        <v>2</v>
      </c>
      <c r="K261">
        <v>3</v>
      </c>
      <c r="L261">
        <v>10</v>
      </c>
      <c r="M261" s="1" t="s">
        <v>24</v>
      </c>
      <c r="N261" s="2">
        <v>45931</v>
      </c>
      <c r="O261">
        <v>2025</v>
      </c>
      <c r="P261">
        <v>4</v>
      </c>
      <c r="Q261" s="1" t="s">
        <v>24</v>
      </c>
    </row>
    <row r="262" spans="1:17" x14ac:dyDescent="0.3">
      <c r="A262" s="1" t="s">
        <v>327</v>
      </c>
      <c r="B262" s="1" t="s">
        <v>63</v>
      </c>
      <c r="C262" s="1" t="s">
        <v>64</v>
      </c>
      <c r="D262" s="1" t="s">
        <v>20</v>
      </c>
      <c r="E262" s="1" t="s">
        <v>37</v>
      </c>
      <c r="F262" s="1" t="s">
        <v>38</v>
      </c>
      <c r="G262" s="2">
        <v>45884</v>
      </c>
      <c r="H262" s="2"/>
      <c r="I262" s="1" t="s">
        <v>28</v>
      </c>
      <c r="L262">
        <v>14</v>
      </c>
      <c r="M262" s="1" t="s">
        <v>40</v>
      </c>
      <c r="N262" s="2">
        <v>45870</v>
      </c>
      <c r="O262">
        <v>2025</v>
      </c>
      <c r="P262">
        <v>3</v>
      </c>
      <c r="Q262" s="1" t="s">
        <v>33</v>
      </c>
    </row>
    <row r="263" spans="1:17" x14ac:dyDescent="0.3">
      <c r="A263" s="1" t="s">
        <v>328</v>
      </c>
      <c r="B263" s="1" t="s">
        <v>18</v>
      </c>
      <c r="C263" s="1" t="s">
        <v>30</v>
      </c>
      <c r="D263" s="1" t="s">
        <v>20</v>
      </c>
      <c r="E263" s="1" t="s">
        <v>21</v>
      </c>
      <c r="F263" s="1" t="s">
        <v>31</v>
      </c>
      <c r="G263" s="2">
        <v>45686</v>
      </c>
      <c r="H263" s="2">
        <v>45696</v>
      </c>
      <c r="I263" s="1" t="s">
        <v>39</v>
      </c>
      <c r="J263">
        <v>3</v>
      </c>
      <c r="K263">
        <v>10</v>
      </c>
      <c r="L263">
        <v>14</v>
      </c>
      <c r="M263" s="1" t="s">
        <v>24</v>
      </c>
      <c r="N263" s="2">
        <v>45658</v>
      </c>
      <c r="O263">
        <v>2025</v>
      </c>
      <c r="P263">
        <v>1</v>
      </c>
      <c r="Q263" s="1" t="s">
        <v>24</v>
      </c>
    </row>
    <row r="264" spans="1:17" x14ac:dyDescent="0.3">
      <c r="A264" s="1" t="s">
        <v>329</v>
      </c>
      <c r="B264" s="1" t="s">
        <v>26</v>
      </c>
      <c r="C264" s="1" t="s">
        <v>67</v>
      </c>
      <c r="D264" s="1" t="s">
        <v>51</v>
      </c>
      <c r="E264" s="1" t="s">
        <v>21</v>
      </c>
      <c r="F264" s="1" t="s">
        <v>38</v>
      </c>
      <c r="G264" s="2">
        <v>45815</v>
      </c>
      <c r="H264" s="2">
        <v>45817</v>
      </c>
      <c r="I264" s="1" t="s">
        <v>28</v>
      </c>
      <c r="J264">
        <v>4</v>
      </c>
      <c r="K264">
        <v>2</v>
      </c>
      <c r="L264">
        <v>10</v>
      </c>
      <c r="M264" s="1" t="s">
        <v>24</v>
      </c>
      <c r="N264" s="2">
        <v>45809</v>
      </c>
      <c r="O264">
        <v>2025</v>
      </c>
      <c r="P264">
        <v>2</v>
      </c>
      <c r="Q264" s="1" t="s">
        <v>24</v>
      </c>
    </row>
    <row r="265" spans="1:17" x14ac:dyDescent="0.3">
      <c r="A265" s="1" t="s">
        <v>330</v>
      </c>
      <c r="B265" s="1" t="s">
        <v>26</v>
      </c>
      <c r="C265" s="1" t="s">
        <v>67</v>
      </c>
      <c r="D265" s="1" t="s">
        <v>20</v>
      </c>
      <c r="E265" s="1" t="s">
        <v>21</v>
      </c>
      <c r="F265" s="1" t="s">
        <v>38</v>
      </c>
      <c r="G265" s="2">
        <v>45690</v>
      </c>
      <c r="H265" s="2">
        <v>45701</v>
      </c>
      <c r="I265" s="1" t="s">
        <v>39</v>
      </c>
      <c r="J265">
        <v>5</v>
      </c>
      <c r="K265">
        <v>11</v>
      </c>
      <c r="L265">
        <v>14</v>
      </c>
      <c r="M265" s="1" t="s">
        <v>24</v>
      </c>
      <c r="N265" s="2">
        <v>45689</v>
      </c>
      <c r="O265">
        <v>2025</v>
      </c>
      <c r="P265">
        <v>1</v>
      </c>
      <c r="Q265" s="1" t="s">
        <v>24</v>
      </c>
    </row>
    <row r="266" spans="1:17" x14ac:dyDescent="0.3">
      <c r="A266" s="1" t="s">
        <v>331</v>
      </c>
      <c r="B266" s="1" t="s">
        <v>42</v>
      </c>
      <c r="C266" s="1" t="s">
        <v>43</v>
      </c>
      <c r="D266" s="1" t="s">
        <v>51</v>
      </c>
      <c r="E266" s="1" t="s">
        <v>37</v>
      </c>
      <c r="F266" s="1" t="s">
        <v>31</v>
      </c>
      <c r="G266" s="2">
        <v>45986</v>
      </c>
      <c r="H266" s="2"/>
      <c r="I266" s="1" t="s">
        <v>32</v>
      </c>
      <c r="L266">
        <v>10</v>
      </c>
      <c r="M266" s="1" t="s">
        <v>40</v>
      </c>
      <c r="N266" s="2">
        <v>45962</v>
      </c>
      <c r="O266">
        <v>2025</v>
      </c>
      <c r="P266">
        <v>4</v>
      </c>
      <c r="Q266" s="1" t="s">
        <v>33</v>
      </c>
    </row>
    <row r="267" spans="1:17" x14ac:dyDescent="0.3">
      <c r="A267" s="1" t="s">
        <v>332</v>
      </c>
      <c r="B267" s="1" t="s">
        <v>58</v>
      </c>
      <c r="C267" s="1" t="s">
        <v>145</v>
      </c>
      <c r="D267" s="1" t="s">
        <v>44</v>
      </c>
      <c r="E267" s="1" t="s">
        <v>48</v>
      </c>
      <c r="F267" s="1" t="s">
        <v>38</v>
      </c>
      <c r="G267" s="2">
        <v>45850</v>
      </c>
      <c r="H267" s="2"/>
      <c r="I267" s="1" t="s">
        <v>82</v>
      </c>
      <c r="L267">
        <v>7</v>
      </c>
      <c r="M267" s="1" t="s">
        <v>40</v>
      </c>
      <c r="N267" s="2">
        <v>45839</v>
      </c>
      <c r="O267">
        <v>2025</v>
      </c>
      <c r="P267">
        <v>3</v>
      </c>
      <c r="Q267" s="1" t="s">
        <v>33</v>
      </c>
    </row>
    <row r="268" spans="1:17" x14ac:dyDescent="0.3">
      <c r="A268" s="1" t="s">
        <v>333</v>
      </c>
      <c r="B268" s="1" t="s">
        <v>63</v>
      </c>
      <c r="C268" s="1" t="s">
        <v>84</v>
      </c>
      <c r="D268" s="1" t="s">
        <v>20</v>
      </c>
      <c r="E268" s="1" t="s">
        <v>48</v>
      </c>
      <c r="F268" s="1" t="s">
        <v>22</v>
      </c>
      <c r="G268" s="2">
        <v>45859</v>
      </c>
      <c r="H268" s="2"/>
      <c r="I268" s="1" t="s">
        <v>28</v>
      </c>
      <c r="L268">
        <v>14</v>
      </c>
      <c r="M268" s="1" t="s">
        <v>40</v>
      </c>
      <c r="N268" s="2">
        <v>45839</v>
      </c>
      <c r="O268">
        <v>2025</v>
      </c>
      <c r="P268">
        <v>3</v>
      </c>
      <c r="Q268" s="1" t="s">
        <v>33</v>
      </c>
    </row>
    <row r="269" spans="1:17" x14ac:dyDescent="0.3">
      <c r="A269" s="1" t="s">
        <v>334</v>
      </c>
      <c r="B269" s="1" t="s">
        <v>18</v>
      </c>
      <c r="C269" s="1" t="s">
        <v>47</v>
      </c>
      <c r="D269" s="1" t="s">
        <v>44</v>
      </c>
      <c r="E269" s="1" t="s">
        <v>37</v>
      </c>
      <c r="F269" s="1" t="s">
        <v>31</v>
      </c>
      <c r="G269" s="2">
        <v>45810</v>
      </c>
      <c r="H269" s="2"/>
      <c r="I269" s="1" t="s">
        <v>82</v>
      </c>
      <c r="L269">
        <v>7</v>
      </c>
      <c r="M269" s="1" t="s">
        <v>40</v>
      </c>
      <c r="N269" s="2">
        <v>45809</v>
      </c>
      <c r="O269">
        <v>2025</v>
      </c>
      <c r="P269">
        <v>2</v>
      </c>
      <c r="Q269" s="1" t="s">
        <v>33</v>
      </c>
    </row>
    <row r="270" spans="1:17" x14ac:dyDescent="0.3">
      <c r="A270" s="1" t="s">
        <v>335</v>
      </c>
      <c r="B270" s="1" t="s">
        <v>58</v>
      </c>
      <c r="C270" s="1" t="s">
        <v>145</v>
      </c>
      <c r="D270" s="1" t="s">
        <v>44</v>
      </c>
      <c r="E270" s="1" t="s">
        <v>21</v>
      </c>
      <c r="F270" s="1" t="s">
        <v>38</v>
      </c>
      <c r="G270" s="2">
        <v>45835</v>
      </c>
      <c r="H270" s="2">
        <v>45837</v>
      </c>
      <c r="I270" s="1" t="s">
        <v>23</v>
      </c>
      <c r="J270">
        <v>3</v>
      </c>
      <c r="K270">
        <v>2</v>
      </c>
      <c r="L270">
        <v>7</v>
      </c>
      <c r="M270" s="1" t="s">
        <v>24</v>
      </c>
      <c r="N270" s="2">
        <v>45809</v>
      </c>
      <c r="O270">
        <v>2025</v>
      </c>
      <c r="P270">
        <v>2</v>
      </c>
      <c r="Q270" s="1" t="s">
        <v>24</v>
      </c>
    </row>
    <row r="271" spans="1:17" x14ac:dyDescent="0.3">
      <c r="A271" s="1" t="s">
        <v>336</v>
      </c>
      <c r="B271" s="1" t="s">
        <v>18</v>
      </c>
      <c r="C271" s="1" t="s">
        <v>30</v>
      </c>
      <c r="D271" s="1" t="s">
        <v>51</v>
      </c>
      <c r="E271" s="1" t="s">
        <v>48</v>
      </c>
      <c r="F271" s="1" t="s">
        <v>61</v>
      </c>
      <c r="G271" s="2">
        <v>45666</v>
      </c>
      <c r="H271" s="2"/>
      <c r="I271" s="1" t="s">
        <v>28</v>
      </c>
      <c r="L271">
        <v>10</v>
      </c>
      <c r="M271" s="1" t="s">
        <v>40</v>
      </c>
      <c r="N271" s="2">
        <v>45658</v>
      </c>
      <c r="O271">
        <v>2025</v>
      </c>
      <c r="P271">
        <v>1</v>
      </c>
      <c r="Q271" s="1" t="s">
        <v>33</v>
      </c>
    </row>
    <row r="272" spans="1:17" x14ac:dyDescent="0.3">
      <c r="A272" s="1" t="s">
        <v>337</v>
      </c>
      <c r="B272" s="1" t="s">
        <v>42</v>
      </c>
      <c r="C272" s="1" t="s">
        <v>81</v>
      </c>
      <c r="D272" s="1" t="s">
        <v>51</v>
      </c>
      <c r="E272" s="1" t="s">
        <v>21</v>
      </c>
      <c r="F272" s="1" t="s">
        <v>38</v>
      </c>
      <c r="G272" s="2">
        <v>46002</v>
      </c>
      <c r="H272" s="2">
        <v>46004</v>
      </c>
      <c r="I272" s="1" t="s">
        <v>39</v>
      </c>
      <c r="J272">
        <v>3</v>
      </c>
      <c r="K272">
        <v>2</v>
      </c>
      <c r="L272">
        <v>10</v>
      </c>
      <c r="M272" s="1" t="s">
        <v>24</v>
      </c>
      <c r="N272" s="2">
        <v>45992</v>
      </c>
      <c r="O272">
        <v>2025</v>
      </c>
      <c r="P272">
        <v>4</v>
      </c>
      <c r="Q272" s="1" t="s">
        <v>24</v>
      </c>
    </row>
    <row r="273" spans="1:17" x14ac:dyDescent="0.3">
      <c r="A273" s="1" t="s">
        <v>338</v>
      </c>
      <c r="B273" s="1" t="s">
        <v>58</v>
      </c>
      <c r="C273" s="1" t="s">
        <v>108</v>
      </c>
      <c r="D273" s="1" t="s">
        <v>51</v>
      </c>
      <c r="E273" s="1" t="s">
        <v>37</v>
      </c>
      <c r="F273" s="1" t="s">
        <v>61</v>
      </c>
      <c r="G273" s="2">
        <v>45686</v>
      </c>
      <c r="H273" s="2"/>
      <c r="I273" s="1" t="s">
        <v>82</v>
      </c>
      <c r="L273">
        <v>10</v>
      </c>
      <c r="M273" s="1" t="s">
        <v>40</v>
      </c>
      <c r="N273" s="2">
        <v>45658</v>
      </c>
      <c r="O273">
        <v>2025</v>
      </c>
      <c r="P273">
        <v>1</v>
      </c>
      <c r="Q273" s="1" t="s">
        <v>33</v>
      </c>
    </row>
    <row r="274" spans="1:17" x14ac:dyDescent="0.3">
      <c r="A274" s="1" t="s">
        <v>339</v>
      </c>
      <c r="B274" s="1" t="s">
        <v>35</v>
      </c>
      <c r="C274" s="1" t="s">
        <v>36</v>
      </c>
      <c r="D274" s="1" t="s">
        <v>44</v>
      </c>
      <c r="E274" s="1" t="s">
        <v>21</v>
      </c>
      <c r="F274" s="1" t="s">
        <v>52</v>
      </c>
      <c r="G274" s="2">
        <v>45821</v>
      </c>
      <c r="H274" s="2">
        <v>45826</v>
      </c>
      <c r="I274" s="1" t="s">
        <v>28</v>
      </c>
      <c r="J274">
        <v>4</v>
      </c>
      <c r="K274">
        <v>5</v>
      </c>
      <c r="L274">
        <v>7</v>
      </c>
      <c r="M274" s="1" t="s">
        <v>24</v>
      </c>
      <c r="N274" s="2">
        <v>45809</v>
      </c>
      <c r="O274">
        <v>2025</v>
      </c>
      <c r="P274">
        <v>2</v>
      </c>
      <c r="Q274" s="1" t="s">
        <v>24</v>
      </c>
    </row>
    <row r="275" spans="1:17" x14ac:dyDescent="0.3">
      <c r="A275" s="1" t="s">
        <v>340</v>
      </c>
      <c r="B275" s="1" t="s">
        <v>35</v>
      </c>
      <c r="C275" s="1" t="s">
        <v>36</v>
      </c>
      <c r="D275" s="1" t="s">
        <v>71</v>
      </c>
      <c r="E275" s="1" t="s">
        <v>21</v>
      </c>
      <c r="F275" s="1" t="s">
        <v>22</v>
      </c>
      <c r="G275" s="2">
        <v>45869</v>
      </c>
      <c r="H275" s="2">
        <v>45871</v>
      </c>
      <c r="I275" s="1" t="s">
        <v>82</v>
      </c>
      <c r="J275">
        <v>3</v>
      </c>
      <c r="K275">
        <v>2</v>
      </c>
      <c r="L275">
        <v>3</v>
      </c>
      <c r="M275" s="1" t="s">
        <v>24</v>
      </c>
      <c r="N275" s="2">
        <v>45839</v>
      </c>
      <c r="O275">
        <v>2025</v>
      </c>
      <c r="P275">
        <v>3</v>
      </c>
      <c r="Q275" s="1" t="s">
        <v>24</v>
      </c>
    </row>
    <row r="276" spans="1:17" x14ac:dyDescent="0.3">
      <c r="A276" s="1" t="s">
        <v>341</v>
      </c>
      <c r="B276" s="1" t="s">
        <v>18</v>
      </c>
      <c r="C276" s="1" t="s">
        <v>47</v>
      </c>
      <c r="D276" s="1" t="s">
        <v>51</v>
      </c>
      <c r="E276" s="1" t="s">
        <v>21</v>
      </c>
      <c r="F276" s="1" t="s">
        <v>31</v>
      </c>
      <c r="G276" s="2">
        <v>45911</v>
      </c>
      <c r="H276" s="2">
        <v>45913</v>
      </c>
      <c r="I276" s="1" t="s">
        <v>82</v>
      </c>
      <c r="J276">
        <v>5</v>
      </c>
      <c r="K276">
        <v>2</v>
      </c>
      <c r="L276">
        <v>10</v>
      </c>
      <c r="M276" s="1" t="s">
        <v>24</v>
      </c>
      <c r="N276" s="2">
        <v>45901</v>
      </c>
      <c r="O276">
        <v>2025</v>
      </c>
      <c r="P276">
        <v>3</v>
      </c>
      <c r="Q276" s="1" t="s">
        <v>24</v>
      </c>
    </row>
    <row r="277" spans="1:17" x14ac:dyDescent="0.3">
      <c r="A277" s="1" t="s">
        <v>342</v>
      </c>
      <c r="B277" s="1" t="s">
        <v>35</v>
      </c>
      <c r="C277" s="1" t="s">
        <v>50</v>
      </c>
      <c r="D277" s="1" t="s">
        <v>51</v>
      </c>
      <c r="E277" s="1" t="s">
        <v>21</v>
      </c>
      <c r="F277" s="1" t="s">
        <v>61</v>
      </c>
      <c r="G277" s="2">
        <v>45752</v>
      </c>
      <c r="H277" s="2">
        <v>45762</v>
      </c>
      <c r="I277" s="1" t="s">
        <v>32</v>
      </c>
      <c r="J277">
        <v>4</v>
      </c>
      <c r="K277">
        <v>10</v>
      </c>
      <c r="L277">
        <v>10</v>
      </c>
      <c r="M277" s="1" t="s">
        <v>24</v>
      </c>
      <c r="N277" s="2">
        <v>45748</v>
      </c>
      <c r="O277">
        <v>2025</v>
      </c>
      <c r="P277">
        <v>2</v>
      </c>
      <c r="Q277" s="1" t="s">
        <v>24</v>
      </c>
    </row>
    <row r="278" spans="1:17" x14ac:dyDescent="0.3">
      <c r="A278" s="1" t="s">
        <v>343</v>
      </c>
      <c r="B278" s="1" t="s">
        <v>18</v>
      </c>
      <c r="C278" s="1" t="s">
        <v>47</v>
      </c>
      <c r="D278" s="1" t="s">
        <v>44</v>
      </c>
      <c r="E278" s="1" t="s">
        <v>48</v>
      </c>
      <c r="F278" s="1" t="s">
        <v>31</v>
      </c>
      <c r="G278" s="2">
        <v>45945</v>
      </c>
      <c r="H278" s="2"/>
      <c r="I278" s="1" t="s">
        <v>39</v>
      </c>
      <c r="L278">
        <v>7</v>
      </c>
      <c r="M278" s="1" t="s">
        <v>40</v>
      </c>
      <c r="N278" s="2">
        <v>45931</v>
      </c>
      <c r="O278">
        <v>2025</v>
      </c>
      <c r="P278">
        <v>4</v>
      </c>
      <c r="Q278" s="1" t="s">
        <v>33</v>
      </c>
    </row>
    <row r="279" spans="1:17" x14ac:dyDescent="0.3">
      <c r="A279" s="1" t="s">
        <v>344</v>
      </c>
      <c r="B279" s="1" t="s">
        <v>26</v>
      </c>
      <c r="C279" s="1" t="s">
        <v>54</v>
      </c>
      <c r="D279" s="1" t="s">
        <v>51</v>
      </c>
      <c r="E279" s="1" t="s">
        <v>21</v>
      </c>
      <c r="F279" s="1" t="s">
        <v>52</v>
      </c>
      <c r="G279" s="2">
        <v>45827</v>
      </c>
      <c r="H279" s="2">
        <v>45830</v>
      </c>
      <c r="I279" s="1" t="s">
        <v>23</v>
      </c>
      <c r="J279">
        <v>5</v>
      </c>
      <c r="K279">
        <v>3</v>
      </c>
      <c r="L279">
        <v>10</v>
      </c>
      <c r="M279" s="1" t="s">
        <v>24</v>
      </c>
      <c r="N279" s="2">
        <v>45809</v>
      </c>
      <c r="O279">
        <v>2025</v>
      </c>
      <c r="P279">
        <v>2</v>
      </c>
      <c r="Q279" s="1" t="s">
        <v>24</v>
      </c>
    </row>
    <row r="280" spans="1:17" x14ac:dyDescent="0.3">
      <c r="A280" s="1" t="s">
        <v>345</v>
      </c>
      <c r="B280" s="1" t="s">
        <v>26</v>
      </c>
      <c r="C280" s="1" t="s">
        <v>54</v>
      </c>
      <c r="D280" s="1" t="s">
        <v>20</v>
      </c>
      <c r="E280" s="1" t="s">
        <v>21</v>
      </c>
      <c r="F280" s="1" t="s">
        <v>38</v>
      </c>
      <c r="G280" s="2">
        <v>45967</v>
      </c>
      <c r="H280" s="2">
        <v>45979</v>
      </c>
      <c r="I280" s="1" t="s">
        <v>28</v>
      </c>
      <c r="J280">
        <v>1</v>
      </c>
      <c r="K280">
        <v>12</v>
      </c>
      <c r="L280">
        <v>14</v>
      </c>
      <c r="M280" s="1" t="s">
        <v>24</v>
      </c>
      <c r="N280" s="2">
        <v>45962</v>
      </c>
      <c r="O280">
        <v>2025</v>
      </c>
      <c r="P280">
        <v>4</v>
      </c>
      <c r="Q280" s="1" t="s">
        <v>24</v>
      </c>
    </row>
    <row r="281" spans="1:17" x14ac:dyDescent="0.3">
      <c r="A281" s="1" t="s">
        <v>346</v>
      </c>
      <c r="B281" s="1" t="s">
        <v>26</v>
      </c>
      <c r="C281" s="1" t="s">
        <v>54</v>
      </c>
      <c r="D281" s="1" t="s">
        <v>51</v>
      </c>
      <c r="E281" s="1" t="s">
        <v>48</v>
      </c>
      <c r="F281" s="1" t="s">
        <v>52</v>
      </c>
      <c r="G281" s="2">
        <v>45828</v>
      </c>
      <c r="H281" s="2"/>
      <c r="I281" s="1" t="s">
        <v>23</v>
      </c>
      <c r="L281">
        <v>10</v>
      </c>
      <c r="M281" s="1" t="s">
        <v>40</v>
      </c>
      <c r="N281" s="2">
        <v>45809</v>
      </c>
      <c r="O281">
        <v>2025</v>
      </c>
      <c r="P281">
        <v>2</v>
      </c>
      <c r="Q281" s="1" t="s">
        <v>33</v>
      </c>
    </row>
    <row r="282" spans="1:17" x14ac:dyDescent="0.3">
      <c r="A282" s="1" t="s">
        <v>347</v>
      </c>
      <c r="B282" s="1" t="s">
        <v>63</v>
      </c>
      <c r="C282" s="1" t="s">
        <v>64</v>
      </c>
      <c r="D282" s="1" t="s">
        <v>71</v>
      </c>
      <c r="E282" s="1" t="s">
        <v>21</v>
      </c>
      <c r="F282" s="1" t="s">
        <v>61</v>
      </c>
      <c r="G282" s="2">
        <v>45903</v>
      </c>
      <c r="H282" s="2">
        <v>45904</v>
      </c>
      <c r="I282" s="1" t="s">
        <v>39</v>
      </c>
      <c r="J282">
        <v>5</v>
      </c>
      <c r="K282">
        <v>1</v>
      </c>
      <c r="L282">
        <v>3</v>
      </c>
      <c r="M282" s="1" t="s">
        <v>24</v>
      </c>
      <c r="N282" s="2">
        <v>45901</v>
      </c>
      <c r="O282">
        <v>2025</v>
      </c>
      <c r="P282">
        <v>3</v>
      </c>
      <c r="Q282" s="1" t="s">
        <v>24</v>
      </c>
    </row>
    <row r="283" spans="1:17" x14ac:dyDescent="0.3">
      <c r="A283" s="1" t="s">
        <v>348</v>
      </c>
      <c r="B283" s="1" t="s">
        <v>63</v>
      </c>
      <c r="C283" s="1" t="s">
        <v>84</v>
      </c>
      <c r="D283" s="1" t="s">
        <v>44</v>
      </c>
      <c r="E283" s="1" t="s">
        <v>21</v>
      </c>
      <c r="F283" s="1" t="s">
        <v>52</v>
      </c>
      <c r="G283" s="2">
        <v>45931</v>
      </c>
      <c r="H283" s="2">
        <v>45937</v>
      </c>
      <c r="I283" s="1" t="s">
        <v>32</v>
      </c>
      <c r="J283">
        <v>4</v>
      </c>
      <c r="K283">
        <v>6</v>
      </c>
      <c r="L283">
        <v>7</v>
      </c>
      <c r="M283" s="1" t="s">
        <v>24</v>
      </c>
      <c r="N283" s="2">
        <v>45931</v>
      </c>
      <c r="O283">
        <v>2025</v>
      </c>
      <c r="P283">
        <v>4</v>
      </c>
      <c r="Q283" s="1" t="s">
        <v>24</v>
      </c>
    </row>
    <row r="284" spans="1:17" x14ac:dyDescent="0.3">
      <c r="A284" s="1" t="s">
        <v>349</v>
      </c>
      <c r="B284" s="1" t="s">
        <v>26</v>
      </c>
      <c r="C284" s="1" t="s">
        <v>27</v>
      </c>
      <c r="D284" s="1" t="s">
        <v>51</v>
      </c>
      <c r="E284" s="1" t="s">
        <v>37</v>
      </c>
      <c r="F284" s="1" t="s">
        <v>52</v>
      </c>
      <c r="G284" s="2">
        <v>45898</v>
      </c>
      <c r="H284" s="2"/>
      <c r="I284" s="1" t="s">
        <v>28</v>
      </c>
      <c r="L284">
        <v>10</v>
      </c>
      <c r="M284" s="1" t="s">
        <v>40</v>
      </c>
      <c r="N284" s="2">
        <v>45870</v>
      </c>
      <c r="O284">
        <v>2025</v>
      </c>
      <c r="P284">
        <v>3</v>
      </c>
      <c r="Q284" s="1" t="s">
        <v>33</v>
      </c>
    </row>
    <row r="285" spans="1:17" x14ac:dyDescent="0.3">
      <c r="A285" s="1" t="s">
        <v>350</v>
      </c>
      <c r="B285" s="1" t="s">
        <v>35</v>
      </c>
      <c r="C285" s="1" t="s">
        <v>97</v>
      </c>
      <c r="D285" s="1" t="s">
        <v>51</v>
      </c>
      <c r="E285" s="1" t="s">
        <v>21</v>
      </c>
      <c r="F285" s="1" t="s">
        <v>22</v>
      </c>
      <c r="G285" s="2">
        <v>45771</v>
      </c>
      <c r="H285" s="2">
        <v>45775</v>
      </c>
      <c r="I285" s="1" t="s">
        <v>82</v>
      </c>
      <c r="J285">
        <v>1</v>
      </c>
      <c r="K285">
        <v>4</v>
      </c>
      <c r="L285">
        <v>10</v>
      </c>
      <c r="M285" s="1" t="s">
        <v>24</v>
      </c>
      <c r="N285" s="2">
        <v>45748</v>
      </c>
      <c r="O285">
        <v>2025</v>
      </c>
      <c r="P285">
        <v>2</v>
      </c>
      <c r="Q285" s="1" t="s">
        <v>24</v>
      </c>
    </row>
    <row r="286" spans="1:17" x14ac:dyDescent="0.3">
      <c r="A286" s="1" t="s">
        <v>351</v>
      </c>
      <c r="B286" s="1" t="s">
        <v>26</v>
      </c>
      <c r="C286" s="1" t="s">
        <v>27</v>
      </c>
      <c r="D286" s="1" t="s">
        <v>51</v>
      </c>
      <c r="E286" s="1" t="s">
        <v>21</v>
      </c>
      <c r="F286" s="1" t="s">
        <v>61</v>
      </c>
      <c r="G286" s="2">
        <v>45775</v>
      </c>
      <c r="H286" s="2">
        <v>45783</v>
      </c>
      <c r="I286" s="1" t="s">
        <v>39</v>
      </c>
      <c r="J286">
        <v>4</v>
      </c>
      <c r="K286">
        <v>8</v>
      </c>
      <c r="L286">
        <v>10</v>
      </c>
      <c r="M286" s="1" t="s">
        <v>24</v>
      </c>
      <c r="N286" s="2">
        <v>45748</v>
      </c>
      <c r="O286">
        <v>2025</v>
      </c>
      <c r="P286">
        <v>2</v>
      </c>
      <c r="Q286" s="1" t="s">
        <v>24</v>
      </c>
    </row>
    <row r="287" spans="1:17" x14ac:dyDescent="0.3">
      <c r="A287" s="1" t="s">
        <v>352</v>
      </c>
      <c r="B287" s="1" t="s">
        <v>26</v>
      </c>
      <c r="C287" s="1" t="s">
        <v>123</v>
      </c>
      <c r="D287" s="1" t="s">
        <v>51</v>
      </c>
      <c r="E287" s="1" t="s">
        <v>37</v>
      </c>
      <c r="F287" s="1" t="s">
        <v>31</v>
      </c>
      <c r="G287" s="2">
        <v>45986</v>
      </c>
      <c r="H287" s="2"/>
      <c r="I287" s="1" t="s">
        <v>39</v>
      </c>
      <c r="L287">
        <v>10</v>
      </c>
      <c r="M287" s="1" t="s">
        <v>40</v>
      </c>
      <c r="N287" s="2">
        <v>45962</v>
      </c>
      <c r="O287">
        <v>2025</v>
      </c>
      <c r="P287">
        <v>4</v>
      </c>
      <c r="Q287" s="1" t="s">
        <v>33</v>
      </c>
    </row>
    <row r="288" spans="1:17" x14ac:dyDescent="0.3">
      <c r="A288" s="1" t="s">
        <v>353</v>
      </c>
      <c r="B288" s="1" t="s">
        <v>63</v>
      </c>
      <c r="C288" s="1" t="s">
        <v>84</v>
      </c>
      <c r="D288" s="1" t="s">
        <v>20</v>
      </c>
      <c r="E288" s="1" t="s">
        <v>21</v>
      </c>
      <c r="F288" s="1" t="s">
        <v>22</v>
      </c>
      <c r="G288" s="2">
        <v>45908</v>
      </c>
      <c r="H288" s="2">
        <v>45913</v>
      </c>
      <c r="I288" s="1" t="s">
        <v>23</v>
      </c>
      <c r="J288">
        <v>5</v>
      </c>
      <c r="K288">
        <v>5</v>
      </c>
      <c r="L288">
        <v>14</v>
      </c>
      <c r="M288" s="1" t="s">
        <v>24</v>
      </c>
      <c r="N288" s="2">
        <v>45901</v>
      </c>
      <c r="O288">
        <v>2025</v>
      </c>
      <c r="P288">
        <v>3</v>
      </c>
      <c r="Q288" s="1" t="s">
        <v>24</v>
      </c>
    </row>
    <row r="289" spans="1:17" x14ac:dyDescent="0.3">
      <c r="A289" s="1" t="s">
        <v>354</v>
      </c>
      <c r="B289" s="1" t="s">
        <v>26</v>
      </c>
      <c r="C289" s="1" t="s">
        <v>67</v>
      </c>
      <c r="D289" s="1" t="s">
        <v>44</v>
      </c>
      <c r="E289" s="1" t="s">
        <v>21</v>
      </c>
      <c r="F289" s="1" t="s">
        <v>31</v>
      </c>
      <c r="G289" s="2">
        <v>46000</v>
      </c>
      <c r="H289" s="2">
        <v>46001</v>
      </c>
      <c r="I289" s="1" t="s">
        <v>28</v>
      </c>
      <c r="J289">
        <v>5</v>
      </c>
      <c r="K289">
        <v>1</v>
      </c>
      <c r="L289">
        <v>7</v>
      </c>
      <c r="M289" s="1" t="s">
        <v>24</v>
      </c>
      <c r="N289" s="2">
        <v>45992</v>
      </c>
      <c r="O289">
        <v>2025</v>
      </c>
      <c r="P289">
        <v>4</v>
      </c>
      <c r="Q289" s="1" t="s">
        <v>24</v>
      </c>
    </row>
    <row r="290" spans="1:17" x14ac:dyDescent="0.3">
      <c r="A290" s="1" t="s">
        <v>355</v>
      </c>
      <c r="B290" s="1" t="s">
        <v>18</v>
      </c>
      <c r="C290" s="1" t="s">
        <v>47</v>
      </c>
      <c r="D290" s="1" t="s">
        <v>20</v>
      </c>
      <c r="E290" s="1" t="s">
        <v>21</v>
      </c>
      <c r="F290" s="1" t="s">
        <v>38</v>
      </c>
      <c r="G290" s="2">
        <v>45769</v>
      </c>
      <c r="H290" s="2">
        <v>45780</v>
      </c>
      <c r="I290" s="1" t="s">
        <v>82</v>
      </c>
      <c r="J290">
        <v>4</v>
      </c>
      <c r="K290">
        <v>11</v>
      </c>
      <c r="L290">
        <v>14</v>
      </c>
      <c r="M290" s="1" t="s">
        <v>24</v>
      </c>
      <c r="N290" s="2">
        <v>45748</v>
      </c>
      <c r="O290">
        <v>2025</v>
      </c>
      <c r="P290">
        <v>2</v>
      </c>
      <c r="Q290" s="1" t="s">
        <v>24</v>
      </c>
    </row>
    <row r="291" spans="1:17" x14ac:dyDescent="0.3">
      <c r="A291" s="1" t="s">
        <v>356</v>
      </c>
      <c r="B291" s="1" t="s">
        <v>18</v>
      </c>
      <c r="C291" s="1" t="s">
        <v>30</v>
      </c>
      <c r="D291" s="1" t="s">
        <v>51</v>
      </c>
      <c r="E291" s="1" t="s">
        <v>21</v>
      </c>
      <c r="F291" s="1" t="s">
        <v>38</v>
      </c>
      <c r="G291" s="2">
        <v>45930</v>
      </c>
      <c r="H291" s="2">
        <v>45940</v>
      </c>
      <c r="I291" s="1" t="s">
        <v>82</v>
      </c>
      <c r="J291">
        <v>4</v>
      </c>
      <c r="K291">
        <v>10</v>
      </c>
      <c r="L291">
        <v>10</v>
      </c>
      <c r="M291" s="1" t="s">
        <v>24</v>
      </c>
      <c r="N291" s="2">
        <v>45901</v>
      </c>
      <c r="O291">
        <v>2025</v>
      </c>
      <c r="P291">
        <v>3</v>
      </c>
      <c r="Q291" s="1" t="s">
        <v>24</v>
      </c>
    </row>
    <row r="292" spans="1:17" x14ac:dyDescent="0.3">
      <c r="A292" s="1" t="s">
        <v>357</v>
      </c>
      <c r="B292" s="1" t="s">
        <v>18</v>
      </c>
      <c r="C292" s="1" t="s">
        <v>56</v>
      </c>
      <c r="D292" s="1" t="s">
        <v>51</v>
      </c>
      <c r="E292" s="1" t="s">
        <v>21</v>
      </c>
      <c r="F292" s="1" t="s">
        <v>61</v>
      </c>
      <c r="G292" s="2">
        <v>45915</v>
      </c>
      <c r="H292" s="2">
        <v>45923</v>
      </c>
      <c r="I292" s="1" t="s">
        <v>23</v>
      </c>
      <c r="J292">
        <v>5</v>
      </c>
      <c r="K292">
        <v>8</v>
      </c>
      <c r="L292">
        <v>10</v>
      </c>
      <c r="M292" s="1" t="s">
        <v>24</v>
      </c>
      <c r="N292" s="2">
        <v>45901</v>
      </c>
      <c r="O292">
        <v>2025</v>
      </c>
      <c r="P292">
        <v>3</v>
      </c>
      <c r="Q292" s="1" t="s">
        <v>24</v>
      </c>
    </row>
    <row r="293" spans="1:17" x14ac:dyDescent="0.3">
      <c r="A293" s="1" t="s">
        <v>358</v>
      </c>
      <c r="B293" s="1" t="s">
        <v>42</v>
      </c>
      <c r="C293" s="1" t="s">
        <v>76</v>
      </c>
      <c r="D293" s="1" t="s">
        <v>20</v>
      </c>
      <c r="E293" s="1" t="s">
        <v>21</v>
      </c>
      <c r="F293" s="1" t="s">
        <v>31</v>
      </c>
      <c r="G293" s="2">
        <v>45787</v>
      </c>
      <c r="H293" s="2">
        <v>45795</v>
      </c>
      <c r="I293" s="1" t="s">
        <v>23</v>
      </c>
      <c r="J293">
        <v>3</v>
      </c>
      <c r="K293">
        <v>8</v>
      </c>
      <c r="L293">
        <v>14</v>
      </c>
      <c r="M293" s="1" t="s">
        <v>24</v>
      </c>
      <c r="N293" s="2">
        <v>45778</v>
      </c>
      <c r="O293">
        <v>2025</v>
      </c>
      <c r="P293">
        <v>2</v>
      </c>
      <c r="Q293" s="1" t="s">
        <v>24</v>
      </c>
    </row>
    <row r="294" spans="1:17" x14ac:dyDescent="0.3">
      <c r="A294" s="1" t="s">
        <v>359</v>
      </c>
      <c r="B294" s="1" t="s">
        <v>35</v>
      </c>
      <c r="C294" s="1" t="s">
        <v>50</v>
      </c>
      <c r="D294" s="1" t="s">
        <v>51</v>
      </c>
      <c r="E294" s="1" t="s">
        <v>21</v>
      </c>
      <c r="F294" s="1" t="s">
        <v>38</v>
      </c>
      <c r="G294" s="2">
        <v>46014</v>
      </c>
      <c r="H294" s="2">
        <v>46019</v>
      </c>
      <c r="I294" s="1" t="s">
        <v>23</v>
      </c>
      <c r="J294">
        <v>4</v>
      </c>
      <c r="K294">
        <v>5</v>
      </c>
      <c r="L294">
        <v>10</v>
      </c>
      <c r="M294" s="1" t="s">
        <v>24</v>
      </c>
      <c r="N294" s="2">
        <v>45992</v>
      </c>
      <c r="O294">
        <v>2025</v>
      </c>
      <c r="P294">
        <v>4</v>
      </c>
      <c r="Q294" s="1" t="s">
        <v>24</v>
      </c>
    </row>
    <row r="295" spans="1:17" x14ac:dyDescent="0.3">
      <c r="A295" s="1" t="s">
        <v>360</v>
      </c>
      <c r="B295" s="1" t="s">
        <v>42</v>
      </c>
      <c r="C295" s="1" t="s">
        <v>87</v>
      </c>
      <c r="D295" s="1" t="s">
        <v>51</v>
      </c>
      <c r="E295" s="1" t="s">
        <v>21</v>
      </c>
      <c r="F295" s="1" t="s">
        <v>38</v>
      </c>
      <c r="G295" s="2">
        <v>45686</v>
      </c>
      <c r="H295" s="2">
        <v>45688</v>
      </c>
      <c r="I295" s="1" t="s">
        <v>39</v>
      </c>
      <c r="J295">
        <v>5</v>
      </c>
      <c r="K295">
        <v>2</v>
      </c>
      <c r="L295">
        <v>10</v>
      </c>
      <c r="M295" s="1" t="s">
        <v>24</v>
      </c>
      <c r="N295" s="2">
        <v>45658</v>
      </c>
      <c r="O295">
        <v>2025</v>
      </c>
      <c r="P295">
        <v>1</v>
      </c>
      <c r="Q295" s="1" t="s">
        <v>24</v>
      </c>
    </row>
    <row r="296" spans="1:17" x14ac:dyDescent="0.3">
      <c r="A296" s="1" t="s">
        <v>361</v>
      </c>
      <c r="B296" s="1" t="s">
        <v>58</v>
      </c>
      <c r="C296" s="1" t="s">
        <v>59</v>
      </c>
      <c r="D296" s="1" t="s">
        <v>51</v>
      </c>
      <c r="E296" s="1" t="s">
        <v>37</v>
      </c>
      <c r="F296" s="1" t="s">
        <v>22</v>
      </c>
      <c r="G296" s="2">
        <v>45706</v>
      </c>
      <c r="H296" s="2"/>
      <c r="I296" s="1" t="s">
        <v>23</v>
      </c>
      <c r="L296">
        <v>10</v>
      </c>
      <c r="M296" s="1" t="s">
        <v>40</v>
      </c>
      <c r="N296" s="2">
        <v>45689</v>
      </c>
      <c r="O296">
        <v>2025</v>
      </c>
      <c r="P296">
        <v>1</v>
      </c>
      <c r="Q296" s="1" t="s">
        <v>33</v>
      </c>
    </row>
    <row r="297" spans="1:17" x14ac:dyDescent="0.3">
      <c r="A297" s="1" t="s">
        <v>362</v>
      </c>
      <c r="B297" s="1" t="s">
        <v>63</v>
      </c>
      <c r="C297" s="1" t="s">
        <v>64</v>
      </c>
      <c r="D297" s="1" t="s">
        <v>44</v>
      </c>
      <c r="E297" s="1" t="s">
        <v>21</v>
      </c>
      <c r="F297" s="1" t="s">
        <v>38</v>
      </c>
      <c r="G297" s="2">
        <v>45948</v>
      </c>
      <c r="H297" s="2">
        <v>45952</v>
      </c>
      <c r="I297" s="1" t="s">
        <v>32</v>
      </c>
      <c r="J297">
        <v>3</v>
      </c>
      <c r="K297">
        <v>4</v>
      </c>
      <c r="L297">
        <v>7</v>
      </c>
      <c r="M297" s="1" t="s">
        <v>24</v>
      </c>
      <c r="N297" s="2">
        <v>45931</v>
      </c>
      <c r="O297">
        <v>2025</v>
      </c>
      <c r="P297">
        <v>4</v>
      </c>
      <c r="Q297" s="1" t="s">
        <v>24</v>
      </c>
    </row>
    <row r="298" spans="1:17" x14ac:dyDescent="0.3">
      <c r="A298" s="1" t="s">
        <v>363</v>
      </c>
      <c r="B298" s="1" t="s">
        <v>26</v>
      </c>
      <c r="C298" s="1" t="s">
        <v>67</v>
      </c>
      <c r="D298" s="1" t="s">
        <v>20</v>
      </c>
      <c r="E298" s="1" t="s">
        <v>37</v>
      </c>
      <c r="F298" s="1" t="s">
        <v>61</v>
      </c>
      <c r="G298" s="2">
        <v>45666</v>
      </c>
      <c r="H298" s="2"/>
      <c r="I298" s="1" t="s">
        <v>82</v>
      </c>
      <c r="L298">
        <v>14</v>
      </c>
      <c r="M298" s="1" t="s">
        <v>40</v>
      </c>
      <c r="N298" s="2">
        <v>45658</v>
      </c>
      <c r="O298">
        <v>2025</v>
      </c>
      <c r="P298">
        <v>1</v>
      </c>
      <c r="Q298" s="1" t="s">
        <v>33</v>
      </c>
    </row>
    <row r="299" spans="1:17" x14ac:dyDescent="0.3">
      <c r="A299" s="1" t="s">
        <v>364</v>
      </c>
      <c r="B299" s="1" t="s">
        <v>63</v>
      </c>
      <c r="C299" s="1" t="s">
        <v>89</v>
      </c>
      <c r="D299" s="1" t="s">
        <v>44</v>
      </c>
      <c r="E299" s="1" t="s">
        <v>21</v>
      </c>
      <c r="F299" s="1" t="s">
        <v>31</v>
      </c>
      <c r="G299" s="2">
        <v>45946</v>
      </c>
      <c r="H299" s="2">
        <v>45948</v>
      </c>
      <c r="I299" s="1" t="s">
        <v>82</v>
      </c>
      <c r="J299">
        <v>4</v>
      </c>
      <c r="K299">
        <v>2</v>
      </c>
      <c r="L299">
        <v>7</v>
      </c>
      <c r="M299" s="1" t="s">
        <v>24</v>
      </c>
      <c r="N299" s="2">
        <v>45931</v>
      </c>
      <c r="O299">
        <v>2025</v>
      </c>
      <c r="P299">
        <v>4</v>
      </c>
      <c r="Q299" s="1" t="s">
        <v>24</v>
      </c>
    </row>
    <row r="300" spans="1:17" x14ac:dyDescent="0.3">
      <c r="A300" s="1" t="s">
        <v>365</v>
      </c>
      <c r="B300" s="1" t="s">
        <v>35</v>
      </c>
      <c r="C300" s="1" t="s">
        <v>50</v>
      </c>
      <c r="D300" s="1" t="s">
        <v>44</v>
      </c>
      <c r="E300" s="1" t="s">
        <v>21</v>
      </c>
      <c r="F300" s="1" t="s">
        <v>52</v>
      </c>
      <c r="G300" s="2">
        <v>46010</v>
      </c>
      <c r="H300" s="2">
        <v>46016</v>
      </c>
      <c r="I300" s="1" t="s">
        <v>23</v>
      </c>
      <c r="J300">
        <v>2</v>
      </c>
      <c r="K300">
        <v>6</v>
      </c>
      <c r="L300">
        <v>7</v>
      </c>
      <c r="M300" s="1" t="s">
        <v>24</v>
      </c>
      <c r="N300" s="2">
        <v>45992</v>
      </c>
      <c r="O300">
        <v>2025</v>
      </c>
      <c r="P300">
        <v>4</v>
      </c>
      <c r="Q300" s="1" t="s">
        <v>24</v>
      </c>
    </row>
    <row r="301" spans="1:17" x14ac:dyDescent="0.3">
      <c r="A301" s="1" t="s">
        <v>366</v>
      </c>
      <c r="B301" s="1" t="s">
        <v>42</v>
      </c>
      <c r="C301" s="1" t="s">
        <v>87</v>
      </c>
      <c r="D301" s="1" t="s">
        <v>20</v>
      </c>
      <c r="E301" s="1" t="s">
        <v>21</v>
      </c>
      <c r="F301" s="1" t="s">
        <v>22</v>
      </c>
      <c r="G301" s="2">
        <v>45967</v>
      </c>
      <c r="H301" s="2">
        <v>45982</v>
      </c>
      <c r="I301" s="1" t="s">
        <v>39</v>
      </c>
      <c r="J301">
        <v>4</v>
      </c>
      <c r="K301">
        <v>15</v>
      </c>
      <c r="L301">
        <v>14</v>
      </c>
      <c r="M301" s="1" t="s">
        <v>33</v>
      </c>
      <c r="N301" s="2">
        <v>45962</v>
      </c>
      <c r="O301">
        <v>2025</v>
      </c>
      <c r="P301">
        <v>4</v>
      </c>
      <c r="Q301" s="1" t="s">
        <v>24</v>
      </c>
    </row>
    <row r="302" spans="1:17" x14ac:dyDescent="0.3">
      <c r="A302" s="1" t="s">
        <v>367</v>
      </c>
      <c r="B302" s="1" t="s">
        <v>35</v>
      </c>
      <c r="C302" s="1" t="s">
        <v>99</v>
      </c>
      <c r="D302" s="1" t="s">
        <v>51</v>
      </c>
      <c r="E302" s="1" t="s">
        <v>37</v>
      </c>
      <c r="F302" s="1" t="s">
        <v>31</v>
      </c>
      <c r="G302" s="2">
        <v>45888</v>
      </c>
      <c r="H302" s="2"/>
      <c r="I302" s="1" t="s">
        <v>28</v>
      </c>
      <c r="L302">
        <v>10</v>
      </c>
      <c r="M302" s="1" t="s">
        <v>40</v>
      </c>
      <c r="N302" s="2">
        <v>45870</v>
      </c>
      <c r="O302">
        <v>2025</v>
      </c>
      <c r="P302">
        <v>3</v>
      </c>
      <c r="Q302" s="1" t="s">
        <v>33</v>
      </c>
    </row>
    <row r="303" spans="1:17" x14ac:dyDescent="0.3">
      <c r="A303" s="1" t="s">
        <v>368</v>
      </c>
      <c r="B303" s="1" t="s">
        <v>35</v>
      </c>
      <c r="C303" s="1" t="s">
        <v>50</v>
      </c>
      <c r="D303" s="1" t="s">
        <v>51</v>
      </c>
      <c r="E303" s="1" t="s">
        <v>21</v>
      </c>
      <c r="F303" s="1" t="s">
        <v>22</v>
      </c>
      <c r="G303" s="2">
        <v>45996</v>
      </c>
      <c r="H303" s="2">
        <v>46004</v>
      </c>
      <c r="I303" s="1" t="s">
        <v>32</v>
      </c>
      <c r="J303">
        <v>2</v>
      </c>
      <c r="K303">
        <v>8</v>
      </c>
      <c r="L303">
        <v>10</v>
      </c>
      <c r="M303" s="1" t="s">
        <v>24</v>
      </c>
      <c r="N303" s="2">
        <v>45992</v>
      </c>
      <c r="O303">
        <v>2025</v>
      </c>
      <c r="P303">
        <v>4</v>
      </c>
      <c r="Q303" s="1" t="s">
        <v>24</v>
      </c>
    </row>
    <row r="304" spans="1:17" x14ac:dyDescent="0.3">
      <c r="A304" s="1" t="s">
        <v>369</v>
      </c>
      <c r="B304" s="1" t="s">
        <v>63</v>
      </c>
      <c r="C304" s="1" t="s">
        <v>74</v>
      </c>
      <c r="D304" s="1" t="s">
        <v>20</v>
      </c>
      <c r="E304" s="1" t="s">
        <v>21</v>
      </c>
      <c r="F304" s="1" t="s">
        <v>31</v>
      </c>
      <c r="G304" s="2">
        <v>46022</v>
      </c>
      <c r="H304" s="2">
        <v>46037</v>
      </c>
      <c r="I304" s="1" t="s">
        <v>32</v>
      </c>
      <c r="J304">
        <v>4</v>
      </c>
      <c r="K304">
        <v>15</v>
      </c>
      <c r="L304">
        <v>14</v>
      </c>
      <c r="M304" s="1" t="s">
        <v>33</v>
      </c>
      <c r="N304" s="2">
        <v>45992</v>
      </c>
      <c r="O304">
        <v>2025</v>
      </c>
      <c r="P304">
        <v>4</v>
      </c>
      <c r="Q304" s="1" t="s">
        <v>24</v>
      </c>
    </row>
    <row r="305" spans="1:17" x14ac:dyDescent="0.3">
      <c r="A305" s="1" t="s">
        <v>370</v>
      </c>
      <c r="B305" s="1" t="s">
        <v>35</v>
      </c>
      <c r="C305" s="1" t="s">
        <v>99</v>
      </c>
      <c r="D305" s="1" t="s">
        <v>20</v>
      </c>
      <c r="E305" s="1" t="s">
        <v>48</v>
      </c>
      <c r="F305" s="1" t="s">
        <v>52</v>
      </c>
      <c r="G305" s="2">
        <v>45885</v>
      </c>
      <c r="H305" s="2"/>
      <c r="I305" s="1" t="s">
        <v>32</v>
      </c>
      <c r="L305">
        <v>14</v>
      </c>
      <c r="M305" s="1" t="s">
        <v>40</v>
      </c>
      <c r="N305" s="2">
        <v>45870</v>
      </c>
      <c r="O305">
        <v>2025</v>
      </c>
      <c r="P305">
        <v>3</v>
      </c>
      <c r="Q305" s="1" t="s">
        <v>33</v>
      </c>
    </row>
    <row r="306" spans="1:17" x14ac:dyDescent="0.3">
      <c r="A306" s="1" t="s">
        <v>371</v>
      </c>
      <c r="B306" s="1" t="s">
        <v>42</v>
      </c>
      <c r="C306" s="1" t="s">
        <v>76</v>
      </c>
      <c r="D306" s="1" t="s">
        <v>20</v>
      </c>
      <c r="E306" s="1" t="s">
        <v>21</v>
      </c>
      <c r="F306" s="1" t="s">
        <v>38</v>
      </c>
      <c r="G306" s="2">
        <v>45943</v>
      </c>
      <c r="H306" s="2">
        <v>45954</v>
      </c>
      <c r="I306" s="1" t="s">
        <v>23</v>
      </c>
      <c r="J306">
        <v>4</v>
      </c>
      <c r="K306">
        <v>11</v>
      </c>
      <c r="L306">
        <v>14</v>
      </c>
      <c r="M306" s="1" t="s">
        <v>24</v>
      </c>
      <c r="N306" s="2">
        <v>45931</v>
      </c>
      <c r="O306">
        <v>2025</v>
      </c>
      <c r="P306">
        <v>4</v>
      </c>
      <c r="Q306" s="1" t="s">
        <v>24</v>
      </c>
    </row>
    <row r="307" spans="1:17" x14ac:dyDescent="0.3">
      <c r="A307" s="1" t="s">
        <v>372</v>
      </c>
      <c r="B307" s="1" t="s">
        <v>42</v>
      </c>
      <c r="C307" s="1" t="s">
        <v>43</v>
      </c>
      <c r="D307" s="1" t="s">
        <v>51</v>
      </c>
      <c r="E307" s="1" t="s">
        <v>21</v>
      </c>
      <c r="F307" s="1" t="s">
        <v>31</v>
      </c>
      <c r="G307" s="2">
        <v>45824</v>
      </c>
      <c r="H307" s="2">
        <v>45832</v>
      </c>
      <c r="I307" s="1" t="s">
        <v>39</v>
      </c>
      <c r="J307">
        <v>1</v>
      </c>
      <c r="K307">
        <v>8</v>
      </c>
      <c r="L307">
        <v>10</v>
      </c>
      <c r="M307" s="1" t="s">
        <v>24</v>
      </c>
      <c r="N307" s="2">
        <v>45809</v>
      </c>
      <c r="O307">
        <v>2025</v>
      </c>
      <c r="P307">
        <v>2</v>
      </c>
      <c r="Q307" s="1" t="s">
        <v>24</v>
      </c>
    </row>
    <row r="308" spans="1:17" x14ac:dyDescent="0.3">
      <c r="A308" s="1" t="s">
        <v>373</v>
      </c>
      <c r="B308" s="1" t="s">
        <v>42</v>
      </c>
      <c r="C308" s="1" t="s">
        <v>76</v>
      </c>
      <c r="D308" s="1" t="s">
        <v>51</v>
      </c>
      <c r="E308" s="1" t="s">
        <v>21</v>
      </c>
      <c r="F308" s="1" t="s">
        <v>52</v>
      </c>
      <c r="G308" s="2">
        <v>45852</v>
      </c>
      <c r="H308" s="2">
        <v>45856</v>
      </c>
      <c r="I308" s="1" t="s">
        <v>32</v>
      </c>
      <c r="J308">
        <v>3</v>
      </c>
      <c r="K308">
        <v>4</v>
      </c>
      <c r="L308">
        <v>10</v>
      </c>
      <c r="M308" s="1" t="s">
        <v>24</v>
      </c>
      <c r="N308" s="2">
        <v>45839</v>
      </c>
      <c r="O308">
        <v>2025</v>
      </c>
      <c r="P308">
        <v>3</v>
      </c>
      <c r="Q308" s="1" t="s">
        <v>24</v>
      </c>
    </row>
    <row r="309" spans="1:17" x14ac:dyDescent="0.3">
      <c r="A309" s="1" t="s">
        <v>374</v>
      </c>
      <c r="B309" s="1" t="s">
        <v>58</v>
      </c>
      <c r="C309" s="1" t="s">
        <v>108</v>
      </c>
      <c r="D309" s="1" t="s">
        <v>20</v>
      </c>
      <c r="E309" s="1" t="s">
        <v>21</v>
      </c>
      <c r="F309" s="1" t="s">
        <v>38</v>
      </c>
      <c r="G309" s="2">
        <v>45873</v>
      </c>
      <c r="H309" s="2">
        <v>45880</v>
      </c>
      <c r="I309" s="1" t="s">
        <v>32</v>
      </c>
      <c r="J309">
        <v>4</v>
      </c>
      <c r="K309">
        <v>7</v>
      </c>
      <c r="L309">
        <v>14</v>
      </c>
      <c r="M309" s="1" t="s">
        <v>24</v>
      </c>
      <c r="N309" s="2">
        <v>45870</v>
      </c>
      <c r="O309">
        <v>2025</v>
      </c>
      <c r="P309">
        <v>3</v>
      </c>
      <c r="Q309" s="1" t="s">
        <v>24</v>
      </c>
    </row>
    <row r="310" spans="1:17" x14ac:dyDescent="0.3">
      <c r="A310" s="1" t="s">
        <v>375</v>
      </c>
      <c r="B310" s="1" t="s">
        <v>35</v>
      </c>
      <c r="C310" s="1" t="s">
        <v>36</v>
      </c>
      <c r="D310" s="1" t="s">
        <v>44</v>
      </c>
      <c r="E310" s="1" t="s">
        <v>21</v>
      </c>
      <c r="F310" s="1" t="s">
        <v>61</v>
      </c>
      <c r="G310" s="2">
        <v>45973</v>
      </c>
      <c r="H310" s="2">
        <v>45975</v>
      </c>
      <c r="I310" s="1" t="s">
        <v>32</v>
      </c>
      <c r="J310">
        <v>4</v>
      </c>
      <c r="K310">
        <v>2</v>
      </c>
      <c r="L310">
        <v>7</v>
      </c>
      <c r="M310" s="1" t="s">
        <v>24</v>
      </c>
      <c r="N310" s="2">
        <v>45962</v>
      </c>
      <c r="O310">
        <v>2025</v>
      </c>
      <c r="P310">
        <v>4</v>
      </c>
      <c r="Q310" s="1" t="s">
        <v>24</v>
      </c>
    </row>
    <row r="311" spans="1:17" x14ac:dyDescent="0.3">
      <c r="A311" s="1" t="s">
        <v>376</v>
      </c>
      <c r="B311" s="1" t="s">
        <v>42</v>
      </c>
      <c r="C311" s="1" t="s">
        <v>87</v>
      </c>
      <c r="D311" s="1" t="s">
        <v>51</v>
      </c>
      <c r="E311" s="1" t="s">
        <v>21</v>
      </c>
      <c r="F311" s="1" t="s">
        <v>22</v>
      </c>
      <c r="G311" s="2">
        <v>45826</v>
      </c>
      <c r="H311" s="2">
        <v>45835</v>
      </c>
      <c r="I311" s="1" t="s">
        <v>28</v>
      </c>
      <c r="J311">
        <v>4</v>
      </c>
      <c r="K311">
        <v>9</v>
      </c>
      <c r="L311">
        <v>10</v>
      </c>
      <c r="M311" s="1" t="s">
        <v>24</v>
      </c>
      <c r="N311" s="2">
        <v>45809</v>
      </c>
      <c r="O311">
        <v>2025</v>
      </c>
      <c r="P311">
        <v>2</v>
      </c>
      <c r="Q311" s="1" t="s">
        <v>24</v>
      </c>
    </row>
    <row r="312" spans="1:17" x14ac:dyDescent="0.3">
      <c r="A312" s="1" t="s">
        <v>377</v>
      </c>
      <c r="B312" s="1" t="s">
        <v>35</v>
      </c>
      <c r="C312" s="1" t="s">
        <v>97</v>
      </c>
      <c r="D312" s="1" t="s">
        <v>51</v>
      </c>
      <c r="E312" s="1" t="s">
        <v>21</v>
      </c>
      <c r="F312" s="1" t="s">
        <v>31</v>
      </c>
      <c r="G312" s="2">
        <v>45903</v>
      </c>
      <c r="H312" s="2">
        <v>45910</v>
      </c>
      <c r="I312" s="1" t="s">
        <v>32</v>
      </c>
      <c r="J312">
        <v>3</v>
      </c>
      <c r="K312">
        <v>7</v>
      </c>
      <c r="L312">
        <v>10</v>
      </c>
      <c r="M312" s="1" t="s">
        <v>24</v>
      </c>
      <c r="N312" s="2">
        <v>45901</v>
      </c>
      <c r="O312">
        <v>2025</v>
      </c>
      <c r="P312">
        <v>3</v>
      </c>
      <c r="Q312" s="1" t="s">
        <v>24</v>
      </c>
    </row>
    <row r="313" spans="1:17" x14ac:dyDescent="0.3">
      <c r="A313" s="1" t="s">
        <v>378</v>
      </c>
      <c r="B313" s="1" t="s">
        <v>35</v>
      </c>
      <c r="C313" s="1" t="s">
        <v>50</v>
      </c>
      <c r="D313" s="1" t="s">
        <v>71</v>
      </c>
      <c r="E313" s="1" t="s">
        <v>37</v>
      </c>
      <c r="F313" s="1" t="s">
        <v>31</v>
      </c>
      <c r="G313" s="2">
        <v>45824</v>
      </c>
      <c r="H313" s="2"/>
      <c r="I313" s="1" t="s">
        <v>32</v>
      </c>
      <c r="L313">
        <v>3</v>
      </c>
      <c r="M313" s="1" t="s">
        <v>40</v>
      </c>
      <c r="N313" s="2">
        <v>45809</v>
      </c>
      <c r="O313">
        <v>2025</v>
      </c>
      <c r="P313">
        <v>2</v>
      </c>
      <c r="Q313" s="1" t="s">
        <v>33</v>
      </c>
    </row>
    <row r="314" spans="1:17" x14ac:dyDescent="0.3">
      <c r="A314" s="1" t="s">
        <v>379</v>
      </c>
      <c r="B314" s="1" t="s">
        <v>58</v>
      </c>
      <c r="C314" s="1" t="s">
        <v>59</v>
      </c>
      <c r="D314" s="1" t="s">
        <v>20</v>
      </c>
      <c r="E314" s="1" t="s">
        <v>21</v>
      </c>
      <c r="F314" s="1" t="s">
        <v>22</v>
      </c>
      <c r="G314" s="2">
        <v>45961</v>
      </c>
      <c r="H314" s="2">
        <v>45972</v>
      </c>
      <c r="I314" s="1" t="s">
        <v>23</v>
      </c>
      <c r="J314">
        <v>3</v>
      </c>
      <c r="K314">
        <v>11</v>
      </c>
      <c r="L314">
        <v>14</v>
      </c>
      <c r="M314" s="1" t="s">
        <v>24</v>
      </c>
      <c r="N314" s="2">
        <v>45931</v>
      </c>
      <c r="O314">
        <v>2025</v>
      </c>
      <c r="P314">
        <v>4</v>
      </c>
      <c r="Q314" s="1" t="s">
        <v>24</v>
      </c>
    </row>
    <row r="315" spans="1:17" x14ac:dyDescent="0.3">
      <c r="A315" s="1" t="s">
        <v>380</v>
      </c>
      <c r="B315" s="1" t="s">
        <v>18</v>
      </c>
      <c r="C315" s="1" t="s">
        <v>30</v>
      </c>
      <c r="D315" s="1" t="s">
        <v>71</v>
      </c>
      <c r="E315" s="1" t="s">
        <v>21</v>
      </c>
      <c r="F315" s="1" t="s">
        <v>31</v>
      </c>
      <c r="G315" s="2">
        <v>45807</v>
      </c>
      <c r="H315" s="2">
        <v>45807</v>
      </c>
      <c r="I315" s="1" t="s">
        <v>39</v>
      </c>
      <c r="J315">
        <v>5</v>
      </c>
      <c r="K315">
        <v>0</v>
      </c>
      <c r="L315">
        <v>3</v>
      </c>
      <c r="M315" s="1" t="s">
        <v>24</v>
      </c>
      <c r="N315" s="2">
        <v>45778</v>
      </c>
      <c r="O315">
        <v>2025</v>
      </c>
      <c r="P315">
        <v>2</v>
      </c>
      <c r="Q315" s="1" t="s">
        <v>24</v>
      </c>
    </row>
    <row r="316" spans="1:17" x14ac:dyDescent="0.3">
      <c r="A316" s="1" t="s">
        <v>381</v>
      </c>
      <c r="B316" s="1" t="s">
        <v>63</v>
      </c>
      <c r="C316" s="1" t="s">
        <v>84</v>
      </c>
      <c r="D316" s="1" t="s">
        <v>20</v>
      </c>
      <c r="E316" s="1" t="s">
        <v>21</v>
      </c>
      <c r="F316" s="1" t="s">
        <v>31</v>
      </c>
      <c r="G316" s="2">
        <v>45874</v>
      </c>
      <c r="H316" s="2">
        <v>45889</v>
      </c>
      <c r="I316" s="1" t="s">
        <v>82</v>
      </c>
      <c r="J316">
        <v>4</v>
      </c>
      <c r="K316">
        <v>15</v>
      </c>
      <c r="L316">
        <v>14</v>
      </c>
      <c r="M316" s="1" t="s">
        <v>33</v>
      </c>
      <c r="N316" s="2">
        <v>45870</v>
      </c>
      <c r="O316">
        <v>2025</v>
      </c>
      <c r="P316">
        <v>3</v>
      </c>
      <c r="Q316" s="1" t="s">
        <v>24</v>
      </c>
    </row>
    <row r="317" spans="1:17" x14ac:dyDescent="0.3">
      <c r="A317" s="1" t="s">
        <v>382</v>
      </c>
      <c r="B317" s="1" t="s">
        <v>58</v>
      </c>
      <c r="C317" s="1" t="s">
        <v>145</v>
      </c>
      <c r="D317" s="1" t="s">
        <v>51</v>
      </c>
      <c r="E317" s="1" t="s">
        <v>48</v>
      </c>
      <c r="F317" s="1" t="s">
        <v>31</v>
      </c>
      <c r="G317" s="2">
        <v>46012</v>
      </c>
      <c r="H317" s="2"/>
      <c r="I317" s="1" t="s">
        <v>82</v>
      </c>
      <c r="L317">
        <v>10</v>
      </c>
      <c r="M317" s="1" t="s">
        <v>40</v>
      </c>
      <c r="N317" s="2">
        <v>45992</v>
      </c>
      <c r="O317">
        <v>2025</v>
      </c>
      <c r="P317">
        <v>4</v>
      </c>
      <c r="Q317" s="1" t="s">
        <v>33</v>
      </c>
    </row>
    <row r="318" spans="1:17" x14ac:dyDescent="0.3">
      <c r="A318" s="1" t="s">
        <v>383</v>
      </c>
      <c r="B318" s="1" t="s">
        <v>42</v>
      </c>
      <c r="C318" s="1" t="s">
        <v>43</v>
      </c>
      <c r="D318" s="1" t="s">
        <v>44</v>
      </c>
      <c r="E318" s="1" t="s">
        <v>37</v>
      </c>
      <c r="F318" s="1" t="s">
        <v>38</v>
      </c>
      <c r="G318" s="2">
        <v>45962</v>
      </c>
      <c r="H318" s="2"/>
      <c r="I318" s="1" t="s">
        <v>23</v>
      </c>
      <c r="L318">
        <v>7</v>
      </c>
      <c r="M318" s="1" t="s">
        <v>40</v>
      </c>
      <c r="N318" s="2">
        <v>45962</v>
      </c>
      <c r="O318">
        <v>2025</v>
      </c>
      <c r="P318">
        <v>4</v>
      </c>
      <c r="Q318" s="1" t="s">
        <v>33</v>
      </c>
    </row>
    <row r="319" spans="1:17" x14ac:dyDescent="0.3">
      <c r="A319" s="1" t="s">
        <v>384</v>
      </c>
      <c r="B319" s="1" t="s">
        <v>63</v>
      </c>
      <c r="C319" s="1" t="s">
        <v>84</v>
      </c>
      <c r="D319" s="1" t="s">
        <v>20</v>
      </c>
      <c r="E319" s="1" t="s">
        <v>21</v>
      </c>
      <c r="F319" s="1" t="s">
        <v>31</v>
      </c>
      <c r="G319" s="2">
        <v>45946</v>
      </c>
      <c r="H319" s="2">
        <v>45959</v>
      </c>
      <c r="I319" s="1" t="s">
        <v>32</v>
      </c>
      <c r="J319">
        <v>5</v>
      </c>
      <c r="K319">
        <v>13</v>
      </c>
      <c r="L319">
        <v>14</v>
      </c>
      <c r="M319" s="1" t="s">
        <v>24</v>
      </c>
      <c r="N319" s="2">
        <v>45931</v>
      </c>
      <c r="O319">
        <v>2025</v>
      </c>
      <c r="P319">
        <v>4</v>
      </c>
      <c r="Q319" s="1" t="s">
        <v>24</v>
      </c>
    </row>
    <row r="320" spans="1:17" x14ac:dyDescent="0.3">
      <c r="A320" s="1" t="s">
        <v>385</v>
      </c>
      <c r="B320" s="1" t="s">
        <v>58</v>
      </c>
      <c r="C320" s="1" t="s">
        <v>70</v>
      </c>
      <c r="D320" s="1" t="s">
        <v>20</v>
      </c>
      <c r="E320" s="1" t="s">
        <v>21</v>
      </c>
      <c r="F320" s="1" t="s">
        <v>22</v>
      </c>
      <c r="G320" s="2">
        <v>45919</v>
      </c>
      <c r="H320" s="2">
        <v>45933</v>
      </c>
      <c r="I320" s="1" t="s">
        <v>82</v>
      </c>
      <c r="J320">
        <v>4</v>
      </c>
      <c r="K320">
        <v>14</v>
      </c>
      <c r="L320">
        <v>14</v>
      </c>
      <c r="M320" s="1" t="s">
        <v>24</v>
      </c>
      <c r="N320" s="2">
        <v>45901</v>
      </c>
      <c r="O320">
        <v>2025</v>
      </c>
      <c r="P320">
        <v>3</v>
      </c>
      <c r="Q320" s="1" t="s">
        <v>24</v>
      </c>
    </row>
    <row r="321" spans="1:17" x14ac:dyDescent="0.3">
      <c r="A321" s="1" t="s">
        <v>386</v>
      </c>
      <c r="B321" s="1" t="s">
        <v>63</v>
      </c>
      <c r="C321" s="1" t="s">
        <v>89</v>
      </c>
      <c r="D321" s="1" t="s">
        <v>51</v>
      </c>
      <c r="E321" s="1" t="s">
        <v>21</v>
      </c>
      <c r="F321" s="1" t="s">
        <v>38</v>
      </c>
      <c r="G321" s="2">
        <v>46005</v>
      </c>
      <c r="H321" s="2">
        <v>46015</v>
      </c>
      <c r="I321" s="1" t="s">
        <v>39</v>
      </c>
      <c r="J321">
        <v>3</v>
      </c>
      <c r="K321">
        <v>10</v>
      </c>
      <c r="L321">
        <v>10</v>
      </c>
      <c r="M321" s="1" t="s">
        <v>24</v>
      </c>
      <c r="N321" s="2">
        <v>45992</v>
      </c>
      <c r="O321">
        <v>2025</v>
      </c>
      <c r="P321">
        <v>4</v>
      </c>
      <c r="Q321" s="1" t="s">
        <v>24</v>
      </c>
    </row>
    <row r="322" spans="1:17" x14ac:dyDescent="0.3">
      <c r="A322" s="1" t="s">
        <v>387</v>
      </c>
      <c r="B322" s="1" t="s">
        <v>42</v>
      </c>
      <c r="C322" s="1" t="s">
        <v>43</v>
      </c>
      <c r="D322" s="1" t="s">
        <v>51</v>
      </c>
      <c r="E322" s="1" t="s">
        <v>48</v>
      </c>
      <c r="F322" s="1" t="s">
        <v>61</v>
      </c>
      <c r="G322" s="2">
        <v>45717</v>
      </c>
      <c r="H322" s="2"/>
      <c r="I322" s="1" t="s">
        <v>32</v>
      </c>
      <c r="L322">
        <v>10</v>
      </c>
      <c r="M322" s="1" t="s">
        <v>40</v>
      </c>
      <c r="N322" s="2">
        <v>45717</v>
      </c>
      <c r="O322">
        <v>2025</v>
      </c>
      <c r="P322">
        <v>1</v>
      </c>
      <c r="Q322" s="1" t="s">
        <v>33</v>
      </c>
    </row>
    <row r="323" spans="1:17" x14ac:dyDescent="0.3">
      <c r="A323" s="1" t="s">
        <v>388</v>
      </c>
      <c r="B323" s="1" t="s">
        <v>35</v>
      </c>
      <c r="C323" s="1" t="s">
        <v>97</v>
      </c>
      <c r="D323" s="1" t="s">
        <v>51</v>
      </c>
      <c r="E323" s="1" t="s">
        <v>21</v>
      </c>
      <c r="F323" s="1" t="s">
        <v>31</v>
      </c>
      <c r="G323" s="2">
        <v>45905</v>
      </c>
      <c r="H323" s="2">
        <v>45912</v>
      </c>
      <c r="I323" s="1" t="s">
        <v>39</v>
      </c>
      <c r="J323">
        <v>4</v>
      </c>
      <c r="K323">
        <v>7</v>
      </c>
      <c r="L323">
        <v>10</v>
      </c>
      <c r="M323" s="1" t="s">
        <v>24</v>
      </c>
      <c r="N323" s="2">
        <v>45901</v>
      </c>
      <c r="O323">
        <v>2025</v>
      </c>
      <c r="P323">
        <v>3</v>
      </c>
      <c r="Q323" s="1" t="s">
        <v>24</v>
      </c>
    </row>
    <row r="324" spans="1:17" x14ac:dyDescent="0.3">
      <c r="A324" s="1" t="s">
        <v>389</v>
      </c>
      <c r="B324" s="1" t="s">
        <v>35</v>
      </c>
      <c r="C324" s="1" t="s">
        <v>99</v>
      </c>
      <c r="D324" s="1" t="s">
        <v>51</v>
      </c>
      <c r="E324" s="1" t="s">
        <v>37</v>
      </c>
      <c r="F324" s="1" t="s">
        <v>38</v>
      </c>
      <c r="G324" s="2">
        <v>45716</v>
      </c>
      <c r="H324" s="2"/>
      <c r="I324" s="1" t="s">
        <v>32</v>
      </c>
      <c r="L324">
        <v>10</v>
      </c>
      <c r="M324" s="1" t="s">
        <v>40</v>
      </c>
      <c r="N324" s="2">
        <v>45689</v>
      </c>
      <c r="O324">
        <v>2025</v>
      </c>
      <c r="P324">
        <v>1</v>
      </c>
      <c r="Q324" s="1" t="s">
        <v>33</v>
      </c>
    </row>
    <row r="325" spans="1:17" x14ac:dyDescent="0.3">
      <c r="A325" s="1" t="s">
        <v>390</v>
      </c>
      <c r="B325" s="1" t="s">
        <v>18</v>
      </c>
      <c r="C325" s="1" t="s">
        <v>19</v>
      </c>
      <c r="D325" s="1" t="s">
        <v>51</v>
      </c>
      <c r="E325" s="1" t="s">
        <v>21</v>
      </c>
      <c r="F325" s="1" t="s">
        <v>61</v>
      </c>
      <c r="G325" s="2">
        <v>45782</v>
      </c>
      <c r="H325" s="2">
        <v>45792</v>
      </c>
      <c r="I325" s="1" t="s">
        <v>32</v>
      </c>
      <c r="J325">
        <v>3</v>
      </c>
      <c r="K325">
        <v>10</v>
      </c>
      <c r="L325">
        <v>10</v>
      </c>
      <c r="M325" s="1" t="s">
        <v>24</v>
      </c>
      <c r="N325" s="2">
        <v>45778</v>
      </c>
      <c r="O325">
        <v>2025</v>
      </c>
      <c r="P325">
        <v>2</v>
      </c>
      <c r="Q325" s="1" t="s">
        <v>24</v>
      </c>
    </row>
    <row r="326" spans="1:17" x14ac:dyDescent="0.3">
      <c r="A326" s="1" t="s">
        <v>391</v>
      </c>
      <c r="B326" s="1" t="s">
        <v>26</v>
      </c>
      <c r="C326" s="1" t="s">
        <v>27</v>
      </c>
      <c r="D326" s="1" t="s">
        <v>71</v>
      </c>
      <c r="E326" s="1" t="s">
        <v>21</v>
      </c>
      <c r="F326" s="1" t="s">
        <v>31</v>
      </c>
      <c r="G326" s="2">
        <v>45865</v>
      </c>
      <c r="H326" s="2">
        <v>45866</v>
      </c>
      <c r="I326" s="1" t="s">
        <v>39</v>
      </c>
      <c r="J326">
        <v>3</v>
      </c>
      <c r="K326">
        <v>1</v>
      </c>
      <c r="L326">
        <v>3</v>
      </c>
      <c r="M326" s="1" t="s">
        <v>24</v>
      </c>
      <c r="N326" s="2">
        <v>45839</v>
      </c>
      <c r="O326">
        <v>2025</v>
      </c>
      <c r="P326">
        <v>3</v>
      </c>
      <c r="Q326" s="1" t="s">
        <v>24</v>
      </c>
    </row>
    <row r="327" spans="1:17" x14ac:dyDescent="0.3">
      <c r="A327" s="1" t="s">
        <v>392</v>
      </c>
      <c r="B327" s="1" t="s">
        <v>42</v>
      </c>
      <c r="C327" s="1" t="s">
        <v>76</v>
      </c>
      <c r="D327" s="1" t="s">
        <v>51</v>
      </c>
      <c r="E327" s="1" t="s">
        <v>21</v>
      </c>
      <c r="F327" s="1" t="s">
        <v>38</v>
      </c>
      <c r="G327" s="2">
        <v>45660</v>
      </c>
      <c r="H327" s="2">
        <v>45665</v>
      </c>
      <c r="I327" s="1" t="s">
        <v>82</v>
      </c>
      <c r="J327">
        <v>3</v>
      </c>
      <c r="K327">
        <v>5</v>
      </c>
      <c r="L327">
        <v>10</v>
      </c>
      <c r="M327" s="1" t="s">
        <v>24</v>
      </c>
      <c r="N327" s="2">
        <v>45658</v>
      </c>
      <c r="O327">
        <v>2025</v>
      </c>
      <c r="P327">
        <v>1</v>
      </c>
      <c r="Q327" s="1" t="s">
        <v>24</v>
      </c>
    </row>
    <row r="328" spans="1:17" x14ac:dyDescent="0.3">
      <c r="A328" s="1" t="s">
        <v>393</v>
      </c>
      <c r="B328" s="1" t="s">
        <v>42</v>
      </c>
      <c r="C328" s="1" t="s">
        <v>76</v>
      </c>
      <c r="D328" s="1" t="s">
        <v>51</v>
      </c>
      <c r="E328" s="1" t="s">
        <v>21</v>
      </c>
      <c r="F328" s="1" t="s">
        <v>31</v>
      </c>
      <c r="G328" s="2">
        <v>45716</v>
      </c>
      <c r="H328" s="2">
        <v>45722</v>
      </c>
      <c r="I328" s="1" t="s">
        <v>82</v>
      </c>
      <c r="J328">
        <v>5</v>
      </c>
      <c r="K328">
        <v>6</v>
      </c>
      <c r="L328">
        <v>10</v>
      </c>
      <c r="M328" s="1" t="s">
        <v>24</v>
      </c>
      <c r="N328" s="2">
        <v>45689</v>
      </c>
      <c r="O328">
        <v>2025</v>
      </c>
      <c r="P328">
        <v>1</v>
      </c>
      <c r="Q328" s="1" t="s">
        <v>24</v>
      </c>
    </row>
    <row r="329" spans="1:17" x14ac:dyDescent="0.3">
      <c r="A329" s="1" t="s">
        <v>394</v>
      </c>
      <c r="B329" s="1" t="s">
        <v>18</v>
      </c>
      <c r="C329" s="1" t="s">
        <v>56</v>
      </c>
      <c r="D329" s="1" t="s">
        <v>51</v>
      </c>
      <c r="E329" s="1" t="s">
        <v>21</v>
      </c>
      <c r="F329" s="1" t="s">
        <v>31</v>
      </c>
      <c r="G329" s="2">
        <v>45958</v>
      </c>
      <c r="H329" s="2">
        <v>45961</v>
      </c>
      <c r="I329" s="1" t="s">
        <v>82</v>
      </c>
      <c r="J329">
        <v>4</v>
      </c>
      <c r="K329">
        <v>3</v>
      </c>
      <c r="L329">
        <v>10</v>
      </c>
      <c r="M329" s="1" t="s">
        <v>24</v>
      </c>
      <c r="N329" s="2">
        <v>45931</v>
      </c>
      <c r="O329">
        <v>2025</v>
      </c>
      <c r="P329">
        <v>4</v>
      </c>
      <c r="Q329" s="1" t="s">
        <v>24</v>
      </c>
    </row>
    <row r="330" spans="1:17" x14ac:dyDescent="0.3">
      <c r="A330" s="1" t="s">
        <v>395</v>
      </c>
      <c r="B330" s="1" t="s">
        <v>63</v>
      </c>
      <c r="C330" s="1" t="s">
        <v>84</v>
      </c>
      <c r="D330" s="1" t="s">
        <v>44</v>
      </c>
      <c r="E330" s="1" t="s">
        <v>21</v>
      </c>
      <c r="F330" s="1" t="s">
        <v>61</v>
      </c>
      <c r="G330" s="2">
        <v>46002</v>
      </c>
      <c r="H330" s="2">
        <v>46004</v>
      </c>
      <c r="I330" s="1" t="s">
        <v>32</v>
      </c>
      <c r="J330">
        <v>4</v>
      </c>
      <c r="K330">
        <v>2</v>
      </c>
      <c r="L330">
        <v>7</v>
      </c>
      <c r="M330" s="1" t="s">
        <v>24</v>
      </c>
      <c r="N330" s="2">
        <v>45992</v>
      </c>
      <c r="O330">
        <v>2025</v>
      </c>
      <c r="P330">
        <v>4</v>
      </c>
      <c r="Q330" s="1" t="s">
        <v>24</v>
      </c>
    </row>
    <row r="331" spans="1:17" x14ac:dyDescent="0.3">
      <c r="A331" s="1" t="s">
        <v>396</v>
      </c>
      <c r="B331" s="1" t="s">
        <v>42</v>
      </c>
      <c r="C331" s="1" t="s">
        <v>76</v>
      </c>
      <c r="D331" s="1" t="s">
        <v>51</v>
      </c>
      <c r="E331" s="1" t="s">
        <v>21</v>
      </c>
      <c r="F331" s="1" t="s">
        <v>22</v>
      </c>
      <c r="G331" s="2">
        <v>45856</v>
      </c>
      <c r="H331" s="2">
        <v>45864</v>
      </c>
      <c r="I331" s="1" t="s">
        <v>39</v>
      </c>
      <c r="J331">
        <v>4</v>
      </c>
      <c r="K331">
        <v>8</v>
      </c>
      <c r="L331">
        <v>10</v>
      </c>
      <c r="M331" s="1" t="s">
        <v>24</v>
      </c>
      <c r="N331" s="2">
        <v>45839</v>
      </c>
      <c r="O331">
        <v>2025</v>
      </c>
      <c r="P331">
        <v>3</v>
      </c>
      <c r="Q331" s="1" t="s">
        <v>24</v>
      </c>
    </row>
    <row r="332" spans="1:17" x14ac:dyDescent="0.3">
      <c r="A332" s="1" t="s">
        <v>397</v>
      </c>
      <c r="B332" s="1" t="s">
        <v>58</v>
      </c>
      <c r="C332" s="1" t="s">
        <v>108</v>
      </c>
      <c r="D332" s="1" t="s">
        <v>51</v>
      </c>
      <c r="E332" s="1" t="s">
        <v>21</v>
      </c>
      <c r="F332" s="1" t="s">
        <v>31</v>
      </c>
      <c r="G332" s="2">
        <v>45988</v>
      </c>
      <c r="H332" s="2">
        <v>45992</v>
      </c>
      <c r="I332" s="1" t="s">
        <v>32</v>
      </c>
      <c r="J332">
        <v>4</v>
      </c>
      <c r="K332">
        <v>4</v>
      </c>
      <c r="L332">
        <v>10</v>
      </c>
      <c r="M332" s="1" t="s">
        <v>24</v>
      </c>
      <c r="N332" s="2">
        <v>45962</v>
      </c>
      <c r="O332">
        <v>2025</v>
      </c>
      <c r="P332">
        <v>4</v>
      </c>
      <c r="Q332" s="1" t="s">
        <v>24</v>
      </c>
    </row>
    <row r="333" spans="1:17" x14ac:dyDescent="0.3">
      <c r="A333" s="1" t="s">
        <v>398</v>
      </c>
      <c r="B333" s="1" t="s">
        <v>63</v>
      </c>
      <c r="C333" s="1" t="s">
        <v>64</v>
      </c>
      <c r="D333" s="1" t="s">
        <v>51</v>
      </c>
      <c r="E333" s="1" t="s">
        <v>21</v>
      </c>
      <c r="F333" s="1" t="s">
        <v>31</v>
      </c>
      <c r="G333" s="2">
        <v>45685</v>
      </c>
      <c r="H333" s="2">
        <v>45692</v>
      </c>
      <c r="I333" s="1" t="s">
        <v>28</v>
      </c>
      <c r="J333">
        <v>5</v>
      </c>
      <c r="K333">
        <v>7</v>
      </c>
      <c r="L333">
        <v>10</v>
      </c>
      <c r="M333" s="1" t="s">
        <v>24</v>
      </c>
      <c r="N333" s="2">
        <v>45658</v>
      </c>
      <c r="O333">
        <v>2025</v>
      </c>
      <c r="P333">
        <v>1</v>
      </c>
      <c r="Q333" s="1" t="s">
        <v>24</v>
      </c>
    </row>
    <row r="334" spans="1:17" x14ac:dyDescent="0.3">
      <c r="A334" s="1" t="s">
        <v>399</v>
      </c>
      <c r="B334" s="1" t="s">
        <v>63</v>
      </c>
      <c r="C334" s="1" t="s">
        <v>89</v>
      </c>
      <c r="D334" s="1" t="s">
        <v>71</v>
      </c>
      <c r="E334" s="1" t="s">
        <v>21</v>
      </c>
      <c r="F334" s="1" t="s">
        <v>31</v>
      </c>
      <c r="G334" s="2">
        <v>45911</v>
      </c>
      <c r="H334" s="2">
        <v>45914</v>
      </c>
      <c r="I334" s="1" t="s">
        <v>39</v>
      </c>
      <c r="J334">
        <v>5</v>
      </c>
      <c r="K334">
        <v>3</v>
      </c>
      <c r="L334">
        <v>3</v>
      </c>
      <c r="M334" s="1" t="s">
        <v>24</v>
      </c>
      <c r="N334" s="2">
        <v>45901</v>
      </c>
      <c r="O334">
        <v>2025</v>
      </c>
      <c r="P334">
        <v>3</v>
      </c>
      <c r="Q334" s="1" t="s">
        <v>24</v>
      </c>
    </row>
    <row r="335" spans="1:17" x14ac:dyDescent="0.3">
      <c r="A335" s="1" t="s">
        <v>400</v>
      </c>
      <c r="B335" s="1" t="s">
        <v>58</v>
      </c>
      <c r="C335" s="1" t="s">
        <v>108</v>
      </c>
      <c r="D335" s="1" t="s">
        <v>20</v>
      </c>
      <c r="E335" s="1" t="s">
        <v>21</v>
      </c>
      <c r="F335" s="1" t="s">
        <v>61</v>
      </c>
      <c r="G335" s="2">
        <v>45770</v>
      </c>
      <c r="H335" s="2">
        <v>45777</v>
      </c>
      <c r="I335" s="1" t="s">
        <v>82</v>
      </c>
      <c r="J335">
        <v>1</v>
      </c>
      <c r="K335">
        <v>7</v>
      </c>
      <c r="L335">
        <v>14</v>
      </c>
      <c r="M335" s="1" t="s">
        <v>24</v>
      </c>
      <c r="N335" s="2">
        <v>45748</v>
      </c>
      <c r="O335">
        <v>2025</v>
      </c>
      <c r="P335">
        <v>2</v>
      </c>
      <c r="Q335" s="1" t="s">
        <v>24</v>
      </c>
    </row>
    <row r="336" spans="1:17" x14ac:dyDescent="0.3">
      <c r="A336" s="1" t="s">
        <v>401</v>
      </c>
      <c r="B336" s="1" t="s">
        <v>35</v>
      </c>
      <c r="C336" s="1" t="s">
        <v>36</v>
      </c>
      <c r="D336" s="1" t="s">
        <v>44</v>
      </c>
      <c r="E336" s="1" t="s">
        <v>21</v>
      </c>
      <c r="F336" s="1" t="s">
        <v>22</v>
      </c>
      <c r="G336" s="2">
        <v>45911</v>
      </c>
      <c r="H336" s="2">
        <v>45916</v>
      </c>
      <c r="I336" s="1" t="s">
        <v>23</v>
      </c>
      <c r="J336">
        <v>4</v>
      </c>
      <c r="K336">
        <v>5</v>
      </c>
      <c r="L336">
        <v>7</v>
      </c>
      <c r="M336" s="1" t="s">
        <v>24</v>
      </c>
      <c r="N336" s="2">
        <v>45901</v>
      </c>
      <c r="O336">
        <v>2025</v>
      </c>
      <c r="P336">
        <v>3</v>
      </c>
      <c r="Q336" s="1" t="s">
        <v>24</v>
      </c>
    </row>
    <row r="337" spans="1:17" x14ac:dyDescent="0.3">
      <c r="A337" s="1" t="s">
        <v>402</v>
      </c>
      <c r="B337" s="1" t="s">
        <v>35</v>
      </c>
      <c r="C337" s="1" t="s">
        <v>97</v>
      </c>
      <c r="D337" s="1" t="s">
        <v>51</v>
      </c>
      <c r="E337" s="1" t="s">
        <v>37</v>
      </c>
      <c r="F337" s="1" t="s">
        <v>22</v>
      </c>
      <c r="G337" s="2">
        <v>45883</v>
      </c>
      <c r="H337" s="2"/>
      <c r="I337" s="1" t="s">
        <v>28</v>
      </c>
      <c r="L337">
        <v>10</v>
      </c>
      <c r="M337" s="1" t="s">
        <v>40</v>
      </c>
      <c r="N337" s="2">
        <v>45870</v>
      </c>
      <c r="O337">
        <v>2025</v>
      </c>
      <c r="P337">
        <v>3</v>
      </c>
      <c r="Q337" s="1" t="s">
        <v>33</v>
      </c>
    </row>
    <row r="338" spans="1:17" x14ac:dyDescent="0.3">
      <c r="A338" s="1" t="s">
        <v>403</v>
      </c>
      <c r="B338" s="1" t="s">
        <v>58</v>
      </c>
      <c r="C338" s="1" t="s">
        <v>70</v>
      </c>
      <c r="D338" s="1" t="s">
        <v>44</v>
      </c>
      <c r="E338" s="1" t="s">
        <v>21</v>
      </c>
      <c r="F338" s="1" t="s">
        <v>38</v>
      </c>
      <c r="G338" s="2">
        <v>45784</v>
      </c>
      <c r="H338" s="2">
        <v>45787</v>
      </c>
      <c r="I338" s="1" t="s">
        <v>39</v>
      </c>
      <c r="J338">
        <v>5</v>
      </c>
      <c r="K338">
        <v>3</v>
      </c>
      <c r="L338">
        <v>7</v>
      </c>
      <c r="M338" s="1" t="s">
        <v>24</v>
      </c>
      <c r="N338" s="2">
        <v>45778</v>
      </c>
      <c r="O338">
        <v>2025</v>
      </c>
      <c r="P338">
        <v>2</v>
      </c>
      <c r="Q338" s="1" t="s">
        <v>24</v>
      </c>
    </row>
    <row r="339" spans="1:17" x14ac:dyDescent="0.3">
      <c r="A339" s="1" t="s">
        <v>404</v>
      </c>
      <c r="B339" s="1" t="s">
        <v>35</v>
      </c>
      <c r="C339" s="1" t="s">
        <v>97</v>
      </c>
      <c r="D339" s="1" t="s">
        <v>44</v>
      </c>
      <c r="E339" s="1" t="s">
        <v>21</v>
      </c>
      <c r="F339" s="1" t="s">
        <v>61</v>
      </c>
      <c r="G339" s="2">
        <v>45718</v>
      </c>
      <c r="H339" s="2">
        <v>45725</v>
      </c>
      <c r="I339" s="1" t="s">
        <v>82</v>
      </c>
      <c r="J339">
        <v>5</v>
      </c>
      <c r="K339">
        <v>7</v>
      </c>
      <c r="L339">
        <v>7</v>
      </c>
      <c r="M339" s="1" t="s">
        <v>24</v>
      </c>
      <c r="N339" s="2">
        <v>45717</v>
      </c>
      <c r="O339">
        <v>2025</v>
      </c>
      <c r="P339">
        <v>1</v>
      </c>
      <c r="Q339" s="1" t="s">
        <v>24</v>
      </c>
    </row>
    <row r="340" spans="1:17" x14ac:dyDescent="0.3">
      <c r="A340" s="1" t="s">
        <v>405</v>
      </c>
      <c r="B340" s="1" t="s">
        <v>18</v>
      </c>
      <c r="C340" s="1" t="s">
        <v>56</v>
      </c>
      <c r="D340" s="1" t="s">
        <v>44</v>
      </c>
      <c r="E340" s="1" t="s">
        <v>21</v>
      </c>
      <c r="F340" s="1" t="s">
        <v>61</v>
      </c>
      <c r="G340" s="2">
        <v>45877</v>
      </c>
      <c r="H340" s="2">
        <v>45879</v>
      </c>
      <c r="I340" s="1" t="s">
        <v>28</v>
      </c>
      <c r="J340">
        <v>4</v>
      </c>
      <c r="K340">
        <v>2</v>
      </c>
      <c r="L340">
        <v>7</v>
      </c>
      <c r="M340" s="1" t="s">
        <v>24</v>
      </c>
      <c r="N340" s="2">
        <v>45870</v>
      </c>
      <c r="O340">
        <v>2025</v>
      </c>
      <c r="P340">
        <v>3</v>
      </c>
      <c r="Q340" s="1" t="s">
        <v>24</v>
      </c>
    </row>
    <row r="341" spans="1:17" x14ac:dyDescent="0.3">
      <c r="A341" s="1" t="s">
        <v>406</v>
      </c>
      <c r="B341" s="1" t="s">
        <v>42</v>
      </c>
      <c r="C341" s="1" t="s">
        <v>43</v>
      </c>
      <c r="D341" s="1" t="s">
        <v>51</v>
      </c>
      <c r="E341" s="1" t="s">
        <v>21</v>
      </c>
      <c r="F341" s="1" t="s">
        <v>52</v>
      </c>
      <c r="G341" s="2">
        <v>45744</v>
      </c>
      <c r="H341" s="2">
        <v>45751</v>
      </c>
      <c r="I341" s="1" t="s">
        <v>32</v>
      </c>
      <c r="J341">
        <v>5</v>
      </c>
      <c r="K341">
        <v>7</v>
      </c>
      <c r="L341">
        <v>10</v>
      </c>
      <c r="M341" s="1" t="s">
        <v>24</v>
      </c>
      <c r="N341" s="2">
        <v>45717</v>
      </c>
      <c r="O341">
        <v>2025</v>
      </c>
      <c r="P341">
        <v>1</v>
      </c>
      <c r="Q341" s="1" t="s">
        <v>24</v>
      </c>
    </row>
    <row r="342" spans="1:17" x14ac:dyDescent="0.3">
      <c r="A342" s="1" t="s">
        <v>407</v>
      </c>
      <c r="B342" s="1" t="s">
        <v>26</v>
      </c>
      <c r="C342" s="1" t="s">
        <v>123</v>
      </c>
      <c r="D342" s="1" t="s">
        <v>71</v>
      </c>
      <c r="E342" s="1" t="s">
        <v>21</v>
      </c>
      <c r="F342" s="1" t="s">
        <v>31</v>
      </c>
      <c r="G342" s="2">
        <v>46005</v>
      </c>
      <c r="H342" s="2">
        <v>46005</v>
      </c>
      <c r="I342" s="1" t="s">
        <v>23</v>
      </c>
      <c r="J342">
        <v>3</v>
      </c>
      <c r="K342">
        <v>0</v>
      </c>
      <c r="L342">
        <v>3</v>
      </c>
      <c r="M342" s="1" t="s">
        <v>24</v>
      </c>
      <c r="N342" s="2">
        <v>45992</v>
      </c>
      <c r="O342">
        <v>2025</v>
      </c>
      <c r="P342">
        <v>4</v>
      </c>
      <c r="Q342" s="1" t="s">
        <v>24</v>
      </c>
    </row>
    <row r="343" spans="1:17" x14ac:dyDescent="0.3">
      <c r="A343" s="1" t="s">
        <v>408</v>
      </c>
      <c r="B343" s="1" t="s">
        <v>35</v>
      </c>
      <c r="C343" s="1" t="s">
        <v>36</v>
      </c>
      <c r="D343" s="1" t="s">
        <v>44</v>
      </c>
      <c r="E343" s="1" t="s">
        <v>21</v>
      </c>
      <c r="F343" s="1" t="s">
        <v>61</v>
      </c>
      <c r="G343" s="2">
        <v>45732</v>
      </c>
      <c r="H343" s="2">
        <v>45738</v>
      </c>
      <c r="I343" s="1" t="s">
        <v>39</v>
      </c>
      <c r="J343">
        <v>4</v>
      </c>
      <c r="K343">
        <v>6</v>
      </c>
      <c r="L343">
        <v>7</v>
      </c>
      <c r="M343" s="1" t="s">
        <v>24</v>
      </c>
      <c r="N343" s="2">
        <v>45717</v>
      </c>
      <c r="O343">
        <v>2025</v>
      </c>
      <c r="P343">
        <v>1</v>
      </c>
      <c r="Q343" s="1" t="s">
        <v>24</v>
      </c>
    </row>
    <row r="344" spans="1:17" x14ac:dyDescent="0.3">
      <c r="A344" s="1" t="s">
        <v>409</v>
      </c>
      <c r="B344" s="1" t="s">
        <v>58</v>
      </c>
      <c r="C344" s="1" t="s">
        <v>108</v>
      </c>
      <c r="D344" s="1" t="s">
        <v>51</v>
      </c>
      <c r="E344" s="1" t="s">
        <v>21</v>
      </c>
      <c r="F344" s="1" t="s">
        <v>38</v>
      </c>
      <c r="G344" s="2">
        <v>45870</v>
      </c>
      <c r="H344" s="2">
        <v>45878</v>
      </c>
      <c r="I344" s="1" t="s">
        <v>39</v>
      </c>
      <c r="J344">
        <v>4</v>
      </c>
      <c r="K344">
        <v>8</v>
      </c>
      <c r="L344">
        <v>10</v>
      </c>
      <c r="M344" s="1" t="s">
        <v>24</v>
      </c>
      <c r="N344" s="2">
        <v>45870</v>
      </c>
      <c r="O344">
        <v>2025</v>
      </c>
      <c r="P344">
        <v>3</v>
      </c>
      <c r="Q344" s="1" t="s">
        <v>24</v>
      </c>
    </row>
    <row r="345" spans="1:17" x14ac:dyDescent="0.3">
      <c r="A345" s="1" t="s">
        <v>410</v>
      </c>
      <c r="B345" s="1" t="s">
        <v>26</v>
      </c>
      <c r="C345" s="1" t="s">
        <v>123</v>
      </c>
      <c r="D345" s="1" t="s">
        <v>51</v>
      </c>
      <c r="E345" s="1" t="s">
        <v>48</v>
      </c>
      <c r="F345" s="1" t="s">
        <v>31</v>
      </c>
      <c r="G345" s="2">
        <v>45890</v>
      </c>
      <c r="H345" s="2"/>
      <c r="I345" s="1" t="s">
        <v>32</v>
      </c>
      <c r="L345">
        <v>10</v>
      </c>
      <c r="M345" s="1" t="s">
        <v>40</v>
      </c>
      <c r="N345" s="2">
        <v>45870</v>
      </c>
      <c r="O345">
        <v>2025</v>
      </c>
      <c r="P345">
        <v>3</v>
      </c>
      <c r="Q345" s="1" t="s">
        <v>33</v>
      </c>
    </row>
    <row r="346" spans="1:17" x14ac:dyDescent="0.3">
      <c r="A346" s="1" t="s">
        <v>411</v>
      </c>
      <c r="B346" s="1" t="s">
        <v>26</v>
      </c>
      <c r="C346" s="1" t="s">
        <v>67</v>
      </c>
      <c r="D346" s="1" t="s">
        <v>44</v>
      </c>
      <c r="E346" s="1" t="s">
        <v>37</v>
      </c>
      <c r="F346" s="1" t="s">
        <v>31</v>
      </c>
      <c r="G346" s="2">
        <v>45705</v>
      </c>
      <c r="H346" s="2"/>
      <c r="I346" s="1" t="s">
        <v>32</v>
      </c>
      <c r="L346">
        <v>7</v>
      </c>
      <c r="M346" s="1" t="s">
        <v>40</v>
      </c>
      <c r="N346" s="2">
        <v>45689</v>
      </c>
      <c r="O346">
        <v>2025</v>
      </c>
      <c r="P346">
        <v>1</v>
      </c>
      <c r="Q346" s="1" t="s">
        <v>33</v>
      </c>
    </row>
    <row r="347" spans="1:17" x14ac:dyDescent="0.3">
      <c r="A347" s="1" t="s">
        <v>412</v>
      </c>
      <c r="B347" s="1" t="s">
        <v>42</v>
      </c>
      <c r="C347" s="1" t="s">
        <v>87</v>
      </c>
      <c r="D347" s="1" t="s">
        <v>20</v>
      </c>
      <c r="E347" s="1" t="s">
        <v>21</v>
      </c>
      <c r="F347" s="1" t="s">
        <v>52</v>
      </c>
      <c r="G347" s="2">
        <v>45766</v>
      </c>
      <c r="H347" s="2">
        <v>45776</v>
      </c>
      <c r="I347" s="1" t="s">
        <v>32</v>
      </c>
      <c r="J347">
        <v>3</v>
      </c>
      <c r="K347">
        <v>10</v>
      </c>
      <c r="L347">
        <v>14</v>
      </c>
      <c r="M347" s="1" t="s">
        <v>24</v>
      </c>
      <c r="N347" s="2">
        <v>45748</v>
      </c>
      <c r="O347">
        <v>2025</v>
      </c>
      <c r="P347">
        <v>2</v>
      </c>
      <c r="Q347" s="1" t="s">
        <v>24</v>
      </c>
    </row>
    <row r="348" spans="1:17" x14ac:dyDescent="0.3">
      <c r="A348" s="1" t="s">
        <v>413</v>
      </c>
      <c r="B348" s="1" t="s">
        <v>26</v>
      </c>
      <c r="C348" s="1" t="s">
        <v>54</v>
      </c>
      <c r="D348" s="1" t="s">
        <v>51</v>
      </c>
      <c r="E348" s="1" t="s">
        <v>21</v>
      </c>
      <c r="F348" s="1" t="s">
        <v>31</v>
      </c>
      <c r="G348" s="2">
        <v>45833</v>
      </c>
      <c r="H348" s="2">
        <v>45835</v>
      </c>
      <c r="I348" s="1" t="s">
        <v>23</v>
      </c>
      <c r="J348">
        <v>2</v>
      </c>
      <c r="K348">
        <v>2</v>
      </c>
      <c r="L348">
        <v>10</v>
      </c>
      <c r="M348" s="1" t="s">
        <v>24</v>
      </c>
      <c r="N348" s="2">
        <v>45809</v>
      </c>
      <c r="O348">
        <v>2025</v>
      </c>
      <c r="P348">
        <v>2</v>
      </c>
      <c r="Q348" s="1" t="s">
        <v>24</v>
      </c>
    </row>
    <row r="349" spans="1:17" x14ac:dyDescent="0.3">
      <c r="A349" s="1" t="s">
        <v>414</v>
      </c>
      <c r="B349" s="1" t="s">
        <v>42</v>
      </c>
      <c r="C349" s="1" t="s">
        <v>76</v>
      </c>
      <c r="D349" s="1" t="s">
        <v>51</v>
      </c>
      <c r="E349" s="1" t="s">
        <v>21</v>
      </c>
      <c r="F349" s="1" t="s">
        <v>61</v>
      </c>
      <c r="G349" s="2">
        <v>45877</v>
      </c>
      <c r="H349" s="2">
        <v>45882</v>
      </c>
      <c r="I349" s="1" t="s">
        <v>32</v>
      </c>
      <c r="J349">
        <v>5</v>
      </c>
      <c r="K349">
        <v>5</v>
      </c>
      <c r="L349">
        <v>10</v>
      </c>
      <c r="M349" s="1" t="s">
        <v>24</v>
      </c>
      <c r="N349" s="2">
        <v>45870</v>
      </c>
      <c r="O349">
        <v>2025</v>
      </c>
      <c r="P349">
        <v>3</v>
      </c>
      <c r="Q349" s="1" t="s">
        <v>24</v>
      </c>
    </row>
    <row r="350" spans="1:17" x14ac:dyDescent="0.3">
      <c r="A350" s="1" t="s">
        <v>415</v>
      </c>
      <c r="B350" s="1" t="s">
        <v>63</v>
      </c>
      <c r="C350" s="1" t="s">
        <v>84</v>
      </c>
      <c r="D350" s="1" t="s">
        <v>20</v>
      </c>
      <c r="E350" s="1" t="s">
        <v>21</v>
      </c>
      <c r="F350" s="1" t="s">
        <v>61</v>
      </c>
      <c r="G350" s="2">
        <v>45700</v>
      </c>
      <c r="H350" s="2">
        <v>45708</v>
      </c>
      <c r="I350" s="1" t="s">
        <v>23</v>
      </c>
      <c r="J350">
        <v>5</v>
      </c>
      <c r="K350">
        <v>8</v>
      </c>
      <c r="L350">
        <v>14</v>
      </c>
      <c r="M350" s="1" t="s">
        <v>24</v>
      </c>
      <c r="N350" s="2">
        <v>45689</v>
      </c>
      <c r="O350">
        <v>2025</v>
      </c>
      <c r="P350">
        <v>1</v>
      </c>
      <c r="Q350" s="1" t="s">
        <v>24</v>
      </c>
    </row>
    <row r="351" spans="1:17" x14ac:dyDescent="0.3">
      <c r="A351" s="1" t="s">
        <v>416</v>
      </c>
      <c r="B351" s="1" t="s">
        <v>58</v>
      </c>
      <c r="C351" s="1" t="s">
        <v>59</v>
      </c>
      <c r="D351" s="1" t="s">
        <v>44</v>
      </c>
      <c r="E351" s="1" t="s">
        <v>37</v>
      </c>
      <c r="F351" s="1" t="s">
        <v>38</v>
      </c>
      <c r="G351" s="2">
        <v>45877</v>
      </c>
      <c r="H351" s="2"/>
      <c r="I351" s="1" t="s">
        <v>23</v>
      </c>
      <c r="L351">
        <v>7</v>
      </c>
      <c r="M351" s="1" t="s">
        <v>40</v>
      </c>
      <c r="N351" s="2">
        <v>45870</v>
      </c>
      <c r="O351">
        <v>2025</v>
      </c>
      <c r="P351">
        <v>3</v>
      </c>
      <c r="Q351" s="1" t="s">
        <v>33</v>
      </c>
    </row>
    <row r="352" spans="1:17" x14ac:dyDescent="0.3">
      <c r="A352" s="1" t="s">
        <v>417</v>
      </c>
      <c r="B352" s="1" t="s">
        <v>42</v>
      </c>
      <c r="C352" s="1" t="s">
        <v>76</v>
      </c>
      <c r="D352" s="1" t="s">
        <v>51</v>
      </c>
      <c r="E352" s="1" t="s">
        <v>21</v>
      </c>
      <c r="F352" s="1" t="s">
        <v>38</v>
      </c>
      <c r="G352" s="2">
        <v>45773</v>
      </c>
      <c r="H352" s="2">
        <v>45783</v>
      </c>
      <c r="I352" s="1" t="s">
        <v>23</v>
      </c>
      <c r="J352">
        <v>5</v>
      </c>
      <c r="K352">
        <v>10</v>
      </c>
      <c r="L352">
        <v>10</v>
      </c>
      <c r="M352" s="1" t="s">
        <v>24</v>
      </c>
      <c r="N352" s="2">
        <v>45748</v>
      </c>
      <c r="O352">
        <v>2025</v>
      </c>
      <c r="P352">
        <v>2</v>
      </c>
      <c r="Q352" s="1" t="s">
        <v>24</v>
      </c>
    </row>
    <row r="353" spans="1:17" x14ac:dyDescent="0.3">
      <c r="A353" s="1" t="s">
        <v>418</v>
      </c>
      <c r="B353" s="1" t="s">
        <v>18</v>
      </c>
      <c r="C353" s="1" t="s">
        <v>56</v>
      </c>
      <c r="D353" s="1" t="s">
        <v>44</v>
      </c>
      <c r="E353" s="1" t="s">
        <v>48</v>
      </c>
      <c r="F353" s="1" t="s">
        <v>61</v>
      </c>
      <c r="G353" s="2">
        <v>45874</v>
      </c>
      <c r="H353" s="2"/>
      <c r="I353" s="1" t="s">
        <v>39</v>
      </c>
      <c r="L353">
        <v>7</v>
      </c>
      <c r="M353" s="1" t="s">
        <v>40</v>
      </c>
      <c r="N353" s="2">
        <v>45870</v>
      </c>
      <c r="O353">
        <v>2025</v>
      </c>
      <c r="P353">
        <v>3</v>
      </c>
      <c r="Q353" s="1" t="s">
        <v>33</v>
      </c>
    </row>
    <row r="354" spans="1:17" x14ac:dyDescent="0.3">
      <c r="A354" s="1" t="s">
        <v>419</v>
      </c>
      <c r="B354" s="1" t="s">
        <v>42</v>
      </c>
      <c r="C354" s="1" t="s">
        <v>76</v>
      </c>
      <c r="D354" s="1" t="s">
        <v>51</v>
      </c>
      <c r="E354" s="1" t="s">
        <v>21</v>
      </c>
      <c r="F354" s="1" t="s">
        <v>52</v>
      </c>
      <c r="G354" s="2">
        <v>45710</v>
      </c>
      <c r="H354" s="2">
        <v>45713</v>
      </c>
      <c r="I354" s="1" t="s">
        <v>28</v>
      </c>
      <c r="J354">
        <v>4</v>
      </c>
      <c r="K354">
        <v>3</v>
      </c>
      <c r="L354">
        <v>10</v>
      </c>
      <c r="M354" s="1" t="s">
        <v>24</v>
      </c>
      <c r="N354" s="2">
        <v>45689</v>
      </c>
      <c r="O354">
        <v>2025</v>
      </c>
      <c r="P354">
        <v>1</v>
      </c>
      <c r="Q354" s="1" t="s">
        <v>24</v>
      </c>
    </row>
    <row r="355" spans="1:17" x14ac:dyDescent="0.3">
      <c r="A355" s="1" t="s">
        <v>420</v>
      </c>
      <c r="B355" s="1" t="s">
        <v>58</v>
      </c>
      <c r="C355" s="1" t="s">
        <v>108</v>
      </c>
      <c r="D355" s="1" t="s">
        <v>51</v>
      </c>
      <c r="E355" s="1" t="s">
        <v>21</v>
      </c>
      <c r="F355" s="1" t="s">
        <v>22</v>
      </c>
      <c r="G355" s="2">
        <v>45693</v>
      </c>
      <c r="H355" s="2">
        <v>45703</v>
      </c>
      <c r="I355" s="1" t="s">
        <v>28</v>
      </c>
      <c r="J355">
        <v>4</v>
      </c>
      <c r="K355">
        <v>10</v>
      </c>
      <c r="L355">
        <v>10</v>
      </c>
      <c r="M355" s="1" t="s">
        <v>24</v>
      </c>
      <c r="N355" s="2">
        <v>45689</v>
      </c>
      <c r="O355">
        <v>2025</v>
      </c>
      <c r="P355">
        <v>1</v>
      </c>
      <c r="Q355" s="1" t="s">
        <v>24</v>
      </c>
    </row>
    <row r="356" spans="1:17" x14ac:dyDescent="0.3">
      <c r="A356" s="1" t="s">
        <v>421</v>
      </c>
      <c r="B356" s="1" t="s">
        <v>58</v>
      </c>
      <c r="C356" s="1" t="s">
        <v>59</v>
      </c>
      <c r="D356" s="1" t="s">
        <v>44</v>
      </c>
      <c r="E356" s="1" t="s">
        <v>21</v>
      </c>
      <c r="F356" s="1" t="s">
        <v>31</v>
      </c>
      <c r="G356" s="2">
        <v>45735</v>
      </c>
      <c r="H356" s="2">
        <v>45739</v>
      </c>
      <c r="I356" s="1" t="s">
        <v>28</v>
      </c>
      <c r="J356">
        <v>4</v>
      </c>
      <c r="K356">
        <v>4</v>
      </c>
      <c r="L356">
        <v>7</v>
      </c>
      <c r="M356" s="1" t="s">
        <v>24</v>
      </c>
      <c r="N356" s="2">
        <v>45717</v>
      </c>
      <c r="O356">
        <v>2025</v>
      </c>
      <c r="P356">
        <v>1</v>
      </c>
      <c r="Q356" s="1" t="s">
        <v>24</v>
      </c>
    </row>
    <row r="357" spans="1:17" x14ac:dyDescent="0.3">
      <c r="A357" s="1" t="s">
        <v>422</v>
      </c>
      <c r="B357" s="1" t="s">
        <v>42</v>
      </c>
      <c r="C357" s="1" t="s">
        <v>81</v>
      </c>
      <c r="D357" s="1" t="s">
        <v>20</v>
      </c>
      <c r="E357" s="1" t="s">
        <v>21</v>
      </c>
      <c r="F357" s="1" t="s">
        <v>52</v>
      </c>
      <c r="G357" s="2">
        <v>45854</v>
      </c>
      <c r="H357" s="2">
        <v>45862</v>
      </c>
      <c r="I357" s="1" t="s">
        <v>28</v>
      </c>
      <c r="J357">
        <v>5</v>
      </c>
      <c r="K357">
        <v>8</v>
      </c>
      <c r="L357">
        <v>14</v>
      </c>
      <c r="M357" s="1" t="s">
        <v>24</v>
      </c>
      <c r="N357" s="2">
        <v>45839</v>
      </c>
      <c r="O357">
        <v>2025</v>
      </c>
      <c r="P357">
        <v>3</v>
      </c>
      <c r="Q357" s="1" t="s">
        <v>24</v>
      </c>
    </row>
    <row r="358" spans="1:17" x14ac:dyDescent="0.3">
      <c r="A358" s="1" t="s">
        <v>423</v>
      </c>
      <c r="B358" s="1" t="s">
        <v>63</v>
      </c>
      <c r="C358" s="1" t="s">
        <v>84</v>
      </c>
      <c r="D358" s="1" t="s">
        <v>51</v>
      </c>
      <c r="E358" s="1" t="s">
        <v>21</v>
      </c>
      <c r="F358" s="1" t="s">
        <v>38</v>
      </c>
      <c r="G358" s="2">
        <v>45965</v>
      </c>
      <c r="H358" s="2">
        <v>45971</v>
      </c>
      <c r="I358" s="1" t="s">
        <v>32</v>
      </c>
      <c r="J358">
        <v>5</v>
      </c>
      <c r="K358">
        <v>6</v>
      </c>
      <c r="L358">
        <v>10</v>
      </c>
      <c r="M358" s="1" t="s">
        <v>24</v>
      </c>
      <c r="N358" s="2">
        <v>45962</v>
      </c>
      <c r="O358">
        <v>2025</v>
      </c>
      <c r="P358">
        <v>4</v>
      </c>
      <c r="Q358" s="1" t="s">
        <v>24</v>
      </c>
    </row>
    <row r="359" spans="1:17" x14ac:dyDescent="0.3">
      <c r="A359" s="1" t="s">
        <v>424</v>
      </c>
      <c r="B359" s="1" t="s">
        <v>63</v>
      </c>
      <c r="C359" s="1" t="s">
        <v>64</v>
      </c>
      <c r="D359" s="1" t="s">
        <v>44</v>
      </c>
      <c r="E359" s="1" t="s">
        <v>21</v>
      </c>
      <c r="F359" s="1" t="s">
        <v>61</v>
      </c>
      <c r="G359" s="2">
        <v>45685</v>
      </c>
      <c r="H359" s="2">
        <v>45692</v>
      </c>
      <c r="I359" s="1" t="s">
        <v>39</v>
      </c>
      <c r="J359">
        <v>5</v>
      </c>
      <c r="K359">
        <v>7</v>
      </c>
      <c r="L359">
        <v>7</v>
      </c>
      <c r="M359" s="1" t="s">
        <v>24</v>
      </c>
      <c r="N359" s="2">
        <v>45658</v>
      </c>
      <c r="O359">
        <v>2025</v>
      </c>
      <c r="P359">
        <v>1</v>
      </c>
      <c r="Q359" s="1" t="s">
        <v>24</v>
      </c>
    </row>
    <row r="360" spans="1:17" x14ac:dyDescent="0.3">
      <c r="A360" s="1" t="s">
        <v>425</v>
      </c>
      <c r="B360" s="1" t="s">
        <v>58</v>
      </c>
      <c r="C360" s="1" t="s">
        <v>70</v>
      </c>
      <c r="D360" s="1" t="s">
        <v>20</v>
      </c>
      <c r="E360" s="1" t="s">
        <v>21</v>
      </c>
      <c r="F360" s="1" t="s">
        <v>38</v>
      </c>
      <c r="G360" s="2">
        <v>45694</v>
      </c>
      <c r="H360" s="2">
        <v>45705</v>
      </c>
      <c r="I360" s="1" t="s">
        <v>32</v>
      </c>
      <c r="J360">
        <v>5</v>
      </c>
      <c r="K360">
        <v>11</v>
      </c>
      <c r="L360">
        <v>14</v>
      </c>
      <c r="M360" s="1" t="s">
        <v>24</v>
      </c>
      <c r="N360" s="2">
        <v>45689</v>
      </c>
      <c r="O360">
        <v>2025</v>
      </c>
      <c r="P360">
        <v>1</v>
      </c>
      <c r="Q360" s="1" t="s">
        <v>24</v>
      </c>
    </row>
    <row r="361" spans="1:17" x14ac:dyDescent="0.3">
      <c r="A361" s="1" t="s">
        <v>426</v>
      </c>
      <c r="B361" s="1" t="s">
        <v>35</v>
      </c>
      <c r="C361" s="1" t="s">
        <v>36</v>
      </c>
      <c r="D361" s="1" t="s">
        <v>51</v>
      </c>
      <c r="E361" s="1" t="s">
        <v>37</v>
      </c>
      <c r="F361" s="1" t="s">
        <v>52</v>
      </c>
      <c r="G361" s="2">
        <v>45873</v>
      </c>
      <c r="H361" s="2"/>
      <c r="I361" s="1" t="s">
        <v>82</v>
      </c>
      <c r="L361">
        <v>10</v>
      </c>
      <c r="M361" s="1" t="s">
        <v>40</v>
      </c>
      <c r="N361" s="2">
        <v>45870</v>
      </c>
      <c r="O361">
        <v>2025</v>
      </c>
      <c r="P361">
        <v>3</v>
      </c>
      <c r="Q361" s="1" t="s">
        <v>33</v>
      </c>
    </row>
    <row r="362" spans="1:17" x14ac:dyDescent="0.3">
      <c r="A362" s="1" t="s">
        <v>427</v>
      </c>
      <c r="B362" s="1" t="s">
        <v>18</v>
      </c>
      <c r="C362" s="1" t="s">
        <v>47</v>
      </c>
      <c r="D362" s="1" t="s">
        <v>44</v>
      </c>
      <c r="E362" s="1" t="s">
        <v>48</v>
      </c>
      <c r="F362" s="1" t="s">
        <v>38</v>
      </c>
      <c r="G362" s="2">
        <v>45695</v>
      </c>
      <c r="H362" s="2"/>
      <c r="I362" s="1" t="s">
        <v>82</v>
      </c>
      <c r="L362">
        <v>7</v>
      </c>
      <c r="M362" s="1" t="s">
        <v>40</v>
      </c>
      <c r="N362" s="2">
        <v>45689</v>
      </c>
      <c r="O362">
        <v>2025</v>
      </c>
      <c r="P362">
        <v>1</v>
      </c>
      <c r="Q362" s="1" t="s">
        <v>33</v>
      </c>
    </row>
    <row r="363" spans="1:17" x14ac:dyDescent="0.3">
      <c r="A363" s="1" t="s">
        <v>428</v>
      </c>
      <c r="B363" s="1" t="s">
        <v>42</v>
      </c>
      <c r="C363" s="1" t="s">
        <v>81</v>
      </c>
      <c r="D363" s="1" t="s">
        <v>51</v>
      </c>
      <c r="E363" s="1" t="s">
        <v>21</v>
      </c>
      <c r="F363" s="1" t="s">
        <v>22</v>
      </c>
      <c r="G363" s="2">
        <v>45688</v>
      </c>
      <c r="H363" s="2">
        <v>45696</v>
      </c>
      <c r="I363" s="1" t="s">
        <v>39</v>
      </c>
      <c r="J363">
        <v>4</v>
      </c>
      <c r="K363">
        <v>8</v>
      </c>
      <c r="L363">
        <v>10</v>
      </c>
      <c r="M363" s="1" t="s">
        <v>24</v>
      </c>
      <c r="N363" s="2">
        <v>45658</v>
      </c>
      <c r="O363">
        <v>2025</v>
      </c>
      <c r="P363">
        <v>1</v>
      </c>
      <c r="Q363" s="1" t="s">
        <v>24</v>
      </c>
    </row>
    <row r="364" spans="1:17" x14ac:dyDescent="0.3">
      <c r="A364" s="1" t="s">
        <v>429</v>
      </c>
      <c r="B364" s="1" t="s">
        <v>58</v>
      </c>
      <c r="C364" s="1" t="s">
        <v>145</v>
      </c>
      <c r="D364" s="1" t="s">
        <v>20</v>
      </c>
      <c r="E364" s="1" t="s">
        <v>21</v>
      </c>
      <c r="F364" s="1" t="s">
        <v>52</v>
      </c>
      <c r="G364" s="2">
        <v>45973</v>
      </c>
      <c r="H364" s="2">
        <v>45978</v>
      </c>
      <c r="I364" s="1" t="s">
        <v>23</v>
      </c>
      <c r="J364">
        <v>3</v>
      </c>
      <c r="K364">
        <v>5</v>
      </c>
      <c r="L364">
        <v>14</v>
      </c>
      <c r="M364" s="1" t="s">
        <v>24</v>
      </c>
      <c r="N364" s="2">
        <v>45962</v>
      </c>
      <c r="O364">
        <v>2025</v>
      </c>
      <c r="P364">
        <v>4</v>
      </c>
      <c r="Q364" s="1" t="s">
        <v>24</v>
      </c>
    </row>
    <row r="365" spans="1:17" x14ac:dyDescent="0.3">
      <c r="A365" s="1" t="s">
        <v>430</v>
      </c>
      <c r="B365" s="1" t="s">
        <v>26</v>
      </c>
      <c r="C365" s="1" t="s">
        <v>54</v>
      </c>
      <c r="D365" s="1" t="s">
        <v>71</v>
      </c>
      <c r="E365" s="1" t="s">
        <v>21</v>
      </c>
      <c r="F365" s="1" t="s">
        <v>38</v>
      </c>
      <c r="G365" s="2">
        <v>45825</v>
      </c>
      <c r="H365" s="2">
        <v>45828</v>
      </c>
      <c r="I365" s="1" t="s">
        <v>32</v>
      </c>
      <c r="J365">
        <v>4</v>
      </c>
      <c r="K365">
        <v>3</v>
      </c>
      <c r="L365">
        <v>3</v>
      </c>
      <c r="M365" s="1" t="s">
        <v>24</v>
      </c>
      <c r="N365" s="2">
        <v>45809</v>
      </c>
      <c r="O365">
        <v>2025</v>
      </c>
      <c r="P365">
        <v>2</v>
      </c>
      <c r="Q365" s="1" t="s">
        <v>24</v>
      </c>
    </row>
    <row r="366" spans="1:17" x14ac:dyDescent="0.3">
      <c r="A366" s="1" t="s">
        <v>431</v>
      </c>
      <c r="B366" s="1" t="s">
        <v>18</v>
      </c>
      <c r="C366" s="1" t="s">
        <v>30</v>
      </c>
      <c r="D366" s="1" t="s">
        <v>44</v>
      </c>
      <c r="E366" s="1" t="s">
        <v>37</v>
      </c>
      <c r="F366" s="1" t="s">
        <v>61</v>
      </c>
      <c r="G366" s="2">
        <v>45687</v>
      </c>
      <c r="H366" s="2"/>
      <c r="I366" s="1" t="s">
        <v>23</v>
      </c>
      <c r="L366">
        <v>7</v>
      </c>
      <c r="M366" s="1" t="s">
        <v>40</v>
      </c>
      <c r="N366" s="2">
        <v>45658</v>
      </c>
      <c r="O366">
        <v>2025</v>
      </c>
      <c r="P366">
        <v>1</v>
      </c>
      <c r="Q366" s="1" t="s">
        <v>33</v>
      </c>
    </row>
    <row r="367" spans="1:17" x14ac:dyDescent="0.3">
      <c r="A367" s="1" t="s">
        <v>432</v>
      </c>
      <c r="B367" s="1" t="s">
        <v>58</v>
      </c>
      <c r="C367" s="1" t="s">
        <v>70</v>
      </c>
      <c r="D367" s="1" t="s">
        <v>51</v>
      </c>
      <c r="E367" s="1" t="s">
        <v>21</v>
      </c>
      <c r="F367" s="1" t="s">
        <v>61</v>
      </c>
      <c r="G367" s="2">
        <v>45816</v>
      </c>
      <c r="H367" s="2">
        <v>45820</v>
      </c>
      <c r="I367" s="1" t="s">
        <v>23</v>
      </c>
      <c r="J367">
        <v>3</v>
      </c>
      <c r="K367">
        <v>4</v>
      </c>
      <c r="L367">
        <v>10</v>
      </c>
      <c r="M367" s="1" t="s">
        <v>24</v>
      </c>
      <c r="N367" s="2">
        <v>45809</v>
      </c>
      <c r="O367">
        <v>2025</v>
      </c>
      <c r="P367">
        <v>2</v>
      </c>
      <c r="Q367" s="1" t="s">
        <v>24</v>
      </c>
    </row>
    <row r="368" spans="1:17" x14ac:dyDescent="0.3">
      <c r="A368" s="1" t="s">
        <v>433</v>
      </c>
      <c r="B368" s="1" t="s">
        <v>63</v>
      </c>
      <c r="C368" s="1" t="s">
        <v>89</v>
      </c>
      <c r="D368" s="1" t="s">
        <v>71</v>
      </c>
      <c r="E368" s="1" t="s">
        <v>21</v>
      </c>
      <c r="F368" s="1" t="s">
        <v>52</v>
      </c>
      <c r="G368" s="2">
        <v>45790</v>
      </c>
      <c r="H368" s="2">
        <v>45791</v>
      </c>
      <c r="I368" s="1" t="s">
        <v>23</v>
      </c>
      <c r="J368">
        <v>4</v>
      </c>
      <c r="K368">
        <v>1</v>
      </c>
      <c r="L368">
        <v>3</v>
      </c>
      <c r="M368" s="1" t="s">
        <v>24</v>
      </c>
      <c r="N368" s="2">
        <v>45778</v>
      </c>
      <c r="O368">
        <v>2025</v>
      </c>
      <c r="P368">
        <v>2</v>
      </c>
      <c r="Q368" s="1" t="s">
        <v>24</v>
      </c>
    </row>
    <row r="369" spans="1:17" x14ac:dyDescent="0.3">
      <c r="A369" s="1" t="s">
        <v>434</v>
      </c>
      <c r="B369" s="1" t="s">
        <v>42</v>
      </c>
      <c r="C369" s="1" t="s">
        <v>43</v>
      </c>
      <c r="D369" s="1" t="s">
        <v>44</v>
      </c>
      <c r="E369" s="1" t="s">
        <v>21</v>
      </c>
      <c r="F369" s="1" t="s">
        <v>22</v>
      </c>
      <c r="G369" s="2">
        <v>45690</v>
      </c>
      <c r="H369" s="2">
        <v>45693</v>
      </c>
      <c r="I369" s="1" t="s">
        <v>23</v>
      </c>
      <c r="J369">
        <v>5</v>
      </c>
      <c r="K369">
        <v>3</v>
      </c>
      <c r="L369">
        <v>7</v>
      </c>
      <c r="M369" s="1" t="s">
        <v>24</v>
      </c>
      <c r="N369" s="2">
        <v>45689</v>
      </c>
      <c r="O369">
        <v>2025</v>
      </c>
      <c r="P369">
        <v>1</v>
      </c>
      <c r="Q369" s="1" t="s">
        <v>24</v>
      </c>
    </row>
    <row r="370" spans="1:17" x14ac:dyDescent="0.3">
      <c r="A370" s="1" t="s">
        <v>435</v>
      </c>
      <c r="B370" s="1" t="s">
        <v>58</v>
      </c>
      <c r="C370" s="1" t="s">
        <v>145</v>
      </c>
      <c r="D370" s="1" t="s">
        <v>51</v>
      </c>
      <c r="E370" s="1" t="s">
        <v>21</v>
      </c>
      <c r="F370" s="1" t="s">
        <v>52</v>
      </c>
      <c r="G370" s="2">
        <v>45948</v>
      </c>
      <c r="H370" s="2">
        <v>45952</v>
      </c>
      <c r="I370" s="1" t="s">
        <v>23</v>
      </c>
      <c r="J370">
        <v>4</v>
      </c>
      <c r="K370">
        <v>4</v>
      </c>
      <c r="L370">
        <v>10</v>
      </c>
      <c r="M370" s="1" t="s">
        <v>24</v>
      </c>
      <c r="N370" s="2">
        <v>45931</v>
      </c>
      <c r="O370">
        <v>2025</v>
      </c>
      <c r="P370">
        <v>4</v>
      </c>
      <c r="Q370" s="1" t="s">
        <v>24</v>
      </c>
    </row>
    <row r="371" spans="1:17" x14ac:dyDescent="0.3">
      <c r="A371" s="1" t="s">
        <v>436</v>
      </c>
      <c r="B371" s="1" t="s">
        <v>26</v>
      </c>
      <c r="C371" s="1" t="s">
        <v>67</v>
      </c>
      <c r="D371" s="1" t="s">
        <v>20</v>
      </c>
      <c r="E371" s="1" t="s">
        <v>21</v>
      </c>
      <c r="F371" s="1" t="s">
        <v>31</v>
      </c>
      <c r="G371" s="2">
        <v>45680</v>
      </c>
      <c r="H371" s="2">
        <v>45683</v>
      </c>
      <c r="I371" s="1" t="s">
        <v>32</v>
      </c>
      <c r="J371">
        <v>3</v>
      </c>
      <c r="K371">
        <v>3</v>
      </c>
      <c r="L371">
        <v>14</v>
      </c>
      <c r="M371" s="1" t="s">
        <v>24</v>
      </c>
      <c r="N371" s="2">
        <v>45658</v>
      </c>
      <c r="O371">
        <v>2025</v>
      </c>
      <c r="P371">
        <v>1</v>
      </c>
      <c r="Q371" s="1" t="s">
        <v>24</v>
      </c>
    </row>
    <row r="372" spans="1:17" x14ac:dyDescent="0.3">
      <c r="A372" s="1" t="s">
        <v>437</v>
      </c>
      <c r="B372" s="1" t="s">
        <v>58</v>
      </c>
      <c r="C372" s="1" t="s">
        <v>108</v>
      </c>
      <c r="D372" s="1" t="s">
        <v>20</v>
      </c>
      <c r="E372" s="1" t="s">
        <v>48</v>
      </c>
      <c r="F372" s="1" t="s">
        <v>22</v>
      </c>
      <c r="G372" s="2">
        <v>45676</v>
      </c>
      <c r="H372" s="2"/>
      <c r="I372" s="1" t="s">
        <v>39</v>
      </c>
      <c r="L372">
        <v>14</v>
      </c>
      <c r="M372" s="1" t="s">
        <v>40</v>
      </c>
      <c r="N372" s="2">
        <v>45658</v>
      </c>
      <c r="O372">
        <v>2025</v>
      </c>
      <c r="P372">
        <v>1</v>
      </c>
      <c r="Q372" s="1" t="s">
        <v>33</v>
      </c>
    </row>
    <row r="373" spans="1:17" x14ac:dyDescent="0.3">
      <c r="A373" s="1" t="s">
        <v>438</v>
      </c>
      <c r="B373" s="1" t="s">
        <v>63</v>
      </c>
      <c r="C373" s="1" t="s">
        <v>84</v>
      </c>
      <c r="D373" s="1" t="s">
        <v>20</v>
      </c>
      <c r="E373" s="1" t="s">
        <v>48</v>
      </c>
      <c r="F373" s="1" t="s">
        <v>52</v>
      </c>
      <c r="G373" s="2">
        <v>45821</v>
      </c>
      <c r="H373" s="2"/>
      <c r="I373" s="1" t="s">
        <v>23</v>
      </c>
      <c r="L373">
        <v>14</v>
      </c>
      <c r="M373" s="1" t="s">
        <v>40</v>
      </c>
      <c r="N373" s="2">
        <v>45809</v>
      </c>
      <c r="O373">
        <v>2025</v>
      </c>
      <c r="P373">
        <v>2</v>
      </c>
      <c r="Q373" s="1" t="s">
        <v>33</v>
      </c>
    </row>
    <row r="374" spans="1:17" x14ac:dyDescent="0.3">
      <c r="A374" s="1" t="s">
        <v>439</v>
      </c>
      <c r="B374" s="1" t="s">
        <v>26</v>
      </c>
      <c r="C374" s="1" t="s">
        <v>123</v>
      </c>
      <c r="D374" s="1" t="s">
        <v>20</v>
      </c>
      <c r="E374" s="1" t="s">
        <v>21</v>
      </c>
      <c r="F374" s="1" t="s">
        <v>22</v>
      </c>
      <c r="G374" s="2">
        <v>45684</v>
      </c>
      <c r="H374" s="2">
        <v>45689</v>
      </c>
      <c r="I374" s="1" t="s">
        <v>23</v>
      </c>
      <c r="J374">
        <v>3</v>
      </c>
      <c r="K374">
        <v>5</v>
      </c>
      <c r="L374">
        <v>14</v>
      </c>
      <c r="M374" s="1" t="s">
        <v>24</v>
      </c>
      <c r="N374" s="2">
        <v>45658</v>
      </c>
      <c r="O374">
        <v>2025</v>
      </c>
      <c r="P374">
        <v>1</v>
      </c>
      <c r="Q374" s="1" t="s">
        <v>24</v>
      </c>
    </row>
    <row r="375" spans="1:17" x14ac:dyDescent="0.3">
      <c r="A375" s="1" t="s">
        <v>440</v>
      </c>
      <c r="B375" s="1" t="s">
        <v>58</v>
      </c>
      <c r="C375" s="1" t="s">
        <v>70</v>
      </c>
      <c r="D375" s="1" t="s">
        <v>44</v>
      </c>
      <c r="E375" s="1" t="s">
        <v>48</v>
      </c>
      <c r="F375" s="1" t="s">
        <v>52</v>
      </c>
      <c r="G375" s="2">
        <v>45817</v>
      </c>
      <c r="H375" s="2"/>
      <c r="I375" s="1" t="s">
        <v>23</v>
      </c>
      <c r="L375">
        <v>7</v>
      </c>
      <c r="M375" s="1" t="s">
        <v>40</v>
      </c>
      <c r="N375" s="2">
        <v>45809</v>
      </c>
      <c r="O375">
        <v>2025</v>
      </c>
      <c r="P375">
        <v>2</v>
      </c>
      <c r="Q375" s="1" t="s">
        <v>33</v>
      </c>
    </row>
    <row r="376" spans="1:17" x14ac:dyDescent="0.3">
      <c r="A376" s="1" t="s">
        <v>441</v>
      </c>
      <c r="B376" s="1" t="s">
        <v>26</v>
      </c>
      <c r="C376" s="1" t="s">
        <v>27</v>
      </c>
      <c r="D376" s="1" t="s">
        <v>20</v>
      </c>
      <c r="E376" s="1" t="s">
        <v>21</v>
      </c>
      <c r="F376" s="1" t="s">
        <v>22</v>
      </c>
      <c r="G376" s="2">
        <v>45946</v>
      </c>
      <c r="H376" s="2">
        <v>45961</v>
      </c>
      <c r="I376" s="1" t="s">
        <v>28</v>
      </c>
      <c r="J376">
        <v>4</v>
      </c>
      <c r="K376">
        <v>15</v>
      </c>
      <c r="L376">
        <v>14</v>
      </c>
      <c r="M376" s="1" t="s">
        <v>33</v>
      </c>
      <c r="N376" s="2">
        <v>45931</v>
      </c>
      <c r="O376">
        <v>2025</v>
      </c>
      <c r="P376">
        <v>4</v>
      </c>
      <c r="Q376" s="1" t="s">
        <v>24</v>
      </c>
    </row>
    <row r="377" spans="1:17" x14ac:dyDescent="0.3">
      <c r="A377" s="1" t="s">
        <v>442</v>
      </c>
      <c r="B377" s="1" t="s">
        <v>58</v>
      </c>
      <c r="C377" s="1" t="s">
        <v>59</v>
      </c>
      <c r="D377" s="1" t="s">
        <v>51</v>
      </c>
      <c r="E377" s="1" t="s">
        <v>21</v>
      </c>
      <c r="F377" s="1" t="s">
        <v>61</v>
      </c>
      <c r="G377" s="2">
        <v>45758</v>
      </c>
      <c r="H377" s="2">
        <v>45768</v>
      </c>
      <c r="I377" s="1" t="s">
        <v>28</v>
      </c>
      <c r="J377">
        <v>5</v>
      </c>
      <c r="K377">
        <v>10</v>
      </c>
      <c r="L377">
        <v>10</v>
      </c>
      <c r="M377" s="1" t="s">
        <v>24</v>
      </c>
      <c r="N377" s="2">
        <v>45748</v>
      </c>
      <c r="O377">
        <v>2025</v>
      </c>
      <c r="P377">
        <v>2</v>
      </c>
      <c r="Q377" s="1" t="s">
        <v>24</v>
      </c>
    </row>
    <row r="378" spans="1:17" x14ac:dyDescent="0.3">
      <c r="A378" s="1" t="s">
        <v>443</v>
      </c>
      <c r="B378" s="1" t="s">
        <v>42</v>
      </c>
      <c r="C378" s="1" t="s">
        <v>87</v>
      </c>
      <c r="D378" s="1" t="s">
        <v>20</v>
      </c>
      <c r="E378" s="1" t="s">
        <v>21</v>
      </c>
      <c r="F378" s="1" t="s">
        <v>52</v>
      </c>
      <c r="G378" s="2">
        <v>45983</v>
      </c>
      <c r="H378" s="2">
        <v>45997</v>
      </c>
      <c r="I378" s="1" t="s">
        <v>23</v>
      </c>
      <c r="J378">
        <v>5</v>
      </c>
      <c r="K378">
        <v>14</v>
      </c>
      <c r="L378">
        <v>14</v>
      </c>
      <c r="M378" s="1" t="s">
        <v>24</v>
      </c>
      <c r="N378" s="2">
        <v>45962</v>
      </c>
      <c r="O378">
        <v>2025</v>
      </c>
      <c r="P378">
        <v>4</v>
      </c>
      <c r="Q378" s="1" t="s">
        <v>24</v>
      </c>
    </row>
    <row r="379" spans="1:17" x14ac:dyDescent="0.3">
      <c r="A379" s="1" t="s">
        <v>444</v>
      </c>
      <c r="B379" s="1" t="s">
        <v>18</v>
      </c>
      <c r="C379" s="1" t="s">
        <v>30</v>
      </c>
      <c r="D379" s="1" t="s">
        <v>44</v>
      </c>
      <c r="E379" s="1" t="s">
        <v>21</v>
      </c>
      <c r="F379" s="1" t="s">
        <v>61</v>
      </c>
      <c r="G379" s="2">
        <v>45711</v>
      </c>
      <c r="H379" s="2">
        <v>45713</v>
      </c>
      <c r="I379" s="1" t="s">
        <v>39</v>
      </c>
      <c r="J379">
        <v>4</v>
      </c>
      <c r="K379">
        <v>2</v>
      </c>
      <c r="L379">
        <v>7</v>
      </c>
      <c r="M379" s="1" t="s">
        <v>24</v>
      </c>
      <c r="N379" s="2">
        <v>45689</v>
      </c>
      <c r="O379">
        <v>2025</v>
      </c>
      <c r="P379">
        <v>1</v>
      </c>
      <c r="Q379" s="1" t="s">
        <v>24</v>
      </c>
    </row>
    <row r="380" spans="1:17" x14ac:dyDescent="0.3">
      <c r="A380" s="1" t="s">
        <v>445</v>
      </c>
      <c r="B380" s="1" t="s">
        <v>58</v>
      </c>
      <c r="C380" s="1" t="s">
        <v>70</v>
      </c>
      <c r="D380" s="1" t="s">
        <v>71</v>
      </c>
      <c r="E380" s="1" t="s">
        <v>21</v>
      </c>
      <c r="F380" s="1" t="s">
        <v>61</v>
      </c>
      <c r="G380" s="2">
        <v>45801</v>
      </c>
      <c r="H380" s="2">
        <v>45801</v>
      </c>
      <c r="I380" s="1" t="s">
        <v>82</v>
      </c>
      <c r="J380">
        <v>2</v>
      </c>
      <c r="K380">
        <v>0</v>
      </c>
      <c r="L380">
        <v>3</v>
      </c>
      <c r="M380" s="1" t="s">
        <v>24</v>
      </c>
      <c r="N380" s="2">
        <v>45778</v>
      </c>
      <c r="O380">
        <v>2025</v>
      </c>
      <c r="P380">
        <v>2</v>
      </c>
      <c r="Q380" s="1" t="s">
        <v>24</v>
      </c>
    </row>
    <row r="381" spans="1:17" x14ac:dyDescent="0.3">
      <c r="A381" s="1" t="s">
        <v>446</v>
      </c>
      <c r="B381" s="1" t="s">
        <v>58</v>
      </c>
      <c r="C381" s="1" t="s">
        <v>59</v>
      </c>
      <c r="D381" s="1" t="s">
        <v>51</v>
      </c>
      <c r="E381" s="1" t="s">
        <v>37</v>
      </c>
      <c r="F381" s="1" t="s">
        <v>38</v>
      </c>
      <c r="G381" s="2">
        <v>45955</v>
      </c>
      <c r="H381" s="2"/>
      <c r="I381" s="1" t="s">
        <v>82</v>
      </c>
      <c r="L381">
        <v>10</v>
      </c>
      <c r="M381" s="1" t="s">
        <v>40</v>
      </c>
      <c r="N381" s="2">
        <v>45931</v>
      </c>
      <c r="O381">
        <v>2025</v>
      </c>
      <c r="P381">
        <v>4</v>
      </c>
      <c r="Q381" s="1" t="s">
        <v>33</v>
      </c>
    </row>
    <row r="382" spans="1:17" x14ac:dyDescent="0.3">
      <c r="A382" s="1" t="s">
        <v>447</v>
      </c>
      <c r="B382" s="1" t="s">
        <v>63</v>
      </c>
      <c r="C382" s="1" t="s">
        <v>89</v>
      </c>
      <c r="D382" s="1" t="s">
        <v>20</v>
      </c>
      <c r="E382" s="1" t="s">
        <v>21</v>
      </c>
      <c r="F382" s="1" t="s">
        <v>61</v>
      </c>
      <c r="G382" s="2">
        <v>45880</v>
      </c>
      <c r="H382" s="2">
        <v>45893</v>
      </c>
      <c r="I382" s="1" t="s">
        <v>32</v>
      </c>
      <c r="J382">
        <v>5</v>
      </c>
      <c r="K382">
        <v>13</v>
      </c>
      <c r="L382">
        <v>14</v>
      </c>
      <c r="M382" s="1" t="s">
        <v>24</v>
      </c>
      <c r="N382" s="2">
        <v>45870</v>
      </c>
      <c r="O382">
        <v>2025</v>
      </c>
      <c r="P382">
        <v>3</v>
      </c>
      <c r="Q382" s="1" t="s">
        <v>24</v>
      </c>
    </row>
    <row r="383" spans="1:17" x14ac:dyDescent="0.3">
      <c r="A383" s="1" t="s">
        <v>448</v>
      </c>
      <c r="B383" s="1" t="s">
        <v>35</v>
      </c>
      <c r="C383" s="1" t="s">
        <v>97</v>
      </c>
      <c r="D383" s="1" t="s">
        <v>44</v>
      </c>
      <c r="E383" s="1" t="s">
        <v>21</v>
      </c>
      <c r="F383" s="1" t="s">
        <v>61</v>
      </c>
      <c r="G383" s="2">
        <v>45825</v>
      </c>
      <c r="H383" s="2">
        <v>45828</v>
      </c>
      <c r="I383" s="1" t="s">
        <v>23</v>
      </c>
      <c r="J383">
        <v>4</v>
      </c>
      <c r="K383">
        <v>3</v>
      </c>
      <c r="L383">
        <v>7</v>
      </c>
      <c r="M383" s="1" t="s">
        <v>24</v>
      </c>
      <c r="N383" s="2">
        <v>45809</v>
      </c>
      <c r="O383">
        <v>2025</v>
      </c>
      <c r="P383">
        <v>2</v>
      </c>
      <c r="Q383" s="1" t="s">
        <v>24</v>
      </c>
    </row>
    <row r="384" spans="1:17" x14ac:dyDescent="0.3">
      <c r="A384" s="1" t="s">
        <v>449</v>
      </c>
      <c r="B384" s="1" t="s">
        <v>63</v>
      </c>
      <c r="C384" s="1" t="s">
        <v>64</v>
      </c>
      <c r="D384" s="1" t="s">
        <v>44</v>
      </c>
      <c r="E384" s="1" t="s">
        <v>21</v>
      </c>
      <c r="F384" s="1" t="s">
        <v>31</v>
      </c>
      <c r="G384" s="2">
        <v>45737</v>
      </c>
      <c r="H384" s="2">
        <v>45738</v>
      </c>
      <c r="I384" s="1" t="s">
        <v>32</v>
      </c>
      <c r="J384">
        <v>3</v>
      </c>
      <c r="K384">
        <v>1</v>
      </c>
      <c r="L384">
        <v>7</v>
      </c>
      <c r="M384" s="1" t="s">
        <v>24</v>
      </c>
      <c r="N384" s="2">
        <v>45717</v>
      </c>
      <c r="O384">
        <v>2025</v>
      </c>
      <c r="P384">
        <v>1</v>
      </c>
      <c r="Q384" s="1" t="s">
        <v>24</v>
      </c>
    </row>
    <row r="385" spans="1:17" x14ac:dyDescent="0.3">
      <c r="A385" s="1" t="s">
        <v>450</v>
      </c>
      <c r="B385" s="1" t="s">
        <v>58</v>
      </c>
      <c r="C385" s="1" t="s">
        <v>70</v>
      </c>
      <c r="D385" s="1" t="s">
        <v>51</v>
      </c>
      <c r="E385" s="1" t="s">
        <v>48</v>
      </c>
      <c r="F385" s="1" t="s">
        <v>31</v>
      </c>
      <c r="G385" s="2">
        <v>45764</v>
      </c>
      <c r="H385" s="2"/>
      <c r="I385" s="1" t="s">
        <v>32</v>
      </c>
      <c r="L385">
        <v>10</v>
      </c>
      <c r="M385" s="1" t="s">
        <v>40</v>
      </c>
      <c r="N385" s="2">
        <v>45748</v>
      </c>
      <c r="O385">
        <v>2025</v>
      </c>
      <c r="P385">
        <v>2</v>
      </c>
      <c r="Q385" s="1" t="s">
        <v>33</v>
      </c>
    </row>
    <row r="386" spans="1:17" x14ac:dyDescent="0.3">
      <c r="A386" s="1" t="s">
        <v>451</v>
      </c>
      <c r="B386" s="1" t="s">
        <v>58</v>
      </c>
      <c r="C386" s="1" t="s">
        <v>59</v>
      </c>
      <c r="D386" s="1" t="s">
        <v>44</v>
      </c>
      <c r="E386" s="1" t="s">
        <v>21</v>
      </c>
      <c r="F386" s="1" t="s">
        <v>22</v>
      </c>
      <c r="G386" s="2">
        <v>46009</v>
      </c>
      <c r="H386" s="2">
        <v>46012</v>
      </c>
      <c r="I386" s="1" t="s">
        <v>23</v>
      </c>
      <c r="J386">
        <v>5</v>
      </c>
      <c r="K386">
        <v>3</v>
      </c>
      <c r="L386">
        <v>7</v>
      </c>
      <c r="M386" s="1" t="s">
        <v>24</v>
      </c>
      <c r="N386" s="2">
        <v>45992</v>
      </c>
      <c r="O386">
        <v>2025</v>
      </c>
      <c r="P386">
        <v>4</v>
      </c>
      <c r="Q386" s="1" t="s">
        <v>24</v>
      </c>
    </row>
    <row r="387" spans="1:17" x14ac:dyDescent="0.3">
      <c r="A387" s="1" t="s">
        <v>452</v>
      </c>
      <c r="B387" s="1" t="s">
        <v>63</v>
      </c>
      <c r="C387" s="1" t="s">
        <v>84</v>
      </c>
      <c r="D387" s="1" t="s">
        <v>20</v>
      </c>
      <c r="E387" s="1" t="s">
        <v>21</v>
      </c>
      <c r="F387" s="1" t="s">
        <v>52</v>
      </c>
      <c r="G387" s="2">
        <v>45840</v>
      </c>
      <c r="H387" s="2">
        <v>45849</v>
      </c>
      <c r="I387" s="1" t="s">
        <v>32</v>
      </c>
      <c r="J387">
        <v>4</v>
      </c>
      <c r="K387">
        <v>9</v>
      </c>
      <c r="L387">
        <v>14</v>
      </c>
      <c r="M387" s="1" t="s">
        <v>24</v>
      </c>
      <c r="N387" s="2">
        <v>45839</v>
      </c>
      <c r="O387">
        <v>2025</v>
      </c>
      <c r="P387">
        <v>3</v>
      </c>
      <c r="Q387" s="1" t="s">
        <v>24</v>
      </c>
    </row>
    <row r="388" spans="1:17" x14ac:dyDescent="0.3">
      <c r="A388" s="1" t="s">
        <v>453</v>
      </c>
      <c r="B388" s="1" t="s">
        <v>63</v>
      </c>
      <c r="C388" s="1" t="s">
        <v>74</v>
      </c>
      <c r="D388" s="1" t="s">
        <v>71</v>
      </c>
      <c r="E388" s="1" t="s">
        <v>37</v>
      </c>
      <c r="F388" s="1" t="s">
        <v>22</v>
      </c>
      <c r="G388" s="2">
        <v>45942</v>
      </c>
      <c r="H388" s="2"/>
      <c r="I388" s="1" t="s">
        <v>28</v>
      </c>
      <c r="L388">
        <v>3</v>
      </c>
      <c r="M388" s="1" t="s">
        <v>40</v>
      </c>
      <c r="N388" s="2">
        <v>45931</v>
      </c>
      <c r="O388">
        <v>2025</v>
      </c>
      <c r="P388">
        <v>4</v>
      </c>
      <c r="Q388" s="1" t="s">
        <v>33</v>
      </c>
    </row>
    <row r="389" spans="1:17" x14ac:dyDescent="0.3">
      <c r="A389" s="1" t="s">
        <v>454</v>
      </c>
      <c r="B389" s="1" t="s">
        <v>42</v>
      </c>
      <c r="C389" s="1" t="s">
        <v>87</v>
      </c>
      <c r="D389" s="1" t="s">
        <v>20</v>
      </c>
      <c r="E389" s="1" t="s">
        <v>37</v>
      </c>
      <c r="F389" s="1" t="s">
        <v>38</v>
      </c>
      <c r="G389" s="2">
        <v>45720</v>
      </c>
      <c r="H389" s="2"/>
      <c r="I389" s="1" t="s">
        <v>23</v>
      </c>
      <c r="L389">
        <v>14</v>
      </c>
      <c r="M389" s="1" t="s">
        <v>40</v>
      </c>
      <c r="N389" s="2">
        <v>45717</v>
      </c>
      <c r="O389">
        <v>2025</v>
      </c>
      <c r="P389">
        <v>1</v>
      </c>
      <c r="Q389" s="1" t="s">
        <v>33</v>
      </c>
    </row>
    <row r="390" spans="1:17" x14ac:dyDescent="0.3">
      <c r="A390" s="1" t="s">
        <v>455</v>
      </c>
      <c r="B390" s="1" t="s">
        <v>63</v>
      </c>
      <c r="C390" s="1" t="s">
        <v>64</v>
      </c>
      <c r="D390" s="1" t="s">
        <v>20</v>
      </c>
      <c r="E390" s="1" t="s">
        <v>21</v>
      </c>
      <c r="F390" s="1" t="s">
        <v>38</v>
      </c>
      <c r="G390" s="2">
        <v>46009</v>
      </c>
      <c r="H390" s="2">
        <v>46022</v>
      </c>
      <c r="I390" s="1" t="s">
        <v>82</v>
      </c>
      <c r="J390">
        <v>5</v>
      </c>
      <c r="K390">
        <v>13</v>
      </c>
      <c r="L390">
        <v>14</v>
      </c>
      <c r="M390" s="1" t="s">
        <v>24</v>
      </c>
      <c r="N390" s="2">
        <v>45992</v>
      </c>
      <c r="O390">
        <v>2025</v>
      </c>
      <c r="P390">
        <v>4</v>
      </c>
      <c r="Q390" s="1" t="s">
        <v>24</v>
      </c>
    </row>
    <row r="391" spans="1:17" x14ac:dyDescent="0.3">
      <c r="A391" s="1" t="s">
        <v>456</v>
      </c>
      <c r="B391" s="1" t="s">
        <v>26</v>
      </c>
      <c r="C391" s="1" t="s">
        <v>123</v>
      </c>
      <c r="D391" s="1" t="s">
        <v>44</v>
      </c>
      <c r="E391" s="1" t="s">
        <v>21</v>
      </c>
      <c r="F391" s="1" t="s">
        <v>31</v>
      </c>
      <c r="G391" s="2">
        <v>45691</v>
      </c>
      <c r="H391" s="2">
        <v>45693</v>
      </c>
      <c r="I391" s="1" t="s">
        <v>28</v>
      </c>
      <c r="J391">
        <v>5</v>
      </c>
      <c r="K391">
        <v>2</v>
      </c>
      <c r="L391">
        <v>7</v>
      </c>
      <c r="M391" s="1" t="s">
        <v>24</v>
      </c>
      <c r="N391" s="2">
        <v>45689</v>
      </c>
      <c r="O391">
        <v>2025</v>
      </c>
      <c r="P391">
        <v>1</v>
      </c>
      <c r="Q391" s="1" t="s">
        <v>24</v>
      </c>
    </row>
    <row r="392" spans="1:17" x14ac:dyDescent="0.3">
      <c r="A392" s="1" t="s">
        <v>457</v>
      </c>
      <c r="B392" s="1" t="s">
        <v>42</v>
      </c>
      <c r="C392" s="1" t="s">
        <v>43</v>
      </c>
      <c r="D392" s="1" t="s">
        <v>20</v>
      </c>
      <c r="E392" s="1" t="s">
        <v>48</v>
      </c>
      <c r="F392" s="1" t="s">
        <v>61</v>
      </c>
      <c r="G392" s="2">
        <v>45683</v>
      </c>
      <c r="H392" s="2"/>
      <c r="I392" s="1" t="s">
        <v>82</v>
      </c>
      <c r="L392">
        <v>14</v>
      </c>
      <c r="M392" s="1" t="s">
        <v>40</v>
      </c>
      <c r="N392" s="2">
        <v>45658</v>
      </c>
      <c r="O392">
        <v>2025</v>
      </c>
      <c r="P392">
        <v>1</v>
      </c>
      <c r="Q392" s="1" t="s">
        <v>33</v>
      </c>
    </row>
    <row r="393" spans="1:17" x14ac:dyDescent="0.3">
      <c r="A393" s="1" t="s">
        <v>458</v>
      </c>
      <c r="B393" s="1" t="s">
        <v>58</v>
      </c>
      <c r="C393" s="1" t="s">
        <v>145</v>
      </c>
      <c r="D393" s="1" t="s">
        <v>51</v>
      </c>
      <c r="E393" s="1" t="s">
        <v>21</v>
      </c>
      <c r="F393" s="1" t="s">
        <v>61</v>
      </c>
      <c r="G393" s="2">
        <v>45876</v>
      </c>
      <c r="H393" s="2">
        <v>45880</v>
      </c>
      <c r="I393" s="1" t="s">
        <v>32</v>
      </c>
      <c r="J393">
        <v>4</v>
      </c>
      <c r="K393">
        <v>4</v>
      </c>
      <c r="L393">
        <v>10</v>
      </c>
      <c r="M393" s="1" t="s">
        <v>24</v>
      </c>
      <c r="N393" s="2">
        <v>45870</v>
      </c>
      <c r="O393">
        <v>2025</v>
      </c>
      <c r="P393">
        <v>3</v>
      </c>
      <c r="Q393" s="1" t="s">
        <v>24</v>
      </c>
    </row>
    <row r="394" spans="1:17" x14ac:dyDescent="0.3">
      <c r="A394" s="1" t="s">
        <v>459</v>
      </c>
      <c r="B394" s="1" t="s">
        <v>35</v>
      </c>
      <c r="C394" s="1" t="s">
        <v>50</v>
      </c>
      <c r="D394" s="1" t="s">
        <v>44</v>
      </c>
      <c r="E394" s="1" t="s">
        <v>21</v>
      </c>
      <c r="F394" s="1" t="s">
        <v>52</v>
      </c>
      <c r="G394" s="2">
        <v>45975</v>
      </c>
      <c r="H394" s="2">
        <v>45980</v>
      </c>
      <c r="I394" s="1" t="s">
        <v>39</v>
      </c>
      <c r="J394">
        <v>3</v>
      </c>
      <c r="K394">
        <v>5</v>
      </c>
      <c r="L394">
        <v>7</v>
      </c>
      <c r="M394" s="1" t="s">
        <v>24</v>
      </c>
      <c r="N394" s="2">
        <v>45962</v>
      </c>
      <c r="O394">
        <v>2025</v>
      </c>
      <c r="P394">
        <v>4</v>
      </c>
      <c r="Q394" s="1" t="s">
        <v>24</v>
      </c>
    </row>
    <row r="395" spans="1:17" x14ac:dyDescent="0.3">
      <c r="A395" s="1" t="s">
        <v>460</v>
      </c>
      <c r="B395" s="1" t="s">
        <v>58</v>
      </c>
      <c r="C395" s="1" t="s">
        <v>145</v>
      </c>
      <c r="D395" s="1" t="s">
        <v>20</v>
      </c>
      <c r="E395" s="1" t="s">
        <v>21</v>
      </c>
      <c r="F395" s="1" t="s">
        <v>22</v>
      </c>
      <c r="G395" s="2">
        <v>45728</v>
      </c>
      <c r="H395" s="2">
        <v>45737</v>
      </c>
      <c r="I395" s="1" t="s">
        <v>28</v>
      </c>
      <c r="J395">
        <v>3</v>
      </c>
      <c r="K395">
        <v>9</v>
      </c>
      <c r="L395">
        <v>14</v>
      </c>
      <c r="M395" s="1" t="s">
        <v>24</v>
      </c>
      <c r="N395" s="2">
        <v>45717</v>
      </c>
      <c r="O395">
        <v>2025</v>
      </c>
      <c r="P395">
        <v>1</v>
      </c>
      <c r="Q395" s="1" t="s">
        <v>24</v>
      </c>
    </row>
    <row r="396" spans="1:17" x14ac:dyDescent="0.3">
      <c r="A396" s="1" t="s">
        <v>461</v>
      </c>
      <c r="B396" s="1" t="s">
        <v>18</v>
      </c>
      <c r="C396" s="1" t="s">
        <v>19</v>
      </c>
      <c r="D396" s="1" t="s">
        <v>71</v>
      </c>
      <c r="E396" s="1" t="s">
        <v>37</v>
      </c>
      <c r="F396" s="1" t="s">
        <v>31</v>
      </c>
      <c r="G396" s="2">
        <v>45841</v>
      </c>
      <c r="H396" s="2"/>
      <c r="I396" s="1" t="s">
        <v>82</v>
      </c>
      <c r="L396">
        <v>3</v>
      </c>
      <c r="M396" s="1" t="s">
        <v>40</v>
      </c>
      <c r="N396" s="2">
        <v>45839</v>
      </c>
      <c r="O396">
        <v>2025</v>
      </c>
      <c r="P396">
        <v>3</v>
      </c>
      <c r="Q396" s="1" t="s">
        <v>33</v>
      </c>
    </row>
    <row r="397" spans="1:17" x14ac:dyDescent="0.3">
      <c r="A397" s="1" t="s">
        <v>462</v>
      </c>
      <c r="B397" s="1" t="s">
        <v>58</v>
      </c>
      <c r="C397" s="1" t="s">
        <v>59</v>
      </c>
      <c r="D397" s="1" t="s">
        <v>44</v>
      </c>
      <c r="E397" s="1" t="s">
        <v>21</v>
      </c>
      <c r="F397" s="1" t="s">
        <v>52</v>
      </c>
      <c r="G397" s="2">
        <v>45856</v>
      </c>
      <c r="H397" s="2">
        <v>45859</v>
      </c>
      <c r="I397" s="1" t="s">
        <v>82</v>
      </c>
      <c r="J397">
        <v>3</v>
      </c>
      <c r="K397">
        <v>3</v>
      </c>
      <c r="L397">
        <v>7</v>
      </c>
      <c r="M397" s="1" t="s">
        <v>24</v>
      </c>
      <c r="N397" s="2">
        <v>45839</v>
      </c>
      <c r="O397">
        <v>2025</v>
      </c>
      <c r="P397">
        <v>3</v>
      </c>
      <c r="Q397" s="1" t="s">
        <v>24</v>
      </c>
    </row>
    <row r="398" spans="1:17" x14ac:dyDescent="0.3">
      <c r="A398" s="1" t="s">
        <v>463</v>
      </c>
      <c r="B398" s="1" t="s">
        <v>63</v>
      </c>
      <c r="C398" s="1" t="s">
        <v>74</v>
      </c>
      <c r="D398" s="1" t="s">
        <v>44</v>
      </c>
      <c r="E398" s="1" t="s">
        <v>37</v>
      </c>
      <c r="F398" s="1" t="s">
        <v>31</v>
      </c>
      <c r="G398" s="2">
        <v>45687</v>
      </c>
      <c r="H398" s="2"/>
      <c r="I398" s="1" t="s">
        <v>82</v>
      </c>
      <c r="L398">
        <v>7</v>
      </c>
      <c r="M398" s="1" t="s">
        <v>40</v>
      </c>
      <c r="N398" s="2">
        <v>45658</v>
      </c>
      <c r="O398">
        <v>2025</v>
      </c>
      <c r="P398">
        <v>1</v>
      </c>
      <c r="Q398" s="1" t="s">
        <v>33</v>
      </c>
    </row>
    <row r="399" spans="1:17" x14ac:dyDescent="0.3">
      <c r="A399" s="1" t="s">
        <v>464</v>
      </c>
      <c r="B399" s="1" t="s">
        <v>35</v>
      </c>
      <c r="C399" s="1" t="s">
        <v>36</v>
      </c>
      <c r="D399" s="1" t="s">
        <v>71</v>
      </c>
      <c r="E399" s="1" t="s">
        <v>21</v>
      </c>
      <c r="F399" s="1" t="s">
        <v>38</v>
      </c>
      <c r="G399" s="2">
        <v>45994</v>
      </c>
      <c r="H399" s="2">
        <v>45995</v>
      </c>
      <c r="I399" s="1" t="s">
        <v>28</v>
      </c>
      <c r="J399">
        <v>3</v>
      </c>
      <c r="K399">
        <v>1</v>
      </c>
      <c r="L399">
        <v>3</v>
      </c>
      <c r="M399" s="1" t="s">
        <v>24</v>
      </c>
      <c r="N399" s="2">
        <v>45992</v>
      </c>
      <c r="O399">
        <v>2025</v>
      </c>
      <c r="P399">
        <v>4</v>
      </c>
      <c r="Q399" s="1" t="s">
        <v>24</v>
      </c>
    </row>
    <row r="400" spans="1:17" x14ac:dyDescent="0.3">
      <c r="A400" s="1" t="s">
        <v>465</v>
      </c>
      <c r="B400" s="1" t="s">
        <v>26</v>
      </c>
      <c r="C400" s="1" t="s">
        <v>27</v>
      </c>
      <c r="D400" s="1" t="s">
        <v>51</v>
      </c>
      <c r="E400" s="1" t="s">
        <v>37</v>
      </c>
      <c r="F400" s="1" t="s">
        <v>61</v>
      </c>
      <c r="G400" s="2">
        <v>45746</v>
      </c>
      <c r="H400" s="2"/>
      <c r="I400" s="1" t="s">
        <v>28</v>
      </c>
      <c r="L400">
        <v>10</v>
      </c>
      <c r="M400" s="1" t="s">
        <v>40</v>
      </c>
      <c r="N400" s="2">
        <v>45717</v>
      </c>
      <c r="O400">
        <v>2025</v>
      </c>
      <c r="P400">
        <v>1</v>
      </c>
      <c r="Q400" s="1" t="s">
        <v>33</v>
      </c>
    </row>
    <row r="401" spans="1:17" x14ac:dyDescent="0.3">
      <c r="A401" s="1" t="s">
        <v>466</v>
      </c>
      <c r="B401" s="1" t="s">
        <v>26</v>
      </c>
      <c r="C401" s="1" t="s">
        <v>123</v>
      </c>
      <c r="D401" s="1" t="s">
        <v>44</v>
      </c>
      <c r="E401" s="1" t="s">
        <v>21</v>
      </c>
      <c r="F401" s="1" t="s">
        <v>52</v>
      </c>
      <c r="G401" s="2">
        <v>45960</v>
      </c>
      <c r="H401" s="2">
        <v>45961</v>
      </c>
      <c r="I401" s="1" t="s">
        <v>82</v>
      </c>
      <c r="J401">
        <v>5</v>
      </c>
      <c r="K401">
        <v>1</v>
      </c>
      <c r="L401">
        <v>7</v>
      </c>
      <c r="M401" s="1" t="s">
        <v>24</v>
      </c>
      <c r="N401" s="2">
        <v>45931</v>
      </c>
      <c r="O401">
        <v>2025</v>
      </c>
      <c r="P401">
        <v>4</v>
      </c>
      <c r="Q401" s="1" t="s">
        <v>24</v>
      </c>
    </row>
    <row r="402" spans="1:17" x14ac:dyDescent="0.3">
      <c r="A402" s="1" t="s">
        <v>467</v>
      </c>
      <c r="B402" s="1" t="s">
        <v>26</v>
      </c>
      <c r="C402" s="1" t="s">
        <v>54</v>
      </c>
      <c r="D402" s="1" t="s">
        <v>51</v>
      </c>
      <c r="E402" s="1" t="s">
        <v>21</v>
      </c>
      <c r="F402" s="1" t="s">
        <v>31</v>
      </c>
      <c r="G402" s="2">
        <v>45910</v>
      </c>
      <c r="H402" s="2">
        <v>45920</v>
      </c>
      <c r="I402" s="1" t="s">
        <v>23</v>
      </c>
      <c r="J402">
        <v>4</v>
      </c>
      <c r="K402">
        <v>10</v>
      </c>
      <c r="L402">
        <v>10</v>
      </c>
      <c r="M402" s="1" t="s">
        <v>24</v>
      </c>
      <c r="N402" s="2">
        <v>45901</v>
      </c>
      <c r="O402">
        <v>2025</v>
      </c>
      <c r="P402">
        <v>3</v>
      </c>
      <c r="Q402" s="1" t="s">
        <v>24</v>
      </c>
    </row>
    <row r="403" spans="1:17" x14ac:dyDescent="0.3">
      <c r="A403" s="1" t="s">
        <v>468</v>
      </c>
      <c r="B403" s="1" t="s">
        <v>42</v>
      </c>
      <c r="C403" s="1" t="s">
        <v>81</v>
      </c>
      <c r="D403" s="1" t="s">
        <v>20</v>
      </c>
      <c r="E403" s="1" t="s">
        <v>21</v>
      </c>
      <c r="F403" s="1" t="s">
        <v>22</v>
      </c>
      <c r="G403" s="2">
        <v>45927</v>
      </c>
      <c r="H403" s="2">
        <v>45937</v>
      </c>
      <c r="I403" s="1" t="s">
        <v>28</v>
      </c>
      <c r="J403">
        <v>1</v>
      </c>
      <c r="K403">
        <v>10</v>
      </c>
      <c r="L403">
        <v>14</v>
      </c>
      <c r="M403" s="1" t="s">
        <v>24</v>
      </c>
      <c r="N403" s="2">
        <v>45901</v>
      </c>
      <c r="O403">
        <v>2025</v>
      </c>
      <c r="P403">
        <v>3</v>
      </c>
      <c r="Q403" s="1" t="s">
        <v>24</v>
      </c>
    </row>
    <row r="404" spans="1:17" x14ac:dyDescent="0.3">
      <c r="A404" s="1" t="s">
        <v>469</v>
      </c>
      <c r="B404" s="1" t="s">
        <v>63</v>
      </c>
      <c r="C404" s="1" t="s">
        <v>84</v>
      </c>
      <c r="D404" s="1" t="s">
        <v>44</v>
      </c>
      <c r="E404" s="1" t="s">
        <v>48</v>
      </c>
      <c r="F404" s="1" t="s">
        <v>38</v>
      </c>
      <c r="G404" s="2">
        <v>45823</v>
      </c>
      <c r="H404" s="2"/>
      <c r="I404" s="1" t="s">
        <v>23</v>
      </c>
      <c r="L404">
        <v>7</v>
      </c>
      <c r="M404" s="1" t="s">
        <v>40</v>
      </c>
      <c r="N404" s="2">
        <v>45809</v>
      </c>
      <c r="O404">
        <v>2025</v>
      </c>
      <c r="P404">
        <v>2</v>
      </c>
      <c r="Q404" s="1" t="s">
        <v>33</v>
      </c>
    </row>
    <row r="405" spans="1:17" x14ac:dyDescent="0.3">
      <c r="A405" s="1" t="s">
        <v>470</v>
      </c>
      <c r="B405" s="1" t="s">
        <v>63</v>
      </c>
      <c r="C405" s="1" t="s">
        <v>64</v>
      </c>
      <c r="D405" s="1" t="s">
        <v>44</v>
      </c>
      <c r="E405" s="1" t="s">
        <v>37</v>
      </c>
      <c r="F405" s="1" t="s">
        <v>38</v>
      </c>
      <c r="G405" s="2">
        <v>45844</v>
      </c>
      <c r="H405" s="2"/>
      <c r="I405" s="1" t="s">
        <v>32</v>
      </c>
      <c r="L405">
        <v>7</v>
      </c>
      <c r="M405" s="1" t="s">
        <v>40</v>
      </c>
      <c r="N405" s="2">
        <v>45839</v>
      </c>
      <c r="O405">
        <v>2025</v>
      </c>
      <c r="P405">
        <v>3</v>
      </c>
      <c r="Q405" s="1" t="s">
        <v>33</v>
      </c>
    </row>
    <row r="406" spans="1:17" x14ac:dyDescent="0.3">
      <c r="A406" s="1" t="s">
        <v>471</v>
      </c>
      <c r="B406" s="1" t="s">
        <v>18</v>
      </c>
      <c r="C406" s="1" t="s">
        <v>30</v>
      </c>
      <c r="D406" s="1" t="s">
        <v>51</v>
      </c>
      <c r="E406" s="1" t="s">
        <v>21</v>
      </c>
      <c r="F406" s="1" t="s">
        <v>31</v>
      </c>
      <c r="G406" s="2">
        <v>45823</v>
      </c>
      <c r="H406" s="2">
        <v>45827</v>
      </c>
      <c r="I406" s="1" t="s">
        <v>39</v>
      </c>
      <c r="J406">
        <v>5</v>
      </c>
      <c r="K406">
        <v>4</v>
      </c>
      <c r="L406">
        <v>10</v>
      </c>
      <c r="M406" s="1" t="s">
        <v>24</v>
      </c>
      <c r="N406" s="2">
        <v>45809</v>
      </c>
      <c r="O406">
        <v>2025</v>
      </c>
      <c r="P406">
        <v>2</v>
      </c>
      <c r="Q406" s="1" t="s">
        <v>24</v>
      </c>
    </row>
    <row r="407" spans="1:17" x14ac:dyDescent="0.3">
      <c r="A407" s="1" t="s">
        <v>472</v>
      </c>
      <c r="B407" s="1" t="s">
        <v>18</v>
      </c>
      <c r="C407" s="1" t="s">
        <v>56</v>
      </c>
      <c r="D407" s="1" t="s">
        <v>20</v>
      </c>
      <c r="E407" s="1" t="s">
        <v>48</v>
      </c>
      <c r="F407" s="1" t="s">
        <v>22</v>
      </c>
      <c r="G407" s="2">
        <v>46013</v>
      </c>
      <c r="H407" s="2"/>
      <c r="I407" s="1" t="s">
        <v>32</v>
      </c>
      <c r="L407">
        <v>14</v>
      </c>
      <c r="M407" s="1" t="s">
        <v>40</v>
      </c>
      <c r="N407" s="2">
        <v>45992</v>
      </c>
      <c r="O407">
        <v>2025</v>
      </c>
      <c r="P407">
        <v>4</v>
      </c>
      <c r="Q407" s="1" t="s">
        <v>33</v>
      </c>
    </row>
    <row r="408" spans="1:17" x14ac:dyDescent="0.3">
      <c r="A408" s="1" t="s">
        <v>473</v>
      </c>
      <c r="B408" s="1" t="s">
        <v>63</v>
      </c>
      <c r="C408" s="1" t="s">
        <v>64</v>
      </c>
      <c r="D408" s="1" t="s">
        <v>51</v>
      </c>
      <c r="E408" s="1" t="s">
        <v>21</v>
      </c>
      <c r="F408" s="1" t="s">
        <v>38</v>
      </c>
      <c r="G408" s="2">
        <v>45808</v>
      </c>
      <c r="H408" s="2">
        <v>45812</v>
      </c>
      <c r="I408" s="1" t="s">
        <v>82</v>
      </c>
      <c r="J408">
        <v>3</v>
      </c>
      <c r="K408">
        <v>4</v>
      </c>
      <c r="L408">
        <v>10</v>
      </c>
      <c r="M408" s="1" t="s">
        <v>24</v>
      </c>
      <c r="N408" s="2">
        <v>45778</v>
      </c>
      <c r="O408">
        <v>2025</v>
      </c>
      <c r="P408">
        <v>2</v>
      </c>
      <c r="Q408" s="1" t="s">
        <v>24</v>
      </c>
    </row>
    <row r="409" spans="1:17" x14ac:dyDescent="0.3">
      <c r="A409" s="1" t="s">
        <v>474</v>
      </c>
      <c r="B409" s="1" t="s">
        <v>58</v>
      </c>
      <c r="C409" s="1" t="s">
        <v>70</v>
      </c>
      <c r="D409" s="1" t="s">
        <v>20</v>
      </c>
      <c r="E409" s="1" t="s">
        <v>21</v>
      </c>
      <c r="F409" s="1" t="s">
        <v>38</v>
      </c>
      <c r="G409" s="2">
        <v>45971</v>
      </c>
      <c r="H409" s="2">
        <v>45977</v>
      </c>
      <c r="I409" s="1" t="s">
        <v>39</v>
      </c>
      <c r="J409">
        <v>4</v>
      </c>
      <c r="K409">
        <v>6</v>
      </c>
      <c r="L409">
        <v>14</v>
      </c>
      <c r="M409" s="1" t="s">
        <v>24</v>
      </c>
      <c r="N409" s="2">
        <v>45962</v>
      </c>
      <c r="O409">
        <v>2025</v>
      </c>
      <c r="P409">
        <v>4</v>
      </c>
      <c r="Q409" s="1" t="s">
        <v>24</v>
      </c>
    </row>
    <row r="410" spans="1:17" x14ac:dyDescent="0.3">
      <c r="A410" s="1" t="s">
        <v>475</v>
      </c>
      <c r="B410" s="1" t="s">
        <v>63</v>
      </c>
      <c r="C410" s="1" t="s">
        <v>84</v>
      </c>
      <c r="D410" s="1" t="s">
        <v>44</v>
      </c>
      <c r="E410" s="1" t="s">
        <v>21</v>
      </c>
      <c r="F410" s="1" t="s">
        <v>38</v>
      </c>
      <c r="G410" s="2">
        <v>45821</v>
      </c>
      <c r="H410" s="2">
        <v>45823</v>
      </c>
      <c r="I410" s="1" t="s">
        <v>32</v>
      </c>
      <c r="J410">
        <v>4</v>
      </c>
      <c r="K410">
        <v>2</v>
      </c>
      <c r="L410">
        <v>7</v>
      </c>
      <c r="M410" s="1" t="s">
        <v>24</v>
      </c>
      <c r="N410" s="2">
        <v>45809</v>
      </c>
      <c r="O410">
        <v>2025</v>
      </c>
      <c r="P410">
        <v>2</v>
      </c>
      <c r="Q410" s="1" t="s">
        <v>24</v>
      </c>
    </row>
    <row r="411" spans="1:17" x14ac:dyDescent="0.3">
      <c r="A411" s="1" t="s">
        <v>476</v>
      </c>
      <c r="B411" s="1" t="s">
        <v>58</v>
      </c>
      <c r="C411" s="1" t="s">
        <v>70</v>
      </c>
      <c r="D411" s="1" t="s">
        <v>51</v>
      </c>
      <c r="E411" s="1" t="s">
        <v>21</v>
      </c>
      <c r="F411" s="1" t="s">
        <v>38</v>
      </c>
      <c r="G411" s="2">
        <v>45692</v>
      </c>
      <c r="H411" s="2">
        <v>45699</v>
      </c>
      <c r="I411" s="1" t="s">
        <v>23</v>
      </c>
      <c r="J411">
        <v>3</v>
      </c>
      <c r="K411">
        <v>7</v>
      </c>
      <c r="L411">
        <v>10</v>
      </c>
      <c r="M411" s="1" t="s">
        <v>24</v>
      </c>
      <c r="N411" s="2">
        <v>45689</v>
      </c>
      <c r="O411">
        <v>2025</v>
      </c>
      <c r="P411">
        <v>1</v>
      </c>
      <c r="Q411" s="1" t="s">
        <v>24</v>
      </c>
    </row>
    <row r="412" spans="1:17" x14ac:dyDescent="0.3">
      <c r="A412" s="1" t="s">
        <v>477</v>
      </c>
      <c r="B412" s="1" t="s">
        <v>42</v>
      </c>
      <c r="C412" s="1" t="s">
        <v>87</v>
      </c>
      <c r="D412" s="1" t="s">
        <v>51</v>
      </c>
      <c r="E412" s="1" t="s">
        <v>21</v>
      </c>
      <c r="F412" s="1" t="s">
        <v>31</v>
      </c>
      <c r="G412" s="2">
        <v>45743</v>
      </c>
      <c r="H412" s="2">
        <v>45751</v>
      </c>
      <c r="I412" s="1" t="s">
        <v>32</v>
      </c>
      <c r="J412">
        <v>4</v>
      </c>
      <c r="K412">
        <v>8</v>
      </c>
      <c r="L412">
        <v>10</v>
      </c>
      <c r="M412" s="1" t="s">
        <v>24</v>
      </c>
      <c r="N412" s="2">
        <v>45717</v>
      </c>
      <c r="O412">
        <v>2025</v>
      </c>
      <c r="P412">
        <v>1</v>
      </c>
      <c r="Q412" s="1" t="s">
        <v>24</v>
      </c>
    </row>
    <row r="413" spans="1:17" x14ac:dyDescent="0.3">
      <c r="A413" s="1" t="s">
        <v>478</v>
      </c>
      <c r="B413" s="1" t="s">
        <v>26</v>
      </c>
      <c r="C413" s="1" t="s">
        <v>27</v>
      </c>
      <c r="D413" s="1" t="s">
        <v>20</v>
      </c>
      <c r="E413" s="1" t="s">
        <v>21</v>
      </c>
      <c r="F413" s="1" t="s">
        <v>61</v>
      </c>
      <c r="G413" s="2">
        <v>45953</v>
      </c>
      <c r="H413" s="2">
        <v>45966</v>
      </c>
      <c r="I413" s="1" t="s">
        <v>28</v>
      </c>
      <c r="J413">
        <v>5</v>
      </c>
      <c r="K413">
        <v>13</v>
      </c>
      <c r="L413">
        <v>14</v>
      </c>
      <c r="M413" s="1" t="s">
        <v>24</v>
      </c>
      <c r="N413" s="2">
        <v>45931</v>
      </c>
      <c r="O413">
        <v>2025</v>
      </c>
      <c r="P413">
        <v>4</v>
      </c>
      <c r="Q413" s="1" t="s">
        <v>24</v>
      </c>
    </row>
    <row r="414" spans="1:17" x14ac:dyDescent="0.3">
      <c r="A414" s="1" t="s">
        <v>479</v>
      </c>
      <c r="B414" s="1" t="s">
        <v>58</v>
      </c>
      <c r="C414" s="1" t="s">
        <v>70</v>
      </c>
      <c r="D414" s="1" t="s">
        <v>44</v>
      </c>
      <c r="E414" s="1" t="s">
        <v>21</v>
      </c>
      <c r="F414" s="1" t="s">
        <v>38</v>
      </c>
      <c r="G414" s="2">
        <v>45668</v>
      </c>
      <c r="H414" s="2">
        <v>45671</v>
      </c>
      <c r="I414" s="1" t="s">
        <v>23</v>
      </c>
      <c r="J414">
        <v>3</v>
      </c>
      <c r="K414">
        <v>3</v>
      </c>
      <c r="L414">
        <v>7</v>
      </c>
      <c r="M414" s="1" t="s">
        <v>24</v>
      </c>
      <c r="N414" s="2">
        <v>45658</v>
      </c>
      <c r="O414">
        <v>2025</v>
      </c>
      <c r="P414">
        <v>1</v>
      </c>
      <c r="Q414" s="1" t="s">
        <v>24</v>
      </c>
    </row>
    <row r="415" spans="1:17" x14ac:dyDescent="0.3">
      <c r="A415" s="1" t="s">
        <v>480</v>
      </c>
      <c r="B415" s="1" t="s">
        <v>35</v>
      </c>
      <c r="C415" s="1" t="s">
        <v>36</v>
      </c>
      <c r="D415" s="1" t="s">
        <v>44</v>
      </c>
      <c r="E415" s="1" t="s">
        <v>21</v>
      </c>
      <c r="F415" s="1" t="s">
        <v>38</v>
      </c>
      <c r="G415" s="2">
        <v>45696</v>
      </c>
      <c r="H415" s="2">
        <v>45701</v>
      </c>
      <c r="I415" s="1" t="s">
        <v>32</v>
      </c>
      <c r="J415">
        <v>5</v>
      </c>
      <c r="K415">
        <v>5</v>
      </c>
      <c r="L415">
        <v>7</v>
      </c>
      <c r="M415" s="1" t="s">
        <v>24</v>
      </c>
      <c r="N415" s="2">
        <v>45689</v>
      </c>
      <c r="O415">
        <v>2025</v>
      </c>
      <c r="P415">
        <v>1</v>
      </c>
      <c r="Q415" s="1" t="s">
        <v>24</v>
      </c>
    </row>
    <row r="416" spans="1:17" x14ac:dyDescent="0.3">
      <c r="A416" s="1" t="s">
        <v>481</v>
      </c>
      <c r="B416" s="1" t="s">
        <v>26</v>
      </c>
      <c r="C416" s="1" t="s">
        <v>27</v>
      </c>
      <c r="D416" s="1" t="s">
        <v>44</v>
      </c>
      <c r="E416" s="1" t="s">
        <v>21</v>
      </c>
      <c r="F416" s="1" t="s">
        <v>31</v>
      </c>
      <c r="G416" s="2">
        <v>45992</v>
      </c>
      <c r="H416" s="2">
        <v>45994</v>
      </c>
      <c r="I416" s="1" t="s">
        <v>28</v>
      </c>
      <c r="J416">
        <v>4</v>
      </c>
      <c r="K416">
        <v>2</v>
      </c>
      <c r="L416">
        <v>7</v>
      </c>
      <c r="M416" s="1" t="s">
        <v>24</v>
      </c>
      <c r="N416" s="2">
        <v>45992</v>
      </c>
      <c r="O416">
        <v>2025</v>
      </c>
      <c r="P416">
        <v>4</v>
      </c>
      <c r="Q416" s="1" t="s">
        <v>24</v>
      </c>
    </row>
    <row r="417" spans="1:17" x14ac:dyDescent="0.3">
      <c r="A417" s="1" t="s">
        <v>482</v>
      </c>
      <c r="B417" s="1" t="s">
        <v>42</v>
      </c>
      <c r="C417" s="1" t="s">
        <v>81</v>
      </c>
      <c r="D417" s="1" t="s">
        <v>51</v>
      </c>
      <c r="E417" s="1" t="s">
        <v>48</v>
      </c>
      <c r="F417" s="1" t="s">
        <v>22</v>
      </c>
      <c r="G417" s="2">
        <v>45867</v>
      </c>
      <c r="H417" s="2"/>
      <c r="I417" s="1" t="s">
        <v>82</v>
      </c>
      <c r="L417">
        <v>10</v>
      </c>
      <c r="M417" s="1" t="s">
        <v>40</v>
      </c>
      <c r="N417" s="2">
        <v>45839</v>
      </c>
      <c r="O417">
        <v>2025</v>
      </c>
      <c r="P417">
        <v>3</v>
      </c>
      <c r="Q417" s="1" t="s">
        <v>33</v>
      </c>
    </row>
    <row r="418" spans="1:17" x14ac:dyDescent="0.3">
      <c r="A418" s="1" t="s">
        <v>483</v>
      </c>
      <c r="B418" s="1" t="s">
        <v>35</v>
      </c>
      <c r="C418" s="1" t="s">
        <v>97</v>
      </c>
      <c r="D418" s="1" t="s">
        <v>51</v>
      </c>
      <c r="E418" s="1" t="s">
        <v>21</v>
      </c>
      <c r="F418" s="1" t="s">
        <v>61</v>
      </c>
      <c r="G418" s="2">
        <v>45859</v>
      </c>
      <c r="H418" s="2">
        <v>45869</v>
      </c>
      <c r="I418" s="1" t="s">
        <v>23</v>
      </c>
      <c r="J418">
        <v>5</v>
      </c>
      <c r="K418">
        <v>10</v>
      </c>
      <c r="L418">
        <v>10</v>
      </c>
      <c r="M418" s="1" t="s">
        <v>24</v>
      </c>
      <c r="N418" s="2">
        <v>45839</v>
      </c>
      <c r="O418">
        <v>2025</v>
      </c>
      <c r="P418">
        <v>3</v>
      </c>
      <c r="Q418" s="1" t="s">
        <v>24</v>
      </c>
    </row>
    <row r="419" spans="1:17" x14ac:dyDescent="0.3">
      <c r="A419" s="1" t="s">
        <v>484</v>
      </c>
      <c r="B419" s="1" t="s">
        <v>35</v>
      </c>
      <c r="C419" s="1" t="s">
        <v>99</v>
      </c>
      <c r="D419" s="1" t="s">
        <v>51</v>
      </c>
      <c r="E419" s="1" t="s">
        <v>21</v>
      </c>
      <c r="F419" s="1" t="s">
        <v>38</v>
      </c>
      <c r="G419" s="2">
        <v>45996</v>
      </c>
      <c r="H419" s="2">
        <v>46005</v>
      </c>
      <c r="I419" s="1" t="s">
        <v>28</v>
      </c>
      <c r="J419">
        <v>3</v>
      </c>
      <c r="K419">
        <v>9</v>
      </c>
      <c r="L419">
        <v>10</v>
      </c>
      <c r="M419" s="1" t="s">
        <v>24</v>
      </c>
      <c r="N419" s="2">
        <v>45992</v>
      </c>
      <c r="O419">
        <v>2025</v>
      </c>
      <c r="P419">
        <v>4</v>
      </c>
      <c r="Q419" s="1" t="s">
        <v>24</v>
      </c>
    </row>
    <row r="420" spans="1:17" x14ac:dyDescent="0.3">
      <c r="A420" s="1" t="s">
        <v>485</v>
      </c>
      <c r="B420" s="1" t="s">
        <v>63</v>
      </c>
      <c r="C420" s="1" t="s">
        <v>84</v>
      </c>
      <c r="D420" s="1" t="s">
        <v>71</v>
      </c>
      <c r="E420" s="1" t="s">
        <v>21</v>
      </c>
      <c r="F420" s="1" t="s">
        <v>31</v>
      </c>
      <c r="G420" s="2">
        <v>45717</v>
      </c>
      <c r="H420" s="2">
        <v>45719</v>
      </c>
      <c r="I420" s="1" t="s">
        <v>39</v>
      </c>
      <c r="J420">
        <v>5</v>
      </c>
      <c r="K420">
        <v>2</v>
      </c>
      <c r="L420">
        <v>3</v>
      </c>
      <c r="M420" s="1" t="s">
        <v>24</v>
      </c>
      <c r="N420" s="2">
        <v>45717</v>
      </c>
      <c r="O420">
        <v>2025</v>
      </c>
      <c r="P420">
        <v>1</v>
      </c>
      <c r="Q420" s="1" t="s">
        <v>24</v>
      </c>
    </row>
    <row r="421" spans="1:17" x14ac:dyDescent="0.3">
      <c r="A421" s="1" t="s">
        <v>486</v>
      </c>
      <c r="B421" s="1" t="s">
        <v>18</v>
      </c>
      <c r="C421" s="1" t="s">
        <v>56</v>
      </c>
      <c r="D421" s="1" t="s">
        <v>20</v>
      </c>
      <c r="E421" s="1" t="s">
        <v>21</v>
      </c>
      <c r="F421" s="1" t="s">
        <v>52</v>
      </c>
      <c r="G421" s="2">
        <v>45752</v>
      </c>
      <c r="H421" s="2">
        <v>45760</v>
      </c>
      <c r="I421" s="1" t="s">
        <v>28</v>
      </c>
      <c r="J421">
        <v>5</v>
      </c>
      <c r="K421">
        <v>8</v>
      </c>
      <c r="L421">
        <v>14</v>
      </c>
      <c r="M421" s="1" t="s">
        <v>24</v>
      </c>
      <c r="N421" s="2">
        <v>45748</v>
      </c>
      <c r="O421">
        <v>2025</v>
      </c>
      <c r="P421">
        <v>2</v>
      </c>
      <c r="Q421" s="1" t="s">
        <v>24</v>
      </c>
    </row>
    <row r="422" spans="1:17" x14ac:dyDescent="0.3">
      <c r="A422" s="1" t="s">
        <v>487</v>
      </c>
      <c r="B422" s="1" t="s">
        <v>58</v>
      </c>
      <c r="C422" s="1" t="s">
        <v>70</v>
      </c>
      <c r="D422" s="1" t="s">
        <v>51</v>
      </c>
      <c r="E422" s="1" t="s">
        <v>21</v>
      </c>
      <c r="F422" s="1" t="s">
        <v>61</v>
      </c>
      <c r="G422" s="2">
        <v>45773</v>
      </c>
      <c r="H422" s="2">
        <v>45779</v>
      </c>
      <c r="I422" s="1" t="s">
        <v>23</v>
      </c>
      <c r="J422">
        <v>4</v>
      </c>
      <c r="K422">
        <v>6</v>
      </c>
      <c r="L422">
        <v>10</v>
      </c>
      <c r="M422" s="1" t="s">
        <v>24</v>
      </c>
      <c r="N422" s="2">
        <v>45748</v>
      </c>
      <c r="O422">
        <v>2025</v>
      </c>
      <c r="P422">
        <v>2</v>
      </c>
      <c r="Q422" s="1" t="s">
        <v>24</v>
      </c>
    </row>
    <row r="423" spans="1:17" x14ac:dyDescent="0.3">
      <c r="A423" s="1" t="s">
        <v>488</v>
      </c>
      <c r="B423" s="1" t="s">
        <v>42</v>
      </c>
      <c r="C423" s="1" t="s">
        <v>43</v>
      </c>
      <c r="D423" s="1" t="s">
        <v>44</v>
      </c>
      <c r="E423" s="1" t="s">
        <v>21</v>
      </c>
      <c r="F423" s="1" t="s">
        <v>31</v>
      </c>
      <c r="G423" s="2">
        <v>45959</v>
      </c>
      <c r="H423" s="2">
        <v>45961</v>
      </c>
      <c r="I423" s="1" t="s">
        <v>82</v>
      </c>
      <c r="J423">
        <v>4</v>
      </c>
      <c r="K423">
        <v>2</v>
      </c>
      <c r="L423">
        <v>7</v>
      </c>
      <c r="M423" s="1" t="s">
        <v>24</v>
      </c>
      <c r="N423" s="2">
        <v>45931</v>
      </c>
      <c r="O423">
        <v>2025</v>
      </c>
      <c r="P423">
        <v>4</v>
      </c>
      <c r="Q423" s="1" t="s">
        <v>24</v>
      </c>
    </row>
    <row r="424" spans="1:17" x14ac:dyDescent="0.3">
      <c r="A424" s="1" t="s">
        <v>489</v>
      </c>
      <c r="B424" s="1" t="s">
        <v>58</v>
      </c>
      <c r="C424" s="1" t="s">
        <v>145</v>
      </c>
      <c r="D424" s="1" t="s">
        <v>51</v>
      </c>
      <c r="E424" s="1" t="s">
        <v>21</v>
      </c>
      <c r="F424" s="1" t="s">
        <v>38</v>
      </c>
      <c r="G424" s="2">
        <v>45811</v>
      </c>
      <c r="H424" s="2">
        <v>45814</v>
      </c>
      <c r="I424" s="1" t="s">
        <v>82</v>
      </c>
      <c r="J424">
        <v>4</v>
      </c>
      <c r="K424">
        <v>3</v>
      </c>
      <c r="L424">
        <v>10</v>
      </c>
      <c r="M424" s="1" t="s">
        <v>24</v>
      </c>
      <c r="N424" s="2">
        <v>45809</v>
      </c>
      <c r="O424">
        <v>2025</v>
      </c>
      <c r="P424">
        <v>2</v>
      </c>
      <c r="Q424" s="1" t="s">
        <v>24</v>
      </c>
    </row>
    <row r="425" spans="1:17" x14ac:dyDescent="0.3">
      <c r="A425" s="1" t="s">
        <v>490</v>
      </c>
      <c r="B425" s="1" t="s">
        <v>26</v>
      </c>
      <c r="C425" s="1" t="s">
        <v>54</v>
      </c>
      <c r="D425" s="1" t="s">
        <v>20</v>
      </c>
      <c r="E425" s="1" t="s">
        <v>37</v>
      </c>
      <c r="F425" s="1" t="s">
        <v>61</v>
      </c>
      <c r="G425" s="2">
        <v>45746</v>
      </c>
      <c r="H425" s="2"/>
      <c r="I425" s="1" t="s">
        <v>28</v>
      </c>
      <c r="L425">
        <v>14</v>
      </c>
      <c r="M425" s="1" t="s">
        <v>40</v>
      </c>
      <c r="N425" s="2">
        <v>45717</v>
      </c>
      <c r="O425">
        <v>2025</v>
      </c>
      <c r="P425">
        <v>1</v>
      </c>
      <c r="Q425" s="1" t="s">
        <v>33</v>
      </c>
    </row>
    <row r="426" spans="1:17" x14ac:dyDescent="0.3">
      <c r="A426" s="1" t="s">
        <v>491</v>
      </c>
      <c r="B426" s="1" t="s">
        <v>63</v>
      </c>
      <c r="C426" s="1" t="s">
        <v>64</v>
      </c>
      <c r="D426" s="1" t="s">
        <v>20</v>
      </c>
      <c r="E426" s="1" t="s">
        <v>21</v>
      </c>
      <c r="F426" s="1" t="s">
        <v>61</v>
      </c>
      <c r="G426" s="2">
        <v>46007</v>
      </c>
      <c r="H426" s="2">
        <v>46016</v>
      </c>
      <c r="I426" s="1" t="s">
        <v>82</v>
      </c>
      <c r="J426">
        <v>3</v>
      </c>
      <c r="K426">
        <v>9</v>
      </c>
      <c r="L426">
        <v>14</v>
      </c>
      <c r="M426" s="1" t="s">
        <v>24</v>
      </c>
      <c r="N426" s="2">
        <v>45992</v>
      </c>
      <c r="O426">
        <v>2025</v>
      </c>
      <c r="P426">
        <v>4</v>
      </c>
      <c r="Q426" s="1" t="s">
        <v>24</v>
      </c>
    </row>
    <row r="427" spans="1:17" x14ac:dyDescent="0.3">
      <c r="A427" s="1" t="s">
        <v>492</v>
      </c>
      <c r="B427" s="1" t="s">
        <v>35</v>
      </c>
      <c r="C427" s="1" t="s">
        <v>97</v>
      </c>
      <c r="D427" s="1" t="s">
        <v>44</v>
      </c>
      <c r="E427" s="1" t="s">
        <v>48</v>
      </c>
      <c r="F427" s="1" t="s">
        <v>38</v>
      </c>
      <c r="G427" s="2">
        <v>45692</v>
      </c>
      <c r="H427" s="2"/>
      <c r="I427" s="1" t="s">
        <v>39</v>
      </c>
      <c r="L427">
        <v>7</v>
      </c>
      <c r="M427" s="1" t="s">
        <v>40</v>
      </c>
      <c r="N427" s="2">
        <v>45689</v>
      </c>
      <c r="O427">
        <v>2025</v>
      </c>
      <c r="P427">
        <v>1</v>
      </c>
      <c r="Q427" s="1" t="s">
        <v>33</v>
      </c>
    </row>
    <row r="428" spans="1:17" x14ac:dyDescent="0.3">
      <c r="A428" s="1" t="s">
        <v>493</v>
      </c>
      <c r="B428" s="1" t="s">
        <v>26</v>
      </c>
      <c r="C428" s="1" t="s">
        <v>27</v>
      </c>
      <c r="D428" s="1" t="s">
        <v>51</v>
      </c>
      <c r="E428" s="1" t="s">
        <v>37</v>
      </c>
      <c r="F428" s="1" t="s">
        <v>31</v>
      </c>
      <c r="G428" s="2">
        <v>45924</v>
      </c>
      <c r="H428" s="2"/>
      <c r="I428" s="1" t="s">
        <v>23</v>
      </c>
      <c r="L428">
        <v>10</v>
      </c>
      <c r="M428" s="1" t="s">
        <v>40</v>
      </c>
      <c r="N428" s="2">
        <v>45901</v>
      </c>
      <c r="O428">
        <v>2025</v>
      </c>
      <c r="P428">
        <v>3</v>
      </c>
      <c r="Q428" s="1" t="s">
        <v>33</v>
      </c>
    </row>
    <row r="429" spans="1:17" x14ac:dyDescent="0.3">
      <c r="A429" s="1" t="s">
        <v>494</v>
      </c>
      <c r="B429" s="1" t="s">
        <v>18</v>
      </c>
      <c r="C429" s="1" t="s">
        <v>30</v>
      </c>
      <c r="D429" s="1" t="s">
        <v>20</v>
      </c>
      <c r="E429" s="1" t="s">
        <v>21</v>
      </c>
      <c r="F429" s="1" t="s">
        <v>38</v>
      </c>
      <c r="G429" s="2">
        <v>45948</v>
      </c>
      <c r="H429" s="2">
        <v>45960</v>
      </c>
      <c r="I429" s="1" t="s">
        <v>23</v>
      </c>
      <c r="J429">
        <v>4</v>
      </c>
      <c r="K429">
        <v>12</v>
      </c>
      <c r="L429">
        <v>14</v>
      </c>
      <c r="M429" s="1" t="s">
        <v>24</v>
      </c>
      <c r="N429" s="2">
        <v>45931</v>
      </c>
      <c r="O429">
        <v>2025</v>
      </c>
      <c r="P429">
        <v>4</v>
      </c>
      <c r="Q429" s="1" t="s">
        <v>24</v>
      </c>
    </row>
    <row r="430" spans="1:17" x14ac:dyDescent="0.3">
      <c r="A430" s="1" t="s">
        <v>495</v>
      </c>
      <c r="B430" s="1" t="s">
        <v>26</v>
      </c>
      <c r="C430" s="1" t="s">
        <v>67</v>
      </c>
      <c r="D430" s="1" t="s">
        <v>44</v>
      </c>
      <c r="E430" s="1" t="s">
        <v>48</v>
      </c>
      <c r="F430" s="1" t="s">
        <v>31</v>
      </c>
      <c r="G430" s="2">
        <v>45834</v>
      </c>
      <c r="H430" s="2"/>
      <c r="I430" s="1" t="s">
        <v>32</v>
      </c>
      <c r="L430">
        <v>7</v>
      </c>
      <c r="M430" s="1" t="s">
        <v>40</v>
      </c>
      <c r="N430" s="2">
        <v>45809</v>
      </c>
      <c r="O430">
        <v>2025</v>
      </c>
      <c r="P430">
        <v>2</v>
      </c>
      <c r="Q430" s="1" t="s">
        <v>33</v>
      </c>
    </row>
    <row r="431" spans="1:17" x14ac:dyDescent="0.3">
      <c r="A431" s="1" t="s">
        <v>496</v>
      </c>
      <c r="B431" s="1" t="s">
        <v>58</v>
      </c>
      <c r="C431" s="1" t="s">
        <v>145</v>
      </c>
      <c r="D431" s="1" t="s">
        <v>51</v>
      </c>
      <c r="E431" s="1" t="s">
        <v>21</v>
      </c>
      <c r="F431" s="1" t="s">
        <v>22</v>
      </c>
      <c r="G431" s="2">
        <v>45746</v>
      </c>
      <c r="H431" s="2">
        <v>45752</v>
      </c>
      <c r="I431" s="1" t="s">
        <v>82</v>
      </c>
      <c r="J431">
        <v>4</v>
      </c>
      <c r="K431">
        <v>6</v>
      </c>
      <c r="L431">
        <v>10</v>
      </c>
      <c r="M431" s="1" t="s">
        <v>24</v>
      </c>
      <c r="N431" s="2">
        <v>45717</v>
      </c>
      <c r="O431">
        <v>2025</v>
      </c>
      <c r="P431">
        <v>1</v>
      </c>
      <c r="Q431" s="1" t="s">
        <v>24</v>
      </c>
    </row>
    <row r="432" spans="1:17" x14ac:dyDescent="0.3">
      <c r="A432" s="1" t="s">
        <v>497</v>
      </c>
      <c r="B432" s="1" t="s">
        <v>18</v>
      </c>
      <c r="C432" s="1" t="s">
        <v>30</v>
      </c>
      <c r="D432" s="1" t="s">
        <v>20</v>
      </c>
      <c r="E432" s="1" t="s">
        <v>48</v>
      </c>
      <c r="F432" s="1" t="s">
        <v>61</v>
      </c>
      <c r="G432" s="2">
        <v>45827</v>
      </c>
      <c r="H432" s="2"/>
      <c r="I432" s="1" t="s">
        <v>23</v>
      </c>
      <c r="L432">
        <v>14</v>
      </c>
      <c r="M432" s="1" t="s">
        <v>40</v>
      </c>
      <c r="N432" s="2">
        <v>45809</v>
      </c>
      <c r="O432">
        <v>2025</v>
      </c>
      <c r="P432">
        <v>2</v>
      </c>
      <c r="Q432" s="1" t="s">
        <v>33</v>
      </c>
    </row>
    <row r="433" spans="1:17" x14ac:dyDescent="0.3">
      <c r="A433" s="1" t="s">
        <v>498</v>
      </c>
      <c r="B433" s="1" t="s">
        <v>18</v>
      </c>
      <c r="C433" s="1" t="s">
        <v>30</v>
      </c>
      <c r="D433" s="1" t="s">
        <v>44</v>
      </c>
      <c r="E433" s="1" t="s">
        <v>48</v>
      </c>
      <c r="F433" s="1" t="s">
        <v>52</v>
      </c>
      <c r="G433" s="2">
        <v>45668</v>
      </c>
      <c r="H433" s="2"/>
      <c r="I433" s="1" t="s">
        <v>32</v>
      </c>
      <c r="L433">
        <v>7</v>
      </c>
      <c r="M433" s="1" t="s">
        <v>40</v>
      </c>
      <c r="N433" s="2">
        <v>45658</v>
      </c>
      <c r="O433">
        <v>2025</v>
      </c>
      <c r="P433">
        <v>1</v>
      </c>
      <c r="Q433" s="1" t="s">
        <v>33</v>
      </c>
    </row>
    <row r="434" spans="1:17" x14ac:dyDescent="0.3">
      <c r="A434" s="1" t="s">
        <v>499</v>
      </c>
      <c r="B434" s="1" t="s">
        <v>35</v>
      </c>
      <c r="C434" s="1" t="s">
        <v>97</v>
      </c>
      <c r="D434" s="1" t="s">
        <v>44</v>
      </c>
      <c r="E434" s="1" t="s">
        <v>37</v>
      </c>
      <c r="F434" s="1" t="s">
        <v>38</v>
      </c>
      <c r="G434" s="2">
        <v>46008</v>
      </c>
      <c r="H434" s="2"/>
      <c r="I434" s="1" t="s">
        <v>28</v>
      </c>
      <c r="L434">
        <v>7</v>
      </c>
      <c r="M434" s="1" t="s">
        <v>40</v>
      </c>
      <c r="N434" s="2">
        <v>45992</v>
      </c>
      <c r="O434">
        <v>2025</v>
      </c>
      <c r="P434">
        <v>4</v>
      </c>
      <c r="Q434" s="1" t="s">
        <v>33</v>
      </c>
    </row>
    <row r="435" spans="1:17" x14ac:dyDescent="0.3">
      <c r="A435" s="1" t="s">
        <v>500</v>
      </c>
      <c r="B435" s="1" t="s">
        <v>63</v>
      </c>
      <c r="C435" s="1" t="s">
        <v>84</v>
      </c>
      <c r="D435" s="1" t="s">
        <v>71</v>
      </c>
      <c r="E435" s="1" t="s">
        <v>21</v>
      </c>
      <c r="F435" s="1" t="s">
        <v>22</v>
      </c>
      <c r="G435" s="2">
        <v>45822</v>
      </c>
      <c r="H435" s="2">
        <v>45824</v>
      </c>
      <c r="I435" s="1" t="s">
        <v>23</v>
      </c>
      <c r="J435">
        <v>5</v>
      </c>
      <c r="K435">
        <v>2</v>
      </c>
      <c r="L435">
        <v>3</v>
      </c>
      <c r="M435" s="1" t="s">
        <v>24</v>
      </c>
      <c r="N435" s="2">
        <v>45809</v>
      </c>
      <c r="O435">
        <v>2025</v>
      </c>
      <c r="P435">
        <v>2</v>
      </c>
      <c r="Q435" s="1" t="s">
        <v>24</v>
      </c>
    </row>
    <row r="436" spans="1:17" x14ac:dyDescent="0.3">
      <c r="A436" s="1" t="s">
        <v>501</v>
      </c>
      <c r="B436" s="1" t="s">
        <v>63</v>
      </c>
      <c r="C436" s="1" t="s">
        <v>89</v>
      </c>
      <c r="D436" s="1" t="s">
        <v>20</v>
      </c>
      <c r="E436" s="1" t="s">
        <v>37</v>
      </c>
      <c r="F436" s="1" t="s">
        <v>22</v>
      </c>
      <c r="G436" s="2">
        <v>45906</v>
      </c>
      <c r="H436" s="2"/>
      <c r="I436" s="1" t="s">
        <v>32</v>
      </c>
      <c r="L436">
        <v>14</v>
      </c>
      <c r="M436" s="1" t="s">
        <v>40</v>
      </c>
      <c r="N436" s="2">
        <v>45901</v>
      </c>
      <c r="O436">
        <v>2025</v>
      </c>
      <c r="P436">
        <v>3</v>
      </c>
      <c r="Q436" s="1" t="s">
        <v>33</v>
      </c>
    </row>
    <row r="437" spans="1:17" x14ac:dyDescent="0.3">
      <c r="A437" s="1" t="s">
        <v>502</v>
      </c>
      <c r="B437" s="1" t="s">
        <v>42</v>
      </c>
      <c r="C437" s="1" t="s">
        <v>76</v>
      </c>
      <c r="D437" s="1" t="s">
        <v>20</v>
      </c>
      <c r="E437" s="1" t="s">
        <v>21</v>
      </c>
      <c r="F437" s="1" t="s">
        <v>22</v>
      </c>
      <c r="G437" s="2">
        <v>45864</v>
      </c>
      <c r="H437" s="2">
        <v>45869</v>
      </c>
      <c r="I437" s="1" t="s">
        <v>82</v>
      </c>
      <c r="J437">
        <v>5</v>
      </c>
      <c r="K437">
        <v>5</v>
      </c>
      <c r="L437">
        <v>14</v>
      </c>
      <c r="M437" s="1" t="s">
        <v>24</v>
      </c>
      <c r="N437" s="2">
        <v>45839</v>
      </c>
      <c r="O437">
        <v>2025</v>
      </c>
      <c r="P437">
        <v>3</v>
      </c>
      <c r="Q437" s="1" t="s">
        <v>24</v>
      </c>
    </row>
    <row r="438" spans="1:17" x14ac:dyDescent="0.3">
      <c r="A438" s="1" t="s">
        <v>503</v>
      </c>
      <c r="B438" s="1" t="s">
        <v>42</v>
      </c>
      <c r="C438" s="1" t="s">
        <v>76</v>
      </c>
      <c r="D438" s="1" t="s">
        <v>20</v>
      </c>
      <c r="E438" s="1" t="s">
        <v>37</v>
      </c>
      <c r="F438" s="1" t="s">
        <v>61</v>
      </c>
      <c r="G438" s="2">
        <v>45687</v>
      </c>
      <c r="H438" s="2"/>
      <c r="I438" s="1" t="s">
        <v>23</v>
      </c>
      <c r="L438">
        <v>14</v>
      </c>
      <c r="M438" s="1" t="s">
        <v>40</v>
      </c>
      <c r="N438" s="2">
        <v>45658</v>
      </c>
      <c r="O438">
        <v>2025</v>
      </c>
      <c r="P438">
        <v>1</v>
      </c>
      <c r="Q438" s="1" t="s">
        <v>33</v>
      </c>
    </row>
    <row r="439" spans="1:17" x14ac:dyDescent="0.3">
      <c r="A439" s="1" t="s">
        <v>504</v>
      </c>
      <c r="B439" s="1" t="s">
        <v>58</v>
      </c>
      <c r="C439" s="1" t="s">
        <v>70</v>
      </c>
      <c r="D439" s="1" t="s">
        <v>44</v>
      </c>
      <c r="E439" s="1" t="s">
        <v>21</v>
      </c>
      <c r="F439" s="1" t="s">
        <v>22</v>
      </c>
      <c r="G439" s="2">
        <v>45798</v>
      </c>
      <c r="H439" s="2">
        <v>45801</v>
      </c>
      <c r="I439" s="1" t="s">
        <v>39</v>
      </c>
      <c r="J439">
        <v>5</v>
      </c>
      <c r="K439">
        <v>3</v>
      </c>
      <c r="L439">
        <v>7</v>
      </c>
      <c r="M439" s="1" t="s">
        <v>24</v>
      </c>
      <c r="N439" s="2">
        <v>45778</v>
      </c>
      <c r="O439">
        <v>2025</v>
      </c>
      <c r="P439">
        <v>2</v>
      </c>
      <c r="Q439" s="1" t="s">
        <v>24</v>
      </c>
    </row>
    <row r="440" spans="1:17" x14ac:dyDescent="0.3">
      <c r="A440" s="1" t="s">
        <v>505</v>
      </c>
      <c r="B440" s="1" t="s">
        <v>18</v>
      </c>
      <c r="C440" s="1" t="s">
        <v>19</v>
      </c>
      <c r="D440" s="1" t="s">
        <v>51</v>
      </c>
      <c r="E440" s="1" t="s">
        <v>21</v>
      </c>
      <c r="F440" s="1" t="s">
        <v>31</v>
      </c>
      <c r="G440" s="2">
        <v>45908</v>
      </c>
      <c r="H440" s="2">
        <v>45917</v>
      </c>
      <c r="I440" s="1" t="s">
        <v>82</v>
      </c>
      <c r="J440">
        <v>3</v>
      </c>
      <c r="K440">
        <v>9</v>
      </c>
      <c r="L440">
        <v>10</v>
      </c>
      <c r="M440" s="1" t="s">
        <v>24</v>
      </c>
      <c r="N440" s="2">
        <v>45901</v>
      </c>
      <c r="O440">
        <v>2025</v>
      </c>
      <c r="P440">
        <v>3</v>
      </c>
      <c r="Q440" s="1" t="s">
        <v>24</v>
      </c>
    </row>
    <row r="441" spans="1:17" x14ac:dyDescent="0.3">
      <c r="A441" s="1" t="s">
        <v>506</v>
      </c>
      <c r="B441" s="1" t="s">
        <v>26</v>
      </c>
      <c r="C441" s="1" t="s">
        <v>123</v>
      </c>
      <c r="D441" s="1" t="s">
        <v>51</v>
      </c>
      <c r="E441" s="1" t="s">
        <v>37</v>
      </c>
      <c r="F441" s="1" t="s">
        <v>38</v>
      </c>
      <c r="G441" s="2">
        <v>45790</v>
      </c>
      <c r="H441" s="2"/>
      <c r="I441" s="1" t="s">
        <v>32</v>
      </c>
      <c r="L441">
        <v>10</v>
      </c>
      <c r="M441" s="1" t="s">
        <v>40</v>
      </c>
      <c r="N441" s="2">
        <v>45778</v>
      </c>
      <c r="O441">
        <v>2025</v>
      </c>
      <c r="P441">
        <v>2</v>
      </c>
      <c r="Q441" s="1" t="s">
        <v>33</v>
      </c>
    </row>
    <row r="442" spans="1:17" x14ac:dyDescent="0.3">
      <c r="A442" s="1" t="s">
        <v>507</v>
      </c>
      <c r="B442" s="1" t="s">
        <v>42</v>
      </c>
      <c r="C442" s="1" t="s">
        <v>87</v>
      </c>
      <c r="D442" s="1" t="s">
        <v>20</v>
      </c>
      <c r="E442" s="1" t="s">
        <v>37</v>
      </c>
      <c r="F442" s="1" t="s">
        <v>61</v>
      </c>
      <c r="G442" s="2">
        <v>45767</v>
      </c>
      <c r="H442" s="2"/>
      <c r="I442" s="1" t="s">
        <v>28</v>
      </c>
      <c r="L442">
        <v>14</v>
      </c>
      <c r="M442" s="1" t="s">
        <v>40</v>
      </c>
      <c r="N442" s="2">
        <v>45748</v>
      </c>
      <c r="O442">
        <v>2025</v>
      </c>
      <c r="P442">
        <v>2</v>
      </c>
      <c r="Q442" s="1" t="s">
        <v>33</v>
      </c>
    </row>
    <row r="443" spans="1:17" x14ac:dyDescent="0.3">
      <c r="A443" s="1" t="s">
        <v>508</v>
      </c>
      <c r="B443" s="1" t="s">
        <v>18</v>
      </c>
      <c r="C443" s="1" t="s">
        <v>47</v>
      </c>
      <c r="D443" s="1" t="s">
        <v>51</v>
      </c>
      <c r="E443" s="1" t="s">
        <v>21</v>
      </c>
      <c r="F443" s="1" t="s">
        <v>61</v>
      </c>
      <c r="G443" s="2">
        <v>45668</v>
      </c>
      <c r="H443" s="2">
        <v>45670</v>
      </c>
      <c r="I443" s="1" t="s">
        <v>28</v>
      </c>
      <c r="J443">
        <v>4</v>
      </c>
      <c r="K443">
        <v>2</v>
      </c>
      <c r="L443">
        <v>10</v>
      </c>
      <c r="M443" s="1" t="s">
        <v>24</v>
      </c>
      <c r="N443" s="2">
        <v>45658</v>
      </c>
      <c r="O443">
        <v>2025</v>
      </c>
      <c r="P443">
        <v>1</v>
      </c>
      <c r="Q443" s="1" t="s">
        <v>24</v>
      </c>
    </row>
    <row r="444" spans="1:17" x14ac:dyDescent="0.3">
      <c r="A444" s="1" t="s">
        <v>509</v>
      </c>
      <c r="B444" s="1" t="s">
        <v>26</v>
      </c>
      <c r="C444" s="1" t="s">
        <v>67</v>
      </c>
      <c r="D444" s="1" t="s">
        <v>20</v>
      </c>
      <c r="E444" s="1" t="s">
        <v>21</v>
      </c>
      <c r="F444" s="1" t="s">
        <v>52</v>
      </c>
      <c r="G444" s="2">
        <v>45814</v>
      </c>
      <c r="H444" s="2">
        <v>45828</v>
      </c>
      <c r="I444" s="1" t="s">
        <v>39</v>
      </c>
      <c r="J444">
        <v>5</v>
      </c>
      <c r="K444">
        <v>14</v>
      </c>
      <c r="L444">
        <v>14</v>
      </c>
      <c r="M444" s="1" t="s">
        <v>24</v>
      </c>
      <c r="N444" s="2">
        <v>45809</v>
      </c>
      <c r="O444">
        <v>2025</v>
      </c>
      <c r="P444">
        <v>2</v>
      </c>
      <c r="Q444" s="1" t="s">
        <v>24</v>
      </c>
    </row>
    <row r="445" spans="1:17" x14ac:dyDescent="0.3">
      <c r="A445" s="1" t="s">
        <v>510</v>
      </c>
      <c r="B445" s="1" t="s">
        <v>58</v>
      </c>
      <c r="C445" s="1" t="s">
        <v>59</v>
      </c>
      <c r="D445" s="1" t="s">
        <v>51</v>
      </c>
      <c r="E445" s="1" t="s">
        <v>21</v>
      </c>
      <c r="F445" s="1" t="s">
        <v>31</v>
      </c>
      <c r="G445" s="2">
        <v>45812</v>
      </c>
      <c r="H445" s="2">
        <v>45822</v>
      </c>
      <c r="I445" s="1" t="s">
        <v>82</v>
      </c>
      <c r="J445">
        <v>5</v>
      </c>
      <c r="K445">
        <v>10</v>
      </c>
      <c r="L445">
        <v>10</v>
      </c>
      <c r="M445" s="1" t="s">
        <v>24</v>
      </c>
      <c r="N445" s="2">
        <v>45809</v>
      </c>
      <c r="O445">
        <v>2025</v>
      </c>
      <c r="P445">
        <v>2</v>
      </c>
      <c r="Q445" s="1" t="s">
        <v>24</v>
      </c>
    </row>
    <row r="446" spans="1:17" x14ac:dyDescent="0.3">
      <c r="A446" s="1" t="s">
        <v>511</v>
      </c>
      <c r="B446" s="1" t="s">
        <v>42</v>
      </c>
      <c r="C446" s="1" t="s">
        <v>81</v>
      </c>
      <c r="D446" s="1" t="s">
        <v>51</v>
      </c>
      <c r="E446" s="1" t="s">
        <v>21</v>
      </c>
      <c r="F446" s="1" t="s">
        <v>22</v>
      </c>
      <c r="G446" s="2">
        <v>45849</v>
      </c>
      <c r="H446" s="2">
        <v>45859</v>
      </c>
      <c r="I446" s="1" t="s">
        <v>32</v>
      </c>
      <c r="J446">
        <v>4</v>
      </c>
      <c r="K446">
        <v>10</v>
      </c>
      <c r="L446">
        <v>10</v>
      </c>
      <c r="M446" s="1" t="s">
        <v>24</v>
      </c>
      <c r="N446" s="2">
        <v>45839</v>
      </c>
      <c r="O446">
        <v>2025</v>
      </c>
      <c r="P446">
        <v>3</v>
      </c>
      <c r="Q446" s="1" t="s">
        <v>24</v>
      </c>
    </row>
    <row r="447" spans="1:17" x14ac:dyDescent="0.3">
      <c r="A447" s="1" t="s">
        <v>512</v>
      </c>
      <c r="B447" s="1" t="s">
        <v>35</v>
      </c>
      <c r="C447" s="1" t="s">
        <v>99</v>
      </c>
      <c r="D447" s="1" t="s">
        <v>51</v>
      </c>
      <c r="E447" s="1" t="s">
        <v>21</v>
      </c>
      <c r="F447" s="1" t="s">
        <v>52</v>
      </c>
      <c r="G447" s="2">
        <v>45799</v>
      </c>
      <c r="H447" s="2">
        <v>45806</v>
      </c>
      <c r="I447" s="1" t="s">
        <v>32</v>
      </c>
      <c r="J447">
        <v>5</v>
      </c>
      <c r="K447">
        <v>7</v>
      </c>
      <c r="L447">
        <v>10</v>
      </c>
      <c r="M447" s="1" t="s">
        <v>24</v>
      </c>
      <c r="N447" s="2">
        <v>45778</v>
      </c>
      <c r="O447">
        <v>2025</v>
      </c>
      <c r="P447">
        <v>2</v>
      </c>
      <c r="Q447" s="1" t="s">
        <v>24</v>
      </c>
    </row>
    <row r="448" spans="1:17" x14ac:dyDescent="0.3">
      <c r="A448" s="1" t="s">
        <v>513</v>
      </c>
      <c r="B448" s="1" t="s">
        <v>63</v>
      </c>
      <c r="C448" s="1" t="s">
        <v>64</v>
      </c>
      <c r="D448" s="1" t="s">
        <v>51</v>
      </c>
      <c r="E448" s="1" t="s">
        <v>21</v>
      </c>
      <c r="F448" s="1" t="s">
        <v>61</v>
      </c>
      <c r="G448" s="2">
        <v>45687</v>
      </c>
      <c r="H448" s="2">
        <v>45695</v>
      </c>
      <c r="I448" s="1" t="s">
        <v>23</v>
      </c>
      <c r="J448">
        <v>5</v>
      </c>
      <c r="K448">
        <v>8</v>
      </c>
      <c r="L448">
        <v>10</v>
      </c>
      <c r="M448" s="1" t="s">
        <v>24</v>
      </c>
      <c r="N448" s="2">
        <v>45658</v>
      </c>
      <c r="O448">
        <v>2025</v>
      </c>
      <c r="P448">
        <v>1</v>
      </c>
      <c r="Q448" s="1" t="s">
        <v>24</v>
      </c>
    </row>
    <row r="449" spans="1:17" x14ac:dyDescent="0.3">
      <c r="A449" s="1" t="s">
        <v>514</v>
      </c>
      <c r="B449" s="1" t="s">
        <v>18</v>
      </c>
      <c r="C449" s="1" t="s">
        <v>30</v>
      </c>
      <c r="D449" s="1" t="s">
        <v>71</v>
      </c>
      <c r="E449" s="1" t="s">
        <v>21</v>
      </c>
      <c r="F449" s="1" t="s">
        <v>38</v>
      </c>
      <c r="G449" s="2">
        <v>45872</v>
      </c>
      <c r="H449" s="2">
        <v>45875</v>
      </c>
      <c r="I449" s="1" t="s">
        <v>82</v>
      </c>
      <c r="J449">
        <v>4</v>
      </c>
      <c r="K449">
        <v>3</v>
      </c>
      <c r="L449">
        <v>3</v>
      </c>
      <c r="M449" s="1" t="s">
        <v>24</v>
      </c>
      <c r="N449" s="2">
        <v>45870</v>
      </c>
      <c r="O449">
        <v>2025</v>
      </c>
      <c r="P449">
        <v>3</v>
      </c>
      <c r="Q449" s="1" t="s">
        <v>24</v>
      </c>
    </row>
    <row r="450" spans="1:17" x14ac:dyDescent="0.3">
      <c r="A450" s="1" t="s">
        <v>515</v>
      </c>
      <c r="B450" s="1" t="s">
        <v>18</v>
      </c>
      <c r="C450" s="1" t="s">
        <v>47</v>
      </c>
      <c r="D450" s="1" t="s">
        <v>51</v>
      </c>
      <c r="E450" s="1" t="s">
        <v>21</v>
      </c>
      <c r="F450" s="1" t="s">
        <v>31</v>
      </c>
      <c r="G450" s="2">
        <v>46009</v>
      </c>
      <c r="H450" s="2">
        <v>46019</v>
      </c>
      <c r="I450" s="1" t="s">
        <v>32</v>
      </c>
      <c r="J450">
        <v>4</v>
      </c>
      <c r="K450">
        <v>10</v>
      </c>
      <c r="L450">
        <v>10</v>
      </c>
      <c r="M450" s="1" t="s">
        <v>24</v>
      </c>
      <c r="N450" s="2">
        <v>45992</v>
      </c>
      <c r="O450">
        <v>2025</v>
      </c>
      <c r="P450">
        <v>4</v>
      </c>
      <c r="Q450" s="1" t="s">
        <v>24</v>
      </c>
    </row>
    <row r="451" spans="1:17" x14ac:dyDescent="0.3">
      <c r="A451" s="1" t="s">
        <v>516</v>
      </c>
      <c r="B451" s="1" t="s">
        <v>26</v>
      </c>
      <c r="C451" s="1" t="s">
        <v>123</v>
      </c>
      <c r="D451" s="1" t="s">
        <v>44</v>
      </c>
      <c r="E451" s="1" t="s">
        <v>37</v>
      </c>
      <c r="F451" s="1" t="s">
        <v>61</v>
      </c>
      <c r="G451" s="2">
        <v>45943</v>
      </c>
      <c r="H451" s="2"/>
      <c r="I451" s="1" t="s">
        <v>32</v>
      </c>
      <c r="L451">
        <v>7</v>
      </c>
      <c r="M451" s="1" t="s">
        <v>40</v>
      </c>
      <c r="N451" s="2">
        <v>45931</v>
      </c>
      <c r="O451">
        <v>2025</v>
      </c>
      <c r="P451">
        <v>4</v>
      </c>
      <c r="Q451" s="1" t="s">
        <v>33</v>
      </c>
    </row>
    <row r="452" spans="1:17" x14ac:dyDescent="0.3">
      <c r="A452" s="1" t="s">
        <v>517</v>
      </c>
      <c r="B452" s="1" t="s">
        <v>42</v>
      </c>
      <c r="C452" s="1" t="s">
        <v>87</v>
      </c>
      <c r="D452" s="1" t="s">
        <v>20</v>
      </c>
      <c r="E452" s="1" t="s">
        <v>21</v>
      </c>
      <c r="F452" s="1" t="s">
        <v>52</v>
      </c>
      <c r="G452" s="2">
        <v>45944</v>
      </c>
      <c r="H452" s="2">
        <v>45959</v>
      </c>
      <c r="I452" s="1" t="s">
        <v>23</v>
      </c>
      <c r="J452">
        <v>5</v>
      </c>
      <c r="K452">
        <v>15</v>
      </c>
      <c r="L452">
        <v>14</v>
      </c>
      <c r="M452" s="1" t="s">
        <v>33</v>
      </c>
      <c r="N452" s="2">
        <v>45931</v>
      </c>
      <c r="O452">
        <v>2025</v>
      </c>
      <c r="P452">
        <v>4</v>
      </c>
      <c r="Q452" s="1" t="s">
        <v>24</v>
      </c>
    </row>
    <row r="453" spans="1:17" x14ac:dyDescent="0.3">
      <c r="A453" s="1" t="s">
        <v>518</v>
      </c>
      <c r="B453" s="1" t="s">
        <v>63</v>
      </c>
      <c r="C453" s="1" t="s">
        <v>84</v>
      </c>
      <c r="D453" s="1" t="s">
        <v>20</v>
      </c>
      <c r="E453" s="1" t="s">
        <v>48</v>
      </c>
      <c r="F453" s="1" t="s">
        <v>52</v>
      </c>
      <c r="G453" s="2">
        <v>45873</v>
      </c>
      <c r="H453" s="2"/>
      <c r="I453" s="1" t="s">
        <v>32</v>
      </c>
      <c r="L453">
        <v>14</v>
      </c>
      <c r="M453" s="1" t="s">
        <v>40</v>
      </c>
      <c r="N453" s="2">
        <v>45870</v>
      </c>
      <c r="O453">
        <v>2025</v>
      </c>
      <c r="P453">
        <v>3</v>
      </c>
      <c r="Q453" s="1" t="s">
        <v>33</v>
      </c>
    </row>
    <row r="454" spans="1:17" x14ac:dyDescent="0.3">
      <c r="A454" s="1" t="s">
        <v>519</v>
      </c>
      <c r="B454" s="1" t="s">
        <v>35</v>
      </c>
      <c r="C454" s="1" t="s">
        <v>97</v>
      </c>
      <c r="D454" s="1" t="s">
        <v>51</v>
      </c>
      <c r="E454" s="1" t="s">
        <v>21</v>
      </c>
      <c r="F454" s="1" t="s">
        <v>61</v>
      </c>
      <c r="G454" s="2">
        <v>45685</v>
      </c>
      <c r="H454" s="2">
        <v>45688</v>
      </c>
      <c r="I454" s="1" t="s">
        <v>82</v>
      </c>
      <c r="J454">
        <v>4</v>
      </c>
      <c r="K454">
        <v>3</v>
      </c>
      <c r="L454">
        <v>10</v>
      </c>
      <c r="M454" s="1" t="s">
        <v>24</v>
      </c>
      <c r="N454" s="2">
        <v>45658</v>
      </c>
      <c r="O454">
        <v>2025</v>
      </c>
      <c r="P454">
        <v>1</v>
      </c>
      <c r="Q454" s="1" t="s">
        <v>24</v>
      </c>
    </row>
    <row r="455" spans="1:17" x14ac:dyDescent="0.3">
      <c r="A455" s="1" t="s">
        <v>520</v>
      </c>
      <c r="B455" s="1" t="s">
        <v>42</v>
      </c>
      <c r="C455" s="1" t="s">
        <v>87</v>
      </c>
      <c r="D455" s="1" t="s">
        <v>51</v>
      </c>
      <c r="E455" s="1" t="s">
        <v>21</v>
      </c>
      <c r="F455" s="1" t="s">
        <v>52</v>
      </c>
      <c r="G455" s="2">
        <v>45735</v>
      </c>
      <c r="H455" s="2">
        <v>45739</v>
      </c>
      <c r="I455" s="1" t="s">
        <v>39</v>
      </c>
      <c r="J455">
        <v>5</v>
      </c>
      <c r="K455">
        <v>4</v>
      </c>
      <c r="L455">
        <v>10</v>
      </c>
      <c r="M455" s="1" t="s">
        <v>24</v>
      </c>
      <c r="N455" s="2">
        <v>45717</v>
      </c>
      <c r="O455">
        <v>2025</v>
      </c>
      <c r="P455">
        <v>1</v>
      </c>
      <c r="Q455" s="1" t="s">
        <v>24</v>
      </c>
    </row>
    <row r="456" spans="1:17" x14ac:dyDescent="0.3">
      <c r="A456" s="1" t="s">
        <v>521</v>
      </c>
      <c r="B456" s="1" t="s">
        <v>26</v>
      </c>
      <c r="C456" s="1" t="s">
        <v>27</v>
      </c>
      <c r="D456" s="1" t="s">
        <v>20</v>
      </c>
      <c r="E456" s="1" t="s">
        <v>48</v>
      </c>
      <c r="F456" s="1" t="s">
        <v>38</v>
      </c>
      <c r="G456" s="2">
        <v>45750</v>
      </c>
      <c r="H456" s="2"/>
      <c r="I456" s="1" t="s">
        <v>39</v>
      </c>
      <c r="L456">
        <v>14</v>
      </c>
      <c r="M456" s="1" t="s">
        <v>40</v>
      </c>
      <c r="N456" s="2">
        <v>45748</v>
      </c>
      <c r="O456">
        <v>2025</v>
      </c>
      <c r="P456">
        <v>2</v>
      </c>
      <c r="Q456" s="1" t="s">
        <v>33</v>
      </c>
    </row>
    <row r="457" spans="1:17" x14ac:dyDescent="0.3">
      <c r="A457" s="1" t="s">
        <v>522</v>
      </c>
      <c r="B457" s="1" t="s">
        <v>35</v>
      </c>
      <c r="C457" s="1" t="s">
        <v>36</v>
      </c>
      <c r="D457" s="1" t="s">
        <v>51</v>
      </c>
      <c r="E457" s="1" t="s">
        <v>21</v>
      </c>
      <c r="F457" s="1" t="s">
        <v>61</v>
      </c>
      <c r="G457" s="2">
        <v>45889</v>
      </c>
      <c r="H457" s="2">
        <v>45895</v>
      </c>
      <c r="I457" s="1" t="s">
        <v>82</v>
      </c>
      <c r="J457">
        <v>3</v>
      </c>
      <c r="K457">
        <v>6</v>
      </c>
      <c r="L457">
        <v>10</v>
      </c>
      <c r="M457" s="1" t="s">
        <v>24</v>
      </c>
      <c r="N457" s="2">
        <v>45870</v>
      </c>
      <c r="O457">
        <v>2025</v>
      </c>
      <c r="P457">
        <v>3</v>
      </c>
      <c r="Q457" s="1" t="s">
        <v>24</v>
      </c>
    </row>
    <row r="458" spans="1:17" x14ac:dyDescent="0.3">
      <c r="A458" s="1" t="s">
        <v>523</v>
      </c>
      <c r="B458" s="1" t="s">
        <v>63</v>
      </c>
      <c r="C458" s="1" t="s">
        <v>89</v>
      </c>
      <c r="D458" s="1" t="s">
        <v>44</v>
      </c>
      <c r="E458" s="1" t="s">
        <v>37</v>
      </c>
      <c r="F458" s="1" t="s">
        <v>22</v>
      </c>
      <c r="G458" s="2">
        <v>45724</v>
      </c>
      <c r="H458" s="2"/>
      <c r="I458" s="1" t="s">
        <v>39</v>
      </c>
      <c r="L458">
        <v>7</v>
      </c>
      <c r="M458" s="1" t="s">
        <v>40</v>
      </c>
      <c r="N458" s="2">
        <v>45717</v>
      </c>
      <c r="O458">
        <v>2025</v>
      </c>
      <c r="P458">
        <v>1</v>
      </c>
      <c r="Q458" s="1" t="s">
        <v>33</v>
      </c>
    </row>
    <row r="459" spans="1:17" x14ac:dyDescent="0.3">
      <c r="A459" s="1" t="s">
        <v>524</v>
      </c>
      <c r="B459" s="1" t="s">
        <v>18</v>
      </c>
      <c r="C459" s="1" t="s">
        <v>30</v>
      </c>
      <c r="D459" s="1" t="s">
        <v>51</v>
      </c>
      <c r="E459" s="1" t="s">
        <v>48</v>
      </c>
      <c r="F459" s="1" t="s">
        <v>38</v>
      </c>
      <c r="G459" s="2">
        <v>45854</v>
      </c>
      <c r="H459" s="2"/>
      <c r="I459" s="1" t="s">
        <v>23</v>
      </c>
      <c r="L459">
        <v>10</v>
      </c>
      <c r="M459" s="1" t="s">
        <v>40</v>
      </c>
      <c r="N459" s="2">
        <v>45839</v>
      </c>
      <c r="O459">
        <v>2025</v>
      </c>
      <c r="P459">
        <v>3</v>
      </c>
      <c r="Q459" s="1" t="s">
        <v>33</v>
      </c>
    </row>
    <row r="460" spans="1:17" x14ac:dyDescent="0.3">
      <c r="A460" s="1" t="s">
        <v>525</v>
      </c>
      <c r="B460" s="1" t="s">
        <v>26</v>
      </c>
      <c r="C460" s="1" t="s">
        <v>54</v>
      </c>
      <c r="D460" s="1" t="s">
        <v>44</v>
      </c>
      <c r="E460" s="1" t="s">
        <v>48</v>
      </c>
      <c r="F460" s="1" t="s">
        <v>22</v>
      </c>
      <c r="G460" s="2">
        <v>45822</v>
      </c>
      <c r="H460" s="2"/>
      <c r="I460" s="1" t="s">
        <v>28</v>
      </c>
      <c r="L460">
        <v>7</v>
      </c>
      <c r="M460" s="1" t="s">
        <v>40</v>
      </c>
      <c r="N460" s="2">
        <v>45809</v>
      </c>
      <c r="O460">
        <v>2025</v>
      </c>
      <c r="P460">
        <v>2</v>
      </c>
      <c r="Q460" s="1" t="s">
        <v>33</v>
      </c>
    </row>
    <row r="461" spans="1:17" x14ac:dyDescent="0.3">
      <c r="A461" s="1" t="s">
        <v>526</v>
      </c>
      <c r="B461" s="1" t="s">
        <v>42</v>
      </c>
      <c r="C461" s="1" t="s">
        <v>81</v>
      </c>
      <c r="D461" s="1" t="s">
        <v>51</v>
      </c>
      <c r="E461" s="1" t="s">
        <v>21</v>
      </c>
      <c r="F461" s="1" t="s">
        <v>38</v>
      </c>
      <c r="G461" s="2">
        <v>46013</v>
      </c>
      <c r="H461" s="2">
        <v>46020</v>
      </c>
      <c r="I461" s="1" t="s">
        <v>39</v>
      </c>
      <c r="J461">
        <v>4</v>
      </c>
      <c r="K461">
        <v>7</v>
      </c>
      <c r="L461">
        <v>10</v>
      </c>
      <c r="M461" s="1" t="s">
        <v>24</v>
      </c>
      <c r="N461" s="2">
        <v>45992</v>
      </c>
      <c r="O461">
        <v>2025</v>
      </c>
      <c r="P461">
        <v>4</v>
      </c>
      <c r="Q461" s="1" t="s">
        <v>24</v>
      </c>
    </row>
    <row r="462" spans="1:17" x14ac:dyDescent="0.3">
      <c r="A462" s="1" t="s">
        <v>527</v>
      </c>
      <c r="B462" s="1" t="s">
        <v>26</v>
      </c>
      <c r="C462" s="1" t="s">
        <v>123</v>
      </c>
      <c r="D462" s="1" t="s">
        <v>20</v>
      </c>
      <c r="E462" s="1" t="s">
        <v>37</v>
      </c>
      <c r="F462" s="1" t="s">
        <v>52</v>
      </c>
      <c r="G462" s="2">
        <v>45810</v>
      </c>
      <c r="H462" s="2"/>
      <c r="I462" s="1" t="s">
        <v>39</v>
      </c>
      <c r="L462">
        <v>14</v>
      </c>
      <c r="M462" s="1" t="s">
        <v>40</v>
      </c>
      <c r="N462" s="2">
        <v>45809</v>
      </c>
      <c r="O462">
        <v>2025</v>
      </c>
      <c r="P462">
        <v>2</v>
      </c>
      <c r="Q462" s="1" t="s">
        <v>33</v>
      </c>
    </row>
    <row r="463" spans="1:17" x14ac:dyDescent="0.3">
      <c r="A463" s="1" t="s">
        <v>528</v>
      </c>
      <c r="B463" s="1" t="s">
        <v>18</v>
      </c>
      <c r="C463" s="1" t="s">
        <v>56</v>
      </c>
      <c r="D463" s="1" t="s">
        <v>51</v>
      </c>
      <c r="E463" s="1" t="s">
        <v>21</v>
      </c>
      <c r="F463" s="1" t="s">
        <v>31</v>
      </c>
      <c r="G463" s="2">
        <v>45726</v>
      </c>
      <c r="H463" s="2">
        <v>45733</v>
      </c>
      <c r="I463" s="1" t="s">
        <v>32</v>
      </c>
      <c r="J463">
        <v>5</v>
      </c>
      <c r="K463">
        <v>7</v>
      </c>
      <c r="L463">
        <v>10</v>
      </c>
      <c r="M463" s="1" t="s">
        <v>24</v>
      </c>
      <c r="N463" s="2">
        <v>45717</v>
      </c>
      <c r="O463">
        <v>2025</v>
      </c>
      <c r="P463">
        <v>1</v>
      </c>
      <c r="Q463" s="1" t="s">
        <v>24</v>
      </c>
    </row>
    <row r="464" spans="1:17" x14ac:dyDescent="0.3">
      <c r="A464" s="1" t="s">
        <v>529</v>
      </c>
      <c r="B464" s="1" t="s">
        <v>63</v>
      </c>
      <c r="C464" s="1" t="s">
        <v>64</v>
      </c>
      <c r="D464" s="1" t="s">
        <v>71</v>
      </c>
      <c r="E464" s="1" t="s">
        <v>48</v>
      </c>
      <c r="F464" s="1" t="s">
        <v>38</v>
      </c>
      <c r="G464" s="2">
        <v>45864</v>
      </c>
      <c r="H464" s="2"/>
      <c r="I464" s="1" t="s">
        <v>28</v>
      </c>
      <c r="L464">
        <v>3</v>
      </c>
      <c r="M464" s="1" t="s">
        <v>40</v>
      </c>
      <c r="N464" s="2">
        <v>45839</v>
      </c>
      <c r="O464">
        <v>2025</v>
      </c>
      <c r="P464">
        <v>3</v>
      </c>
      <c r="Q464" s="1" t="s">
        <v>33</v>
      </c>
    </row>
    <row r="465" spans="1:17" x14ac:dyDescent="0.3">
      <c r="A465" s="1" t="s">
        <v>530</v>
      </c>
      <c r="B465" s="1" t="s">
        <v>63</v>
      </c>
      <c r="C465" s="1" t="s">
        <v>64</v>
      </c>
      <c r="D465" s="1" t="s">
        <v>20</v>
      </c>
      <c r="E465" s="1" t="s">
        <v>21</v>
      </c>
      <c r="F465" s="1" t="s">
        <v>38</v>
      </c>
      <c r="G465" s="2">
        <v>45916</v>
      </c>
      <c r="H465" s="2">
        <v>45921</v>
      </c>
      <c r="I465" s="1" t="s">
        <v>39</v>
      </c>
      <c r="J465">
        <v>3</v>
      </c>
      <c r="K465">
        <v>5</v>
      </c>
      <c r="L465">
        <v>14</v>
      </c>
      <c r="M465" s="1" t="s">
        <v>24</v>
      </c>
      <c r="N465" s="2">
        <v>45901</v>
      </c>
      <c r="O465">
        <v>2025</v>
      </c>
      <c r="P465">
        <v>3</v>
      </c>
      <c r="Q465" s="1" t="s">
        <v>24</v>
      </c>
    </row>
    <row r="466" spans="1:17" x14ac:dyDescent="0.3">
      <c r="A466" s="1" t="s">
        <v>531</v>
      </c>
      <c r="B466" s="1" t="s">
        <v>18</v>
      </c>
      <c r="C466" s="1" t="s">
        <v>56</v>
      </c>
      <c r="D466" s="1" t="s">
        <v>44</v>
      </c>
      <c r="E466" s="1" t="s">
        <v>21</v>
      </c>
      <c r="F466" s="1" t="s">
        <v>38</v>
      </c>
      <c r="G466" s="2">
        <v>45962</v>
      </c>
      <c r="H466" s="2">
        <v>45963</v>
      </c>
      <c r="I466" s="1" t="s">
        <v>23</v>
      </c>
      <c r="J466">
        <v>5</v>
      </c>
      <c r="K466">
        <v>1</v>
      </c>
      <c r="L466">
        <v>7</v>
      </c>
      <c r="M466" s="1" t="s">
        <v>24</v>
      </c>
      <c r="N466" s="2">
        <v>45962</v>
      </c>
      <c r="O466">
        <v>2025</v>
      </c>
      <c r="P466">
        <v>4</v>
      </c>
      <c r="Q466" s="1" t="s">
        <v>24</v>
      </c>
    </row>
    <row r="467" spans="1:17" x14ac:dyDescent="0.3">
      <c r="A467" s="1" t="s">
        <v>532</v>
      </c>
      <c r="B467" s="1" t="s">
        <v>18</v>
      </c>
      <c r="C467" s="1" t="s">
        <v>19</v>
      </c>
      <c r="D467" s="1" t="s">
        <v>51</v>
      </c>
      <c r="E467" s="1" t="s">
        <v>21</v>
      </c>
      <c r="F467" s="1" t="s">
        <v>61</v>
      </c>
      <c r="G467" s="2">
        <v>45938</v>
      </c>
      <c r="H467" s="2">
        <v>45944</v>
      </c>
      <c r="I467" s="1" t="s">
        <v>28</v>
      </c>
      <c r="J467">
        <v>4</v>
      </c>
      <c r="K467">
        <v>6</v>
      </c>
      <c r="L467">
        <v>10</v>
      </c>
      <c r="M467" s="1" t="s">
        <v>24</v>
      </c>
      <c r="N467" s="2">
        <v>45931</v>
      </c>
      <c r="O467">
        <v>2025</v>
      </c>
      <c r="P467">
        <v>4</v>
      </c>
      <c r="Q467" s="1" t="s">
        <v>24</v>
      </c>
    </row>
    <row r="468" spans="1:17" x14ac:dyDescent="0.3">
      <c r="A468" s="1" t="s">
        <v>533</v>
      </c>
      <c r="B468" s="1" t="s">
        <v>18</v>
      </c>
      <c r="C468" s="1" t="s">
        <v>19</v>
      </c>
      <c r="D468" s="1" t="s">
        <v>51</v>
      </c>
      <c r="E468" s="1" t="s">
        <v>21</v>
      </c>
      <c r="F468" s="1" t="s">
        <v>22</v>
      </c>
      <c r="G468" s="2">
        <v>45997</v>
      </c>
      <c r="H468" s="2">
        <v>46007</v>
      </c>
      <c r="I468" s="1" t="s">
        <v>28</v>
      </c>
      <c r="J468">
        <v>3</v>
      </c>
      <c r="K468">
        <v>10</v>
      </c>
      <c r="L468">
        <v>10</v>
      </c>
      <c r="M468" s="1" t="s">
        <v>24</v>
      </c>
      <c r="N468" s="2">
        <v>45992</v>
      </c>
      <c r="O468">
        <v>2025</v>
      </c>
      <c r="P468">
        <v>4</v>
      </c>
      <c r="Q468" s="1" t="s">
        <v>24</v>
      </c>
    </row>
    <row r="469" spans="1:17" x14ac:dyDescent="0.3">
      <c r="A469" s="1" t="s">
        <v>534</v>
      </c>
      <c r="B469" s="1" t="s">
        <v>58</v>
      </c>
      <c r="C469" s="1" t="s">
        <v>70</v>
      </c>
      <c r="D469" s="1" t="s">
        <v>51</v>
      </c>
      <c r="E469" s="1" t="s">
        <v>21</v>
      </c>
      <c r="F469" s="1" t="s">
        <v>31</v>
      </c>
      <c r="G469" s="2">
        <v>45802</v>
      </c>
      <c r="H469" s="2">
        <v>45805</v>
      </c>
      <c r="I469" s="1" t="s">
        <v>28</v>
      </c>
      <c r="J469">
        <v>5</v>
      </c>
      <c r="K469">
        <v>3</v>
      </c>
      <c r="L469">
        <v>10</v>
      </c>
      <c r="M469" s="1" t="s">
        <v>24</v>
      </c>
      <c r="N469" s="2">
        <v>45778</v>
      </c>
      <c r="O469">
        <v>2025</v>
      </c>
      <c r="P469">
        <v>2</v>
      </c>
      <c r="Q469" s="1" t="s">
        <v>24</v>
      </c>
    </row>
    <row r="470" spans="1:17" x14ac:dyDescent="0.3">
      <c r="A470" s="1" t="s">
        <v>535</v>
      </c>
      <c r="B470" s="1" t="s">
        <v>26</v>
      </c>
      <c r="C470" s="1" t="s">
        <v>54</v>
      </c>
      <c r="D470" s="1" t="s">
        <v>44</v>
      </c>
      <c r="E470" s="1" t="s">
        <v>37</v>
      </c>
      <c r="F470" s="1" t="s">
        <v>52</v>
      </c>
      <c r="G470" s="2">
        <v>45761</v>
      </c>
      <c r="H470" s="2"/>
      <c r="I470" s="1" t="s">
        <v>39</v>
      </c>
      <c r="L470">
        <v>7</v>
      </c>
      <c r="M470" s="1" t="s">
        <v>40</v>
      </c>
      <c r="N470" s="2">
        <v>45748</v>
      </c>
      <c r="O470">
        <v>2025</v>
      </c>
      <c r="P470">
        <v>2</v>
      </c>
      <c r="Q470" s="1" t="s">
        <v>33</v>
      </c>
    </row>
    <row r="471" spans="1:17" x14ac:dyDescent="0.3">
      <c r="A471" s="1" t="s">
        <v>536</v>
      </c>
      <c r="B471" s="1" t="s">
        <v>35</v>
      </c>
      <c r="C471" s="1" t="s">
        <v>36</v>
      </c>
      <c r="D471" s="1" t="s">
        <v>20</v>
      </c>
      <c r="E471" s="1" t="s">
        <v>21</v>
      </c>
      <c r="F471" s="1" t="s">
        <v>52</v>
      </c>
      <c r="G471" s="2">
        <v>45764</v>
      </c>
      <c r="H471" s="2">
        <v>45778</v>
      </c>
      <c r="I471" s="1" t="s">
        <v>28</v>
      </c>
      <c r="J471">
        <v>5</v>
      </c>
      <c r="K471">
        <v>14</v>
      </c>
      <c r="L471">
        <v>14</v>
      </c>
      <c r="M471" s="1" t="s">
        <v>24</v>
      </c>
      <c r="N471" s="2">
        <v>45748</v>
      </c>
      <c r="O471">
        <v>2025</v>
      </c>
      <c r="P471">
        <v>2</v>
      </c>
      <c r="Q471" s="1" t="s">
        <v>24</v>
      </c>
    </row>
    <row r="472" spans="1:17" x14ac:dyDescent="0.3">
      <c r="A472" s="1" t="s">
        <v>537</v>
      </c>
      <c r="B472" s="1" t="s">
        <v>42</v>
      </c>
      <c r="C472" s="1" t="s">
        <v>81</v>
      </c>
      <c r="D472" s="1" t="s">
        <v>51</v>
      </c>
      <c r="E472" s="1" t="s">
        <v>48</v>
      </c>
      <c r="F472" s="1" t="s">
        <v>31</v>
      </c>
      <c r="G472" s="2">
        <v>45951</v>
      </c>
      <c r="H472" s="2"/>
      <c r="I472" s="1" t="s">
        <v>28</v>
      </c>
      <c r="L472">
        <v>10</v>
      </c>
      <c r="M472" s="1" t="s">
        <v>40</v>
      </c>
      <c r="N472" s="2">
        <v>45931</v>
      </c>
      <c r="O472">
        <v>2025</v>
      </c>
      <c r="P472">
        <v>4</v>
      </c>
      <c r="Q472" s="1" t="s">
        <v>33</v>
      </c>
    </row>
    <row r="473" spans="1:17" x14ac:dyDescent="0.3">
      <c r="A473" s="1" t="s">
        <v>538</v>
      </c>
      <c r="B473" s="1" t="s">
        <v>42</v>
      </c>
      <c r="C473" s="1" t="s">
        <v>81</v>
      </c>
      <c r="D473" s="1" t="s">
        <v>44</v>
      </c>
      <c r="E473" s="1" t="s">
        <v>21</v>
      </c>
      <c r="F473" s="1" t="s">
        <v>52</v>
      </c>
      <c r="G473" s="2">
        <v>45789</v>
      </c>
      <c r="H473" s="2">
        <v>45795</v>
      </c>
      <c r="I473" s="1" t="s">
        <v>32</v>
      </c>
      <c r="J473">
        <v>3</v>
      </c>
      <c r="K473">
        <v>6</v>
      </c>
      <c r="L473">
        <v>7</v>
      </c>
      <c r="M473" s="1" t="s">
        <v>24</v>
      </c>
      <c r="N473" s="2">
        <v>45778</v>
      </c>
      <c r="O473">
        <v>2025</v>
      </c>
      <c r="P473">
        <v>2</v>
      </c>
      <c r="Q473" s="1" t="s">
        <v>24</v>
      </c>
    </row>
    <row r="474" spans="1:17" x14ac:dyDescent="0.3">
      <c r="A474" s="1" t="s">
        <v>539</v>
      </c>
      <c r="B474" s="1" t="s">
        <v>58</v>
      </c>
      <c r="C474" s="1" t="s">
        <v>70</v>
      </c>
      <c r="D474" s="1" t="s">
        <v>20</v>
      </c>
      <c r="E474" s="1" t="s">
        <v>21</v>
      </c>
      <c r="F474" s="1" t="s">
        <v>52</v>
      </c>
      <c r="G474" s="2">
        <v>45678</v>
      </c>
      <c r="H474" s="2">
        <v>45685</v>
      </c>
      <c r="I474" s="1" t="s">
        <v>39</v>
      </c>
      <c r="J474">
        <v>4</v>
      </c>
      <c r="K474">
        <v>7</v>
      </c>
      <c r="L474">
        <v>14</v>
      </c>
      <c r="M474" s="1" t="s">
        <v>24</v>
      </c>
      <c r="N474" s="2">
        <v>45658</v>
      </c>
      <c r="O474">
        <v>2025</v>
      </c>
      <c r="P474">
        <v>1</v>
      </c>
      <c r="Q474" s="1" t="s">
        <v>24</v>
      </c>
    </row>
    <row r="475" spans="1:17" x14ac:dyDescent="0.3">
      <c r="A475" s="1" t="s">
        <v>540</v>
      </c>
      <c r="B475" s="1" t="s">
        <v>18</v>
      </c>
      <c r="C475" s="1" t="s">
        <v>19</v>
      </c>
      <c r="D475" s="1" t="s">
        <v>20</v>
      </c>
      <c r="E475" s="1" t="s">
        <v>37</v>
      </c>
      <c r="F475" s="1" t="s">
        <v>38</v>
      </c>
      <c r="G475" s="2">
        <v>45681</v>
      </c>
      <c r="H475" s="2"/>
      <c r="I475" s="1" t="s">
        <v>28</v>
      </c>
      <c r="L475">
        <v>14</v>
      </c>
      <c r="M475" s="1" t="s">
        <v>40</v>
      </c>
      <c r="N475" s="2">
        <v>45658</v>
      </c>
      <c r="O475">
        <v>2025</v>
      </c>
      <c r="P475">
        <v>1</v>
      </c>
      <c r="Q475" s="1" t="s">
        <v>33</v>
      </c>
    </row>
    <row r="476" spans="1:17" x14ac:dyDescent="0.3">
      <c r="A476" s="1" t="s">
        <v>541</v>
      </c>
      <c r="B476" s="1" t="s">
        <v>18</v>
      </c>
      <c r="C476" s="1" t="s">
        <v>47</v>
      </c>
      <c r="D476" s="1" t="s">
        <v>51</v>
      </c>
      <c r="E476" s="1" t="s">
        <v>48</v>
      </c>
      <c r="F476" s="1" t="s">
        <v>52</v>
      </c>
      <c r="G476" s="2">
        <v>45976</v>
      </c>
      <c r="H476" s="2"/>
      <c r="I476" s="1" t="s">
        <v>23</v>
      </c>
      <c r="L476">
        <v>10</v>
      </c>
      <c r="M476" s="1" t="s">
        <v>40</v>
      </c>
      <c r="N476" s="2">
        <v>45962</v>
      </c>
      <c r="O476">
        <v>2025</v>
      </c>
      <c r="P476">
        <v>4</v>
      </c>
      <c r="Q476" s="1" t="s">
        <v>33</v>
      </c>
    </row>
    <row r="477" spans="1:17" x14ac:dyDescent="0.3">
      <c r="A477" s="1" t="s">
        <v>542</v>
      </c>
      <c r="B477" s="1" t="s">
        <v>35</v>
      </c>
      <c r="C477" s="1" t="s">
        <v>97</v>
      </c>
      <c r="D477" s="1" t="s">
        <v>20</v>
      </c>
      <c r="E477" s="1" t="s">
        <v>21</v>
      </c>
      <c r="F477" s="1" t="s">
        <v>31</v>
      </c>
      <c r="G477" s="2">
        <v>45891</v>
      </c>
      <c r="H477" s="2">
        <v>45898</v>
      </c>
      <c r="I477" s="1" t="s">
        <v>39</v>
      </c>
      <c r="J477">
        <v>5</v>
      </c>
      <c r="K477">
        <v>7</v>
      </c>
      <c r="L477">
        <v>14</v>
      </c>
      <c r="M477" s="1" t="s">
        <v>24</v>
      </c>
      <c r="N477" s="2">
        <v>45870</v>
      </c>
      <c r="O477">
        <v>2025</v>
      </c>
      <c r="P477">
        <v>3</v>
      </c>
      <c r="Q477" s="1" t="s">
        <v>24</v>
      </c>
    </row>
    <row r="478" spans="1:17" x14ac:dyDescent="0.3">
      <c r="A478" s="1" t="s">
        <v>543</v>
      </c>
      <c r="B478" s="1" t="s">
        <v>18</v>
      </c>
      <c r="C478" s="1" t="s">
        <v>47</v>
      </c>
      <c r="D478" s="1" t="s">
        <v>20</v>
      </c>
      <c r="E478" s="1" t="s">
        <v>21</v>
      </c>
      <c r="F478" s="1" t="s">
        <v>22</v>
      </c>
      <c r="G478" s="2">
        <v>45688</v>
      </c>
      <c r="H478" s="2">
        <v>45693</v>
      </c>
      <c r="I478" s="1" t="s">
        <v>39</v>
      </c>
      <c r="J478">
        <v>2</v>
      </c>
      <c r="K478">
        <v>5</v>
      </c>
      <c r="L478">
        <v>14</v>
      </c>
      <c r="M478" s="1" t="s">
        <v>24</v>
      </c>
      <c r="N478" s="2">
        <v>45658</v>
      </c>
      <c r="O478">
        <v>2025</v>
      </c>
      <c r="P478">
        <v>1</v>
      </c>
      <c r="Q478" s="1" t="s">
        <v>24</v>
      </c>
    </row>
    <row r="479" spans="1:17" x14ac:dyDescent="0.3">
      <c r="A479" s="1" t="s">
        <v>544</v>
      </c>
      <c r="B479" s="1" t="s">
        <v>26</v>
      </c>
      <c r="C479" s="1" t="s">
        <v>27</v>
      </c>
      <c r="D479" s="1" t="s">
        <v>20</v>
      </c>
      <c r="E479" s="1" t="s">
        <v>21</v>
      </c>
      <c r="F479" s="1" t="s">
        <v>61</v>
      </c>
      <c r="G479" s="2">
        <v>45841</v>
      </c>
      <c r="H479" s="2">
        <v>45853</v>
      </c>
      <c r="I479" s="1" t="s">
        <v>39</v>
      </c>
      <c r="J479">
        <v>1</v>
      </c>
      <c r="K479">
        <v>12</v>
      </c>
      <c r="L479">
        <v>14</v>
      </c>
      <c r="M479" s="1" t="s">
        <v>24</v>
      </c>
      <c r="N479" s="2">
        <v>45839</v>
      </c>
      <c r="O479">
        <v>2025</v>
      </c>
      <c r="P479">
        <v>3</v>
      </c>
      <c r="Q479" s="1" t="s">
        <v>24</v>
      </c>
    </row>
    <row r="480" spans="1:17" x14ac:dyDescent="0.3">
      <c r="A480" s="1" t="s">
        <v>545</v>
      </c>
      <c r="B480" s="1" t="s">
        <v>58</v>
      </c>
      <c r="C480" s="1" t="s">
        <v>70</v>
      </c>
      <c r="D480" s="1" t="s">
        <v>44</v>
      </c>
      <c r="E480" s="1" t="s">
        <v>21</v>
      </c>
      <c r="F480" s="1" t="s">
        <v>38</v>
      </c>
      <c r="G480" s="2">
        <v>45690</v>
      </c>
      <c r="H480" s="2">
        <v>45693</v>
      </c>
      <c r="I480" s="1" t="s">
        <v>82</v>
      </c>
      <c r="J480">
        <v>4</v>
      </c>
      <c r="K480">
        <v>3</v>
      </c>
      <c r="L480">
        <v>7</v>
      </c>
      <c r="M480" s="1" t="s">
        <v>24</v>
      </c>
      <c r="N480" s="2">
        <v>45689</v>
      </c>
      <c r="O480">
        <v>2025</v>
      </c>
      <c r="P480">
        <v>1</v>
      </c>
      <c r="Q480" s="1" t="s">
        <v>24</v>
      </c>
    </row>
    <row r="481" spans="1:17" x14ac:dyDescent="0.3">
      <c r="A481" s="1" t="s">
        <v>546</v>
      </c>
      <c r="B481" s="1" t="s">
        <v>18</v>
      </c>
      <c r="C481" s="1" t="s">
        <v>47</v>
      </c>
      <c r="D481" s="1" t="s">
        <v>71</v>
      </c>
      <c r="E481" s="1" t="s">
        <v>21</v>
      </c>
      <c r="F481" s="1" t="s">
        <v>61</v>
      </c>
      <c r="G481" s="2">
        <v>45831</v>
      </c>
      <c r="H481" s="2">
        <v>45831</v>
      </c>
      <c r="I481" s="1" t="s">
        <v>39</v>
      </c>
      <c r="J481">
        <v>4</v>
      </c>
      <c r="K481">
        <v>0</v>
      </c>
      <c r="L481">
        <v>3</v>
      </c>
      <c r="M481" s="1" t="s">
        <v>24</v>
      </c>
      <c r="N481" s="2">
        <v>45809</v>
      </c>
      <c r="O481">
        <v>2025</v>
      </c>
      <c r="P481">
        <v>2</v>
      </c>
      <c r="Q481" s="1" t="s">
        <v>24</v>
      </c>
    </row>
    <row r="482" spans="1:17" x14ac:dyDescent="0.3">
      <c r="A482" s="1" t="s">
        <v>547</v>
      </c>
      <c r="B482" s="1" t="s">
        <v>35</v>
      </c>
      <c r="C482" s="1" t="s">
        <v>50</v>
      </c>
      <c r="D482" s="1" t="s">
        <v>20</v>
      </c>
      <c r="E482" s="1" t="s">
        <v>37</v>
      </c>
      <c r="F482" s="1" t="s">
        <v>38</v>
      </c>
      <c r="G482" s="2">
        <v>45971</v>
      </c>
      <c r="H482" s="2"/>
      <c r="I482" s="1" t="s">
        <v>23</v>
      </c>
      <c r="L482">
        <v>14</v>
      </c>
      <c r="M482" s="1" t="s">
        <v>40</v>
      </c>
      <c r="N482" s="2">
        <v>45962</v>
      </c>
      <c r="O482">
        <v>2025</v>
      </c>
      <c r="P482">
        <v>4</v>
      </c>
      <c r="Q482" s="1" t="s">
        <v>33</v>
      </c>
    </row>
    <row r="483" spans="1:17" x14ac:dyDescent="0.3">
      <c r="A483" s="1" t="s">
        <v>548</v>
      </c>
      <c r="B483" s="1" t="s">
        <v>18</v>
      </c>
      <c r="C483" s="1" t="s">
        <v>47</v>
      </c>
      <c r="D483" s="1" t="s">
        <v>51</v>
      </c>
      <c r="E483" s="1" t="s">
        <v>21</v>
      </c>
      <c r="F483" s="1" t="s">
        <v>31</v>
      </c>
      <c r="G483" s="2">
        <v>45911</v>
      </c>
      <c r="H483" s="2">
        <v>45915</v>
      </c>
      <c r="I483" s="1" t="s">
        <v>32</v>
      </c>
      <c r="J483">
        <v>2</v>
      </c>
      <c r="K483">
        <v>4</v>
      </c>
      <c r="L483">
        <v>10</v>
      </c>
      <c r="M483" s="1" t="s">
        <v>24</v>
      </c>
      <c r="N483" s="2">
        <v>45901</v>
      </c>
      <c r="O483">
        <v>2025</v>
      </c>
      <c r="P483">
        <v>3</v>
      </c>
      <c r="Q483" s="1" t="s">
        <v>24</v>
      </c>
    </row>
    <row r="484" spans="1:17" x14ac:dyDescent="0.3">
      <c r="A484" s="1" t="s">
        <v>549</v>
      </c>
      <c r="B484" s="1" t="s">
        <v>63</v>
      </c>
      <c r="C484" s="1" t="s">
        <v>84</v>
      </c>
      <c r="D484" s="1" t="s">
        <v>71</v>
      </c>
      <c r="E484" s="1" t="s">
        <v>21</v>
      </c>
      <c r="F484" s="1" t="s">
        <v>61</v>
      </c>
      <c r="G484" s="2">
        <v>45772</v>
      </c>
      <c r="H484" s="2">
        <v>45775</v>
      </c>
      <c r="I484" s="1" t="s">
        <v>23</v>
      </c>
      <c r="J484">
        <v>4</v>
      </c>
      <c r="K484">
        <v>3</v>
      </c>
      <c r="L484">
        <v>3</v>
      </c>
      <c r="M484" s="1" t="s">
        <v>24</v>
      </c>
      <c r="N484" s="2">
        <v>45748</v>
      </c>
      <c r="O484">
        <v>2025</v>
      </c>
      <c r="P484">
        <v>2</v>
      </c>
      <c r="Q484" s="1" t="s">
        <v>24</v>
      </c>
    </row>
    <row r="485" spans="1:17" x14ac:dyDescent="0.3">
      <c r="A485" s="1" t="s">
        <v>550</v>
      </c>
      <c r="B485" s="1" t="s">
        <v>58</v>
      </c>
      <c r="C485" s="1" t="s">
        <v>145</v>
      </c>
      <c r="D485" s="1" t="s">
        <v>44</v>
      </c>
      <c r="E485" s="1" t="s">
        <v>21</v>
      </c>
      <c r="F485" s="1" t="s">
        <v>31</v>
      </c>
      <c r="G485" s="2">
        <v>45913</v>
      </c>
      <c r="H485" s="2">
        <v>45917</v>
      </c>
      <c r="I485" s="1" t="s">
        <v>23</v>
      </c>
      <c r="J485">
        <v>4</v>
      </c>
      <c r="K485">
        <v>4</v>
      </c>
      <c r="L485">
        <v>7</v>
      </c>
      <c r="M485" s="1" t="s">
        <v>24</v>
      </c>
      <c r="N485" s="2">
        <v>45901</v>
      </c>
      <c r="O485">
        <v>2025</v>
      </c>
      <c r="P485">
        <v>3</v>
      </c>
      <c r="Q485" s="1" t="s">
        <v>24</v>
      </c>
    </row>
    <row r="486" spans="1:17" x14ac:dyDescent="0.3">
      <c r="A486" s="1" t="s">
        <v>551</v>
      </c>
      <c r="B486" s="1" t="s">
        <v>42</v>
      </c>
      <c r="C486" s="1" t="s">
        <v>87</v>
      </c>
      <c r="D486" s="1" t="s">
        <v>51</v>
      </c>
      <c r="E486" s="1" t="s">
        <v>21</v>
      </c>
      <c r="F486" s="1" t="s">
        <v>22</v>
      </c>
      <c r="G486" s="2">
        <v>45658</v>
      </c>
      <c r="H486" s="2">
        <v>45661</v>
      </c>
      <c r="I486" s="1" t="s">
        <v>32</v>
      </c>
      <c r="J486">
        <v>5</v>
      </c>
      <c r="K486">
        <v>3</v>
      </c>
      <c r="L486">
        <v>10</v>
      </c>
      <c r="M486" s="1" t="s">
        <v>24</v>
      </c>
      <c r="N486" s="2">
        <v>45658</v>
      </c>
      <c r="O486">
        <v>2025</v>
      </c>
      <c r="P486">
        <v>1</v>
      </c>
      <c r="Q486" s="1" t="s">
        <v>24</v>
      </c>
    </row>
    <row r="487" spans="1:17" x14ac:dyDescent="0.3">
      <c r="A487" s="1" t="s">
        <v>552</v>
      </c>
      <c r="B487" s="1" t="s">
        <v>26</v>
      </c>
      <c r="C487" s="1" t="s">
        <v>54</v>
      </c>
      <c r="D487" s="1" t="s">
        <v>51</v>
      </c>
      <c r="E487" s="1" t="s">
        <v>21</v>
      </c>
      <c r="F487" s="1" t="s">
        <v>61</v>
      </c>
      <c r="G487" s="2">
        <v>45832</v>
      </c>
      <c r="H487" s="2">
        <v>45839</v>
      </c>
      <c r="I487" s="1" t="s">
        <v>39</v>
      </c>
      <c r="J487">
        <v>5</v>
      </c>
      <c r="K487">
        <v>7</v>
      </c>
      <c r="L487">
        <v>10</v>
      </c>
      <c r="M487" s="1" t="s">
        <v>24</v>
      </c>
      <c r="N487" s="2">
        <v>45809</v>
      </c>
      <c r="O487">
        <v>2025</v>
      </c>
      <c r="P487">
        <v>2</v>
      </c>
      <c r="Q487" s="1" t="s">
        <v>24</v>
      </c>
    </row>
    <row r="488" spans="1:17" x14ac:dyDescent="0.3">
      <c r="A488" s="1" t="s">
        <v>553</v>
      </c>
      <c r="B488" s="1" t="s">
        <v>35</v>
      </c>
      <c r="C488" s="1" t="s">
        <v>50</v>
      </c>
      <c r="D488" s="1" t="s">
        <v>44</v>
      </c>
      <c r="E488" s="1" t="s">
        <v>21</v>
      </c>
      <c r="F488" s="1" t="s">
        <v>61</v>
      </c>
      <c r="G488" s="2">
        <v>45889</v>
      </c>
      <c r="H488" s="2">
        <v>45890</v>
      </c>
      <c r="I488" s="1" t="s">
        <v>23</v>
      </c>
      <c r="J488">
        <v>2</v>
      </c>
      <c r="K488">
        <v>1</v>
      </c>
      <c r="L488">
        <v>7</v>
      </c>
      <c r="M488" s="1" t="s">
        <v>24</v>
      </c>
      <c r="N488" s="2">
        <v>45870</v>
      </c>
      <c r="O488">
        <v>2025</v>
      </c>
      <c r="P488">
        <v>3</v>
      </c>
      <c r="Q488" s="1" t="s">
        <v>24</v>
      </c>
    </row>
    <row r="489" spans="1:17" x14ac:dyDescent="0.3">
      <c r="A489" s="1" t="s">
        <v>554</v>
      </c>
      <c r="B489" s="1" t="s">
        <v>35</v>
      </c>
      <c r="C489" s="1" t="s">
        <v>97</v>
      </c>
      <c r="D489" s="1" t="s">
        <v>44</v>
      </c>
      <c r="E489" s="1" t="s">
        <v>48</v>
      </c>
      <c r="F489" s="1" t="s">
        <v>22</v>
      </c>
      <c r="G489" s="2">
        <v>45807</v>
      </c>
      <c r="H489" s="2"/>
      <c r="I489" s="1" t="s">
        <v>82</v>
      </c>
      <c r="L489">
        <v>7</v>
      </c>
      <c r="M489" s="1" t="s">
        <v>40</v>
      </c>
      <c r="N489" s="2">
        <v>45778</v>
      </c>
      <c r="O489">
        <v>2025</v>
      </c>
      <c r="P489">
        <v>2</v>
      </c>
      <c r="Q489" s="1" t="s">
        <v>33</v>
      </c>
    </row>
    <row r="490" spans="1:17" x14ac:dyDescent="0.3">
      <c r="A490" s="1" t="s">
        <v>555</v>
      </c>
      <c r="B490" s="1" t="s">
        <v>35</v>
      </c>
      <c r="C490" s="1" t="s">
        <v>99</v>
      </c>
      <c r="D490" s="1" t="s">
        <v>20</v>
      </c>
      <c r="E490" s="1" t="s">
        <v>21</v>
      </c>
      <c r="F490" s="1" t="s">
        <v>31</v>
      </c>
      <c r="G490" s="2">
        <v>45729</v>
      </c>
      <c r="H490" s="2">
        <v>45743</v>
      </c>
      <c r="I490" s="1" t="s">
        <v>23</v>
      </c>
      <c r="J490">
        <v>5</v>
      </c>
      <c r="K490">
        <v>14</v>
      </c>
      <c r="L490">
        <v>14</v>
      </c>
      <c r="M490" s="1" t="s">
        <v>24</v>
      </c>
      <c r="N490" s="2">
        <v>45717</v>
      </c>
      <c r="O490">
        <v>2025</v>
      </c>
      <c r="P490">
        <v>1</v>
      </c>
      <c r="Q490" s="1" t="s">
        <v>24</v>
      </c>
    </row>
    <row r="491" spans="1:17" x14ac:dyDescent="0.3">
      <c r="A491" s="1" t="s">
        <v>556</v>
      </c>
      <c r="B491" s="1" t="s">
        <v>35</v>
      </c>
      <c r="C491" s="1" t="s">
        <v>36</v>
      </c>
      <c r="D491" s="1" t="s">
        <v>20</v>
      </c>
      <c r="E491" s="1" t="s">
        <v>48</v>
      </c>
      <c r="F491" s="1" t="s">
        <v>61</v>
      </c>
      <c r="G491" s="2">
        <v>45859</v>
      </c>
      <c r="H491" s="2"/>
      <c r="I491" s="1" t="s">
        <v>39</v>
      </c>
      <c r="L491">
        <v>14</v>
      </c>
      <c r="M491" s="1" t="s">
        <v>40</v>
      </c>
      <c r="N491" s="2">
        <v>45839</v>
      </c>
      <c r="O491">
        <v>2025</v>
      </c>
      <c r="P491">
        <v>3</v>
      </c>
      <c r="Q491" s="1" t="s">
        <v>33</v>
      </c>
    </row>
    <row r="492" spans="1:17" x14ac:dyDescent="0.3">
      <c r="A492" s="1" t="s">
        <v>557</v>
      </c>
      <c r="B492" s="1" t="s">
        <v>63</v>
      </c>
      <c r="C492" s="1" t="s">
        <v>84</v>
      </c>
      <c r="D492" s="1" t="s">
        <v>20</v>
      </c>
      <c r="E492" s="1" t="s">
        <v>21</v>
      </c>
      <c r="F492" s="1" t="s">
        <v>31</v>
      </c>
      <c r="G492" s="2">
        <v>45982</v>
      </c>
      <c r="H492" s="2">
        <v>45995</v>
      </c>
      <c r="I492" s="1" t="s">
        <v>39</v>
      </c>
      <c r="J492">
        <v>4</v>
      </c>
      <c r="K492">
        <v>13</v>
      </c>
      <c r="L492">
        <v>14</v>
      </c>
      <c r="M492" s="1" t="s">
        <v>24</v>
      </c>
      <c r="N492" s="2">
        <v>45962</v>
      </c>
      <c r="O492">
        <v>2025</v>
      </c>
      <c r="P492">
        <v>4</v>
      </c>
      <c r="Q492" s="1" t="s">
        <v>24</v>
      </c>
    </row>
    <row r="493" spans="1:17" x14ac:dyDescent="0.3">
      <c r="A493" s="1" t="s">
        <v>558</v>
      </c>
      <c r="B493" s="1" t="s">
        <v>18</v>
      </c>
      <c r="C493" s="1" t="s">
        <v>47</v>
      </c>
      <c r="D493" s="1" t="s">
        <v>71</v>
      </c>
      <c r="E493" s="1" t="s">
        <v>21</v>
      </c>
      <c r="F493" s="1" t="s">
        <v>31</v>
      </c>
      <c r="G493" s="2">
        <v>45682</v>
      </c>
      <c r="H493" s="2">
        <v>45685</v>
      </c>
      <c r="I493" s="1" t="s">
        <v>82</v>
      </c>
      <c r="J493">
        <v>5</v>
      </c>
      <c r="K493">
        <v>3</v>
      </c>
      <c r="L493">
        <v>3</v>
      </c>
      <c r="M493" s="1" t="s">
        <v>24</v>
      </c>
      <c r="N493" s="2">
        <v>45658</v>
      </c>
      <c r="O493">
        <v>2025</v>
      </c>
      <c r="P493">
        <v>1</v>
      </c>
      <c r="Q493" s="1" t="s">
        <v>24</v>
      </c>
    </row>
    <row r="494" spans="1:17" x14ac:dyDescent="0.3">
      <c r="A494" s="1" t="s">
        <v>559</v>
      </c>
      <c r="B494" s="1" t="s">
        <v>63</v>
      </c>
      <c r="C494" s="1" t="s">
        <v>64</v>
      </c>
      <c r="D494" s="1" t="s">
        <v>44</v>
      </c>
      <c r="E494" s="1" t="s">
        <v>21</v>
      </c>
      <c r="F494" s="1" t="s">
        <v>52</v>
      </c>
      <c r="G494" s="2">
        <v>45856</v>
      </c>
      <c r="H494" s="2">
        <v>45862</v>
      </c>
      <c r="I494" s="1" t="s">
        <v>82</v>
      </c>
      <c r="J494">
        <v>4</v>
      </c>
      <c r="K494">
        <v>6</v>
      </c>
      <c r="L494">
        <v>7</v>
      </c>
      <c r="M494" s="1" t="s">
        <v>24</v>
      </c>
      <c r="N494" s="2">
        <v>45839</v>
      </c>
      <c r="O494">
        <v>2025</v>
      </c>
      <c r="P494">
        <v>3</v>
      </c>
      <c r="Q494" s="1" t="s">
        <v>24</v>
      </c>
    </row>
    <row r="495" spans="1:17" x14ac:dyDescent="0.3">
      <c r="A495" s="1" t="s">
        <v>560</v>
      </c>
      <c r="B495" s="1" t="s">
        <v>58</v>
      </c>
      <c r="C495" s="1" t="s">
        <v>145</v>
      </c>
      <c r="D495" s="1" t="s">
        <v>71</v>
      </c>
      <c r="E495" s="1" t="s">
        <v>48</v>
      </c>
      <c r="F495" s="1" t="s">
        <v>52</v>
      </c>
      <c r="G495" s="2">
        <v>45785</v>
      </c>
      <c r="H495" s="2"/>
      <c r="I495" s="1" t="s">
        <v>39</v>
      </c>
      <c r="L495">
        <v>3</v>
      </c>
      <c r="M495" s="1" t="s">
        <v>40</v>
      </c>
      <c r="N495" s="2">
        <v>45778</v>
      </c>
      <c r="O495">
        <v>2025</v>
      </c>
      <c r="P495">
        <v>2</v>
      </c>
      <c r="Q495" s="1" t="s">
        <v>33</v>
      </c>
    </row>
    <row r="496" spans="1:17" x14ac:dyDescent="0.3">
      <c r="A496" s="1" t="s">
        <v>561</v>
      </c>
      <c r="B496" s="1" t="s">
        <v>35</v>
      </c>
      <c r="C496" s="1" t="s">
        <v>97</v>
      </c>
      <c r="D496" s="1" t="s">
        <v>51</v>
      </c>
      <c r="E496" s="1" t="s">
        <v>21</v>
      </c>
      <c r="F496" s="1" t="s">
        <v>22</v>
      </c>
      <c r="G496" s="2">
        <v>45869</v>
      </c>
      <c r="H496" s="2">
        <v>45879</v>
      </c>
      <c r="I496" s="1" t="s">
        <v>32</v>
      </c>
      <c r="J496">
        <v>4</v>
      </c>
      <c r="K496">
        <v>10</v>
      </c>
      <c r="L496">
        <v>10</v>
      </c>
      <c r="M496" s="1" t="s">
        <v>24</v>
      </c>
      <c r="N496" s="2">
        <v>45839</v>
      </c>
      <c r="O496">
        <v>2025</v>
      </c>
      <c r="P496">
        <v>3</v>
      </c>
      <c r="Q496" s="1" t="s">
        <v>24</v>
      </c>
    </row>
    <row r="497" spans="1:17" x14ac:dyDescent="0.3">
      <c r="A497" s="1" t="s">
        <v>562</v>
      </c>
      <c r="B497" s="1" t="s">
        <v>18</v>
      </c>
      <c r="C497" s="1" t="s">
        <v>47</v>
      </c>
      <c r="D497" s="1" t="s">
        <v>20</v>
      </c>
      <c r="E497" s="1" t="s">
        <v>21</v>
      </c>
      <c r="F497" s="1" t="s">
        <v>61</v>
      </c>
      <c r="G497" s="2">
        <v>45806</v>
      </c>
      <c r="H497" s="2">
        <v>45819</v>
      </c>
      <c r="I497" s="1" t="s">
        <v>28</v>
      </c>
      <c r="J497">
        <v>4</v>
      </c>
      <c r="K497">
        <v>13</v>
      </c>
      <c r="L497">
        <v>14</v>
      </c>
      <c r="M497" s="1" t="s">
        <v>24</v>
      </c>
      <c r="N497" s="2">
        <v>45778</v>
      </c>
      <c r="O497">
        <v>2025</v>
      </c>
      <c r="P497">
        <v>2</v>
      </c>
      <c r="Q497" s="1" t="s">
        <v>24</v>
      </c>
    </row>
    <row r="498" spans="1:17" x14ac:dyDescent="0.3">
      <c r="A498" s="1" t="s">
        <v>563</v>
      </c>
      <c r="B498" s="1" t="s">
        <v>26</v>
      </c>
      <c r="C498" s="1" t="s">
        <v>123</v>
      </c>
      <c r="D498" s="1" t="s">
        <v>44</v>
      </c>
      <c r="E498" s="1" t="s">
        <v>37</v>
      </c>
      <c r="F498" s="1" t="s">
        <v>31</v>
      </c>
      <c r="G498" s="2">
        <v>45945</v>
      </c>
      <c r="H498" s="2"/>
      <c r="I498" s="1" t="s">
        <v>82</v>
      </c>
      <c r="L498">
        <v>7</v>
      </c>
      <c r="M498" s="1" t="s">
        <v>40</v>
      </c>
      <c r="N498" s="2">
        <v>45931</v>
      </c>
      <c r="O498">
        <v>2025</v>
      </c>
      <c r="P498">
        <v>4</v>
      </c>
      <c r="Q498" s="1" t="s">
        <v>33</v>
      </c>
    </row>
    <row r="499" spans="1:17" x14ac:dyDescent="0.3">
      <c r="A499" s="1" t="s">
        <v>564</v>
      </c>
      <c r="B499" s="1" t="s">
        <v>26</v>
      </c>
      <c r="C499" s="1" t="s">
        <v>27</v>
      </c>
      <c r="D499" s="1" t="s">
        <v>51</v>
      </c>
      <c r="E499" s="1" t="s">
        <v>48</v>
      </c>
      <c r="F499" s="1" t="s">
        <v>52</v>
      </c>
      <c r="G499" s="2">
        <v>45931</v>
      </c>
      <c r="H499" s="2"/>
      <c r="I499" s="1" t="s">
        <v>39</v>
      </c>
      <c r="L499">
        <v>10</v>
      </c>
      <c r="M499" s="1" t="s">
        <v>40</v>
      </c>
      <c r="N499" s="2">
        <v>45931</v>
      </c>
      <c r="O499">
        <v>2025</v>
      </c>
      <c r="P499">
        <v>4</v>
      </c>
      <c r="Q499" s="1" t="s">
        <v>33</v>
      </c>
    </row>
    <row r="500" spans="1:17" x14ac:dyDescent="0.3">
      <c r="A500" s="1" t="s">
        <v>565</v>
      </c>
      <c r="B500" s="1" t="s">
        <v>42</v>
      </c>
      <c r="C500" s="1" t="s">
        <v>81</v>
      </c>
      <c r="D500" s="1" t="s">
        <v>20</v>
      </c>
      <c r="E500" s="1" t="s">
        <v>21</v>
      </c>
      <c r="F500" s="1" t="s">
        <v>61</v>
      </c>
      <c r="G500" s="2">
        <v>46001</v>
      </c>
      <c r="H500" s="2">
        <v>46004</v>
      </c>
      <c r="I500" s="1" t="s">
        <v>32</v>
      </c>
      <c r="J500">
        <v>3</v>
      </c>
      <c r="K500">
        <v>3</v>
      </c>
      <c r="L500">
        <v>14</v>
      </c>
      <c r="M500" s="1" t="s">
        <v>24</v>
      </c>
      <c r="N500" s="2">
        <v>45992</v>
      </c>
      <c r="O500">
        <v>2025</v>
      </c>
      <c r="P500">
        <v>4</v>
      </c>
      <c r="Q500" s="1" t="s">
        <v>24</v>
      </c>
    </row>
    <row r="501" spans="1:17" x14ac:dyDescent="0.3">
      <c r="A501" s="1" t="s">
        <v>566</v>
      </c>
      <c r="B501" s="1" t="s">
        <v>18</v>
      </c>
      <c r="C501" s="1" t="s">
        <v>56</v>
      </c>
      <c r="D501" s="1" t="s">
        <v>20</v>
      </c>
      <c r="E501" s="1" t="s">
        <v>21</v>
      </c>
      <c r="F501" s="1" t="s">
        <v>38</v>
      </c>
      <c r="G501" s="2">
        <v>45809</v>
      </c>
      <c r="H501" s="2">
        <v>45815</v>
      </c>
      <c r="I501" s="1" t="s">
        <v>32</v>
      </c>
      <c r="J501">
        <v>5</v>
      </c>
      <c r="K501">
        <v>6</v>
      </c>
      <c r="L501">
        <v>14</v>
      </c>
      <c r="M501" s="1" t="s">
        <v>24</v>
      </c>
      <c r="N501" s="2">
        <v>45809</v>
      </c>
      <c r="O501">
        <v>2025</v>
      </c>
      <c r="P501">
        <v>2</v>
      </c>
      <c r="Q501" s="1" t="s">
        <v>24</v>
      </c>
    </row>
    <row r="502" spans="1:17" x14ac:dyDescent="0.3">
      <c r="A502" s="1" t="s">
        <v>567</v>
      </c>
      <c r="B502" s="1" t="s">
        <v>58</v>
      </c>
      <c r="C502" s="1" t="s">
        <v>70</v>
      </c>
      <c r="D502" s="1" t="s">
        <v>51</v>
      </c>
      <c r="E502" s="1" t="s">
        <v>21</v>
      </c>
      <c r="F502" s="1" t="s">
        <v>22</v>
      </c>
      <c r="G502" s="2">
        <v>45945</v>
      </c>
      <c r="H502" s="2">
        <v>45950</v>
      </c>
      <c r="I502" s="1" t="s">
        <v>39</v>
      </c>
      <c r="J502">
        <v>5</v>
      </c>
      <c r="K502">
        <v>5</v>
      </c>
      <c r="L502">
        <v>10</v>
      </c>
      <c r="M502" s="1" t="s">
        <v>24</v>
      </c>
      <c r="N502" s="2">
        <v>45931</v>
      </c>
      <c r="O502">
        <v>2025</v>
      </c>
      <c r="P502">
        <v>4</v>
      </c>
      <c r="Q502" s="1" t="s">
        <v>24</v>
      </c>
    </row>
    <row r="503" spans="1:17" x14ac:dyDescent="0.3">
      <c r="A503" s="1" t="s">
        <v>568</v>
      </c>
      <c r="B503" s="1" t="s">
        <v>63</v>
      </c>
      <c r="C503" s="1" t="s">
        <v>84</v>
      </c>
      <c r="D503" s="1" t="s">
        <v>51</v>
      </c>
      <c r="E503" s="1" t="s">
        <v>21</v>
      </c>
      <c r="F503" s="1" t="s">
        <v>52</v>
      </c>
      <c r="G503" s="2">
        <v>45853</v>
      </c>
      <c r="H503" s="2">
        <v>45861</v>
      </c>
      <c r="I503" s="1" t="s">
        <v>82</v>
      </c>
      <c r="J503">
        <v>4</v>
      </c>
      <c r="K503">
        <v>8</v>
      </c>
      <c r="L503">
        <v>10</v>
      </c>
      <c r="M503" s="1" t="s">
        <v>24</v>
      </c>
      <c r="N503" s="2">
        <v>45839</v>
      </c>
      <c r="O503">
        <v>2025</v>
      </c>
      <c r="P503">
        <v>3</v>
      </c>
      <c r="Q503" s="1" t="s">
        <v>24</v>
      </c>
    </row>
    <row r="504" spans="1:17" x14ac:dyDescent="0.3">
      <c r="A504" s="1" t="s">
        <v>569</v>
      </c>
      <c r="B504" s="1" t="s">
        <v>42</v>
      </c>
      <c r="C504" s="1" t="s">
        <v>81</v>
      </c>
      <c r="D504" s="1" t="s">
        <v>44</v>
      </c>
      <c r="E504" s="1" t="s">
        <v>21</v>
      </c>
      <c r="F504" s="1" t="s">
        <v>52</v>
      </c>
      <c r="G504" s="2">
        <v>45884</v>
      </c>
      <c r="H504" s="2">
        <v>45891</v>
      </c>
      <c r="I504" s="1" t="s">
        <v>82</v>
      </c>
      <c r="J504">
        <v>3</v>
      </c>
      <c r="K504">
        <v>7</v>
      </c>
      <c r="L504">
        <v>7</v>
      </c>
      <c r="M504" s="1" t="s">
        <v>24</v>
      </c>
      <c r="N504" s="2">
        <v>45870</v>
      </c>
      <c r="O504">
        <v>2025</v>
      </c>
      <c r="P504">
        <v>3</v>
      </c>
      <c r="Q504" s="1" t="s">
        <v>24</v>
      </c>
    </row>
    <row r="505" spans="1:17" x14ac:dyDescent="0.3">
      <c r="A505" s="1" t="s">
        <v>570</v>
      </c>
      <c r="B505" s="1" t="s">
        <v>26</v>
      </c>
      <c r="C505" s="1" t="s">
        <v>54</v>
      </c>
      <c r="D505" s="1" t="s">
        <v>44</v>
      </c>
      <c r="E505" s="1" t="s">
        <v>48</v>
      </c>
      <c r="F505" s="1" t="s">
        <v>31</v>
      </c>
      <c r="G505" s="2">
        <v>45808</v>
      </c>
      <c r="H505" s="2"/>
      <c r="I505" s="1" t="s">
        <v>28</v>
      </c>
      <c r="L505">
        <v>7</v>
      </c>
      <c r="M505" s="1" t="s">
        <v>40</v>
      </c>
      <c r="N505" s="2">
        <v>45778</v>
      </c>
      <c r="O505">
        <v>2025</v>
      </c>
      <c r="P505">
        <v>2</v>
      </c>
      <c r="Q505" s="1" t="s">
        <v>33</v>
      </c>
    </row>
    <row r="506" spans="1:17" x14ac:dyDescent="0.3">
      <c r="A506" s="1" t="s">
        <v>571</v>
      </c>
      <c r="B506" s="1" t="s">
        <v>18</v>
      </c>
      <c r="C506" s="1" t="s">
        <v>19</v>
      </c>
      <c r="D506" s="1" t="s">
        <v>20</v>
      </c>
      <c r="E506" s="1" t="s">
        <v>21</v>
      </c>
      <c r="F506" s="1" t="s">
        <v>31</v>
      </c>
      <c r="G506" s="2">
        <v>45921</v>
      </c>
      <c r="H506" s="2">
        <v>45925</v>
      </c>
      <c r="I506" s="1" t="s">
        <v>32</v>
      </c>
      <c r="J506">
        <v>4</v>
      </c>
      <c r="K506">
        <v>4</v>
      </c>
      <c r="L506">
        <v>14</v>
      </c>
      <c r="M506" s="1" t="s">
        <v>24</v>
      </c>
      <c r="N506" s="2">
        <v>45901</v>
      </c>
      <c r="O506">
        <v>2025</v>
      </c>
      <c r="P506">
        <v>3</v>
      </c>
      <c r="Q506" s="1" t="s">
        <v>24</v>
      </c>
    </row>
    <row r="507" spans="1:17" x14ac:dyDescent="0.3">
      <c r="A507" s="1" t="s">
        <v>572</v>
      </c>
      <c r="B507" s="1" t="s">
        <v>26</v>
      </c>
      <c r="C507" s="1" t="s">
        <v>123</v>
      </c>
      <c r="D507" s="1" t="s">
        <v>20</v>
      </c>
      <c r="E507" s="1" t="s">
        <v>21</v>
      </c>
      <c r="F507" s="1" t="s">
        <v>61</v>
      </c>
      <c r="G507" s="2">
        <v>45788</v>
      </c>
      <c r="H507" s="2">
        <v>45791</v>
      </c>
      <c r="I507" s="1" t="s">
        <v>23</v>
      </c>
      <c r="J507">
        <v>4</v>
      </c>
      <c r="K507">
        <v>3</v>
      </c>
      <c r="L507">
        <v>14</v>
      </c>
      <c r="M507" s="1" t="s">
        <v>24</v>
      </c>
      <c r="N507" s="2">
        <v>45778</v>
      </c>
      <c r="O507">
        <v>2025</v>
      </c>
      <c r="P507">
        <v>2</v>
      </c>
      <c r="Q507" s="1" t="s">
        <v>24</v>
      </c>
    </row>
    <row r="508" spans="1:17" x14ac:dyDescent="0.3">
      <c r="A508" s="1" t="s">
        <v>573</v>
      </c>
      <c r="B508" s="1" t="s">
        <v>63</v>
      </c>
      <c r="C508" s="1" t="s">
        <v>84</v>
      </c>
      <c r="D508" s="1" t="s">
        <v>51</v>
      </c>
      <c r="E508" s="1" t="s">
        <v>37</v>
      </c>
      <c r="F508" s="1" t="s">
        <v>22</v>
      </c>
      <c r="G508" s="2">
        <v>45978</v>
      </c>
      <c r="H508" s="2"/>
      <c r="I508" s="1" t="s">
        <v>32</v>
      </c>
      <c r="L508">
        <v>10</v>
      </c>
      <c r="M508" s="1" t="s">
        <v>40</v>
      </c>
      <c r="N508" s="2">
        <v>45962</v>
      </c>
      <c r="O508">
        <v>2025</v>
      </c>
      <c r="P508">
        <v>4</v>
      </c>
      <c r="Q508" s="1" t="s">
        <v>33</v>
      </c>
    </row>
    <row r="509" spans="1:17" x14ac:dyDescent="0.3">
      <c r="A509" s="1" t="s">
        <v>574</v>
      </c>
      <c r="B509" s="1" t="s">
        <v>58</v>
      </c>
      <c r="C509" s="1" t="s">
        <v>59</v>
      </c>
      <c r="D509" s="1" t="s">
        <v>20</v>
      </c>
      <c r="E509" s="1" t="s">
        <v>21</v>
      </c>
      <c r="F509" s="1" t="s">
        <v>22</v>
      </c>
      <c r="G509" s="2">
        <v>45927</v>
      </c>
      <c r="H509" s="2">
        <v>45933</v>
      </c>
      <c r="I509" s="1" t="s">
        <v>23</v>
      </c>
      <c r="J509">
        <v>5</v>
      </c>
      <c r="K509">
        <v>6</v>
      </c>
      <c r="L509">
        <v>14</v>
      </c>
      <c r="M509" s="1" t="s">
        <v>24</v>
      </c>
      <c r="N509" s="2">
        <v>45901</v>
      </c>
      <c r="O509">
        <v>2025</v>
      </c>
      <c r="P509">
        <v>3</v>
      </c>
      <c r="Q509" s="1" t="s">
        <v>24</v>
      </c>
    </row>
    <row r="510" spans="1:17" x14ac:dyDescent="0.3">
      <c r="A510" s="1" t="s">
        <v>575</v>
      </c>
      <c r="B510" s="1" t="s">
        <v>26</v>
      </c>
      <c r="C510" s="1" t="s">
        <v>54</v>
      </c>
      <c r="D510" s="1" t="s">
        <v>51</v>
      </c>
      <c r="E510" s="1" t="s">
        <v>21</v>
      </c>
      <c r="F510" s="1" t="s">
        <v>61</v>
      </c>
      <c r="G510" s="2">
        <v>45705</v>
      </c>
      <c r="H510" s="2">
        <v>45712</v>
      </c>
      <c r="I510" s="1" t="s">
        <v>32</v>
      </c>
      <c r="J510">
        <v>3</v>
      </c>
      <c r="K510">
        <v>7</v>
      </c>
      <c r="L510">
        <v>10</v>
      </c>
      <c r="M510" s="1" t="s">
        <v>24</v>
      </c>
      <c r="N510" s="2">
        <v>45689</v>
      </c>
      <c r="O510">
        <v>2025</v>
      </c>
      <c r="P510">
        <v>1</v>
      </c>
      <c r="Q510" s="1" t="s">
        <v>24</v>
      </c>
    </row>
    <row r="511" spans="1:17" x14ac:dyDescent="0.3">
      <c r="A511" s="1" t="s">
        <v>576</v>
      </c>
      <c r="B511" s="1" t="s">
        <v>35</v>
      </c>
      <c r="C511" s="1" t="s">
        <v>97</v>
      </c>
      <c r="D511" s="1" t="s">
        <v>51</v>
      </c>
      <c r="E511" s="1" t="s">
        <v>48</v>
      </c>
      <c r="F511" s="1" t="s">
        <v>22</v>
      </c>
      <c r="G511" s="2">
        <v>45974</v>
      </c>
      <c r="H511" s="2"/>
      <c r="I511" s="1" t="s">
        <v>39</v>
      </c>
      <c r="L511">
        <v>10</v>
      </c>
      <c r="M511" s="1" t="s">
        <v>40</v>
      </c>
      <c r="N511" s="2">
        <v>45962</v>
      </c>
      <c r="O511">
        <v>2025</v>
      </c>
      <c r="P511">
        <v>4</v>
      </c>
      <c r="Q511" s="1" t="s">
        <v>33</v>
      </c>
    </row>
    <row r="512" spans="1:17" x14ac:dyDescent="0.3">
      <c r="A512" s="1" t="s">
        <v>577</v>
      </c>
      <c r="B512" s="1" t="s">
        <v>26</v>
      </c>
      <c r="C512" s="1" t="s">
        <v>67</v>
      </c>
      <c r="D512" s="1" t="s">
        <v>20</v>
      </c>
      <c r="E512" s="1" t="s">
        <v>21</v>
      </c>
      <c r="F512" s="1" t="s">
        <v>22</v>
      </c>
      <c r="G512" s="2">
        <v>45781</v>
      </c>
      <c r="H512" s="2">
        <v>45794</v>
      </c>
      <c r="I512" s="1" t="s">
        <v>28</v>
      </c>
      <c r="J512">
        <v>4</v>
      </c>
      <c r="K512">
        <v>13</v>
      </c>
      <c r="L512">
        <v>14</v>
      </c>
      <c r="M512" s="1" t="s">
        <v>24</v>
      </c>
      <c r="N512" s="2">
        <v>45778</v>
      </c>
      <c r="O512">
        <v>2025</v>
      </c>
      <c r="P512">
        <v>2</v>
      </c>
      <c r="Q512" s="1" t="s">
        <v>24</v>
      </c>
    </row>
    <row r="513" spans="1:17" x14ac:dyDescent="0.3">
      <c r="A513" s="1" t="s">
        <v>578</v>
      </c>
      <c r="B513" s="1" t="s">
        <v>42</v>
      </c>
      <c r="C513" s="1" t="s">
        <v>43</v>
      </c>
      <c r="D513" s="1" t="s">
        <v>51</v>
      </c>
      <c r="E513" s="1" t="s">
        <v>37</v>
      </c>
      <c r="F513" s="1" t="s">
        <v>31</v>
      </c>
      <c r="G513" s="2">
        <v>45716</v>
      </c>
      <c r="H513" s="2"/>
      <c r="I513" s="1" t="s">
        <v>32</v>
      </c>
      <c r="L513">
        <v>10</v>
      </c>
      <c r="M513" s="1" t="s">
        <v>40</v>
      </c>
      <c r="N513" s="2">
        <v>45689</v>
      </c>
      <c r="O513">
        <v>2025</v>
      </c>
      <c r="P513">
        <v>1</v>
      </c>
      <c r="Q513" s="1" t="s">
        <v>33</v>
      </c>
    </row>
    <row r="514" spans="1:17" x14ac:dyDescent="0.3">
      <c r="A514" s="1" t="s">
        <v>579</v>
      </c>
      <c r="B514" s="1" t="s">
        <v>26</v>
      </c>
      <c r="C514" s="1" t="s">
        <v>123</v>
      </c>
      <c r="D514" s="1" t="s">
        <v>20</v>
      </c>
      <c r="E514" s="1" t="s">
        <v>21</v>
      </c>
      <c r="F514" s="1" t="s">
        <v>31</v>
      </c>
      <c r="G514" s="2">
        <v>45849</v>
      </c>
      <c r="H514" s="2">
        <v>45860</v>
      </c>
      <c r="I514" s="1" t="s">
        <v>39</v>
      </c>
      <c r="J514">
        <v>5</v>
      </c>
      <c r="K514">
        <v>11</v>
      </c>
      <c r="L514">
        <v>14</v>
      </c>
      <c r="M514" s="1" t="s">
        <v>24</v>
      </c>
      <c r="N514" s="2">
        <v>45839</v>
      </c>
      <c r="O514">
        <v>2025</v>
      </c>
      <c r="P514">
        <v>3</v>
      </c>
      <c r="Q514" s="1" t="s">
        <v>24</v>
      </c>
    </row>
    <row r="515" spans="1:17" x14ac:dyDescent="0.3">
      <c r="A515" s="1" t="s">
        <v>580</v>
      </c>
      <c r="B515" s="1" t="s">
        <v>42</v>
      </c>
      <c r="C515" s="1" t="s">
        <v>43</v>
      </c>
      <c r="D515" s="1" t="s">
        <v>44</v>
      </c>
      <c r="E515" s="1" t="s">
        <v>21</v>
      </c>
      <c r="F515" s="1" t="s">
        <v>61</v>
      </c>
      <c r="G515" s="2">
        <v>45921</v>
      </c>
      <c r="H515" s="2">
        <v>45922</v>
      </c>
      <c r="I515" s="1" t="s">
        <v>82</v>
      </c>
      <c r="J515">
        <v>5</v>
      </c>
      <c r="K515">
        <v>1</v>
      </c>
      <c r="L515">
        <v>7</v>
      </c>
      <c r="M515" s="1" t="s">
        <v>24</v>
      </c>
      <c r="N515" s="2">
        <v>45901</v>
      </c>
      <c r="O515">
        <v>2025</v>
      </c>
      <c r="P515">
        <v>3</v>
      </c>
      <c r="Q515" s="1" t="s">
        <v>24</v>
      </c>
    </row>
    <row r="516" spans="1:17" x14ac:dyDescent="0.3">
      <c r="A516" s="1" t="s">
        <v>581</v>
      </c>
      <c r="B516" s="1" t="s">
        <v>26</v>
      </c>
      <c r="C516" s="1" t="s">
        <v>67</v>
      </c>
      <c r="D516" s="1" t="s">
        <v>51</v>
      </c>
      <c r="E516" s="1" t="s">
        <v>21</v>
      </c>
      <c r="F516" s="1" t="s">
        <v>31</v>
      </c>
      <c r="G516" s="2">
        <v>45980</v>
      </c>
      <c r="H516" s="2">
        <v>45985</v>
      </c>
      <c r="I516" s="1" t="s">
        <v>23</v>
      </c>
      <c r="J516">
        <v>5</v>
      </c>
      <c r="K516">
        <v>5</v>
      </c>
      <c r="L516">
        <v>10</v>
      </c>
      <c r="M516" s="1" t="s">
        <v>24</v>
      </c>
      <c r="N516" s="2">
        <v>45962</v>
      </c>
      <c r="O516">
        <v>2025</v>
      </c>
      <c r="P516">
        <v>4</v>
      </c>
      <c r="Q516" s="1" t="s">
        <v>24</v>
      </c>
    </row>
    <row r="517" spans="1:17" x14ac:dyDescent="0.3">
      <c r="A517" s="1" t="s">
        <v>582</v>
      </c>
      <c r="B517" s="1" t="s">
        <v>63</v>
      </c>
      <c r="C517" s="1" t="s">
        <v>89</v>
      </c>
      <c r="D517" s="1" t="s">
        <v>51</v>
      </c>
      <c r="E517" s="1" t="s">
        <v>48</v>
      </c>
      <c r="F517" s="1" t="s">
        <v>61</v>
      </c>
      <c r="G517" s="2">
        <v>46009</v>
      </c>
      <c r="H517" s="2"/>
      <c r="I517" s="1" t="s">
        <v>23</v>
      </c>
      <c r="L517">
        <v>10</v>
      </c>
      <c r="M517" s="1" t="s">
        <v>40</v>
      </c>
      <c r="N517" s="2">
        <v>45992</v>
      </c>
      <c r="O517">
        <v>2025</v>
      </c>
      <c r="P517">
        <v>4</v>
      </c>
      <c r="Q517" s="1" t="s">
        <v>33</v>
      </c>
    </row>
    <row r="518" spans="1:17" x14ac:dyDescent="0.3">
      <c r="A518" s="1" t="s">
        <v>583</v>
      </c>
      <c r="B518" s="1" t="s">
        <v>58</v>
      </c>
      <c r="C518" s="1" t="s">
        <v>59</v>
      </c>
      <c r="D518" s="1" t="s">
        <v>20</v>
      </c>
      <c r="E518" s="1" t="s">
        <v>21</v>
      </c>
      <c r="F518" s="1" t="s">
        <v>38</v>
      </c>
      <c r="G518" s="2">
        <v>45749</v>
      </c>
      <c r="H518" s="2">
        <v>45764</v>
      </c>
      <c r="I518" s="1" t="s">
        <v>82</v>
      </c>
      <c r="J518">
        <v>3</v>
      </c>
      <c r="K518">
        <v>15</v>
      </c>
      <c r="L518">
        <v>14</v>
      </c>
      <c r="M518" s="1" t="s">
        <v>33</v>
      </c>
      <c r="N518" s="2">
        <v>45748</v>
      </c>
      <c r="O518">
        <v>2025</v>
      </c>
      <c r="P518">
        <v>2</v>
      </c>
      <c r="Q518" s="1" t="s">
        <v>24</v>
      </c>
    </row>
    <row r="519" spans="1:17" x14ac:dyDescent="0.3">
      <c r="A519" s="1" t="s">
        <v>584</v>
      </c>
      <c r="B519" s="1" t="s">
        <v>63</v>
      </c>
      <c r="C519" s="1" t="s">
        <v>84</v>
      </c>
      <c r="D519" s="1" t="s">
        <v>51</v>
      </c>
      <c r="E519" s="1" t="s">
        <v>21</v>
      </c>
      <c r="F519" s="1" t="s">
        <v>31</v>
      </c>
      <c r="G519" s="2">
        <v>45865</v>
      </c>
      <c r="H519" s="2">
        <v>45873</v>
      </c>
      <c r="I519" s="1" t="s">
        <v>23</v>
      </c>
      <c r="J519">
        <v>4</v>
      </c>
      <c r="K519">
        <v>8</v>
      </c>
      <c r="L519">
        <v>10</v>
      </c>
      <c r="M519" s="1" t="s">
        <v>24</v>
      </c>
      <c r="N519" s="2">
        <v>45839</v>
      </c>
      <c r="O519">
        <v>2025</v>
      </c>
      <c r="P519">
        <v>3</v>
      </c>
      <c r="Q519" s="1" t="s">
        <v>24</v>
      </c>
    </row>
    <row r="520" spans="1:17" x14ac:dyDescent="0.3">
      <c r="A520" s="1" t="s">
        <v>585</v>
      </c>
      <c r="B520" s="1" t="s">
        <v>26</v>
      </c>
      <c r="C520" s="1" t="s">
        <v>67</v>
      </c>
      <c r="D520" s="1" t="s">
        <v>51</v>
      </c>
      <c r="E520" s="1" t="s">
        <v>21</v>
      </c>
      <c r="F520" s="1" t="s">
        <v>38</v>
      </c>
      <c r="G520" s="2">
        <v>45957</v>
      </c>
      <c r="H520" s="2">
        <v>45959</v>
      </c>
      <c r="I520" s="1" t="s">
        <v>32</v>
      </c>
      <c r="J520">
        <v>5</v>
      </c>
      <c r="K520">
        <v>2</v>
      </c>
      <c r="L520">
        <v>10</v>
      </c>
      <c r="M520" s="1" t="s">
        <v>24</v>
      </c>
      <c r="N520" s="2">
        <v>45931</v>
      </c>
      <c r="O520">
        <v>2025</v>
      </c>
      <c r="P520">
        <v>4</v>
      </c>
      <c r="Q520" s="1" t="s">
        <v>24</v>
      </c>
    </row>
    <row r="521" spans="1:17" x14ac:dyDescent="0.3">
      <c r="A521" s="1" t="s">
        <v>586</v>
      </c>
      <c r="B521" s="1" t="s">
        <v>26</v>
      </c>
      <c r="C521" s="1" t="s">
        <v>67</v>
      </c>
      <c r="D521" s="1" t="s">
        <v>51</v>
      </c>
      <c r="E521" s="1" t="s">
        <v>21</v>
      </c>
      <c r="F521" s="1" t="s">
        <v>31</v>
      </c>
      <c r="G521" s="2">
        <v>45968</v>
      </c>
      <c r="H521" s="2">
        <v>45971</v>
      </c>
      <c r="I521" s="1" t="s">
        <v>39</v>
      </c>
      <c r="J521">
        <v>3</v>
      </c>
      <c r="K521">
        <v>3</v>
      </c>
      <c r="L521">
        <v>10</v>
      </c>
      <c r="M521" s="1" t="s">
        <v>24</v>
      </c>
      <c r="N521" s="2">
        <v>45962</v>
      </c>
      <c r="O521">
        <v>2025</v>
      </c>
      <c r="P521">
        <v>4</v>
      </c>
      <c r="Q521" s="1" t="s">
        <v>24</v>
      </c>
    </row>
    <row r="522" spans="1:17" x14ac:dyDescent="0.3">
      <c r="A522" s="1" t="s">
        <v>587</v>
      </c>
      <c r="B522" s="1" t="s">
        <v>58</v>
      </c>
      <c r="C522" s="1" t="s">
        <v>70</v>
      </c>
      <c r="D522" s="1" t="s">
        <v>51</v>
      </c>
      <c r="E522" s="1" t="s">
        <v>21</v>
      </c>
      <c r="F522" s="1" t="s">
        <v>22</v>
      </c>
      <c r="G522" s="2">
        <v>45727</v>
      </c>
      <c r="H522" s="2">
        <v>45735</v>
      </c>
      <c r="I522" s="1" t="s">
        <v>32</v>
      </c>
      <c r="J522">
        <v>5</v>
      </c>
      <c r="K522">
        <v>8</v>
      </c>
      <c r="L522">
        <v>10</v>
      </c>
      <c r="M522" s="1" t="s">
        <v>24</v>
      </c>
      <c r="N522" s="2">
        <v>45717</v>
      </c>
      <c r="O522">
        <v>2025</v>
      </c>
      <c r="P522">
        <v>1</v>
      </c>
      <c r="Q522" s="1" t="s">
        <v>24</v>
      </c>
    </row>
    <row r="523" spans="1:17" x14ac:dyDescent="0.3">
      <c r="A523" s="1" t="s">
        <v>588</v>
      </c>
      <c r="B523" s="1" t="s">
        <v>18</v>
      </c>
      <c r="C523" s="1" t="s">
        <v>47</v>
      </c>
      <c r="D523" s="1" t="s">
        <v>51</v>
      </c>
      <c r="E523" s="1" t="s">
        <v>48</v>
      </c>
      <c r="F523" s="1" t="s">
        <v>52</v>
      </c>
      <c r="G523" s="2">
        <v>45989</v>
      </c>
      <c r="H523" s="2"/>
      <c r="I523" s="1" t="s">
        <v>23</v>
      </c>
      <c r="L523">
        <v>10</v>
      </c>
      <c r="M523" s="1" t="s">
        <v>40</v>
      </c>
      <c r="N523" s="2">
        <v>45962</v>
      </c>
      <c r="O523">
        <v>2025</v>
      </c>
      <c r="P523">
        <v>4</v>
      </c>
      <c r="Q523" s="1" t="s">
        <v>33</v>
      </c>
    </row>
    <row r="524" spans="1:17" x14ac:dyDescent="0.3">
      <c r="A524" s="1" t="s">
        <v>589</v>
      </c>
      <c r="B524" s="1" t="s">
        <v>26</v>
      </c>
      <c r="C524" s="1" t="s">
        <v>54</v>
      </c>
      <c r="D524" s="1" t="s">
        <v>20</v>
      </c>
      <c r="E524" s="1" t="s">
        <v>21</v>
      </c>
      <c r="F524" s="1" t="s">
        <v>38</v>
      </c>
      <c r="G524" s="2">
        <v>45963</v>
      </c>
      <c r="H524" s="2">
        <v>45972</v>
      </c>
      <c r="I524" s="1" t="s">
        <v>32</v>
      </c>
      <c r="J524">
        <v>4</v>
      </c>
      <c r="K524">
        <v>9</v>
      </c>
      <c r="L524">
        <v>14</v>
      </c>
      <c r="M524" s="1" t="s">
        <v>24</v>
      </c>
      <c r="N524" s="2">
        <v>45962</v>
      </c>
      <c r="O524">
        <v>2025</v>
      </c>
      <c r="P524">
        <v>4</v>
      </c>
      <c r="Q524" s="1" t="s">
        <v>24</v>
      </c>
    </row>
    <row r="525" spans="1:17" x14ac:dyDescent="0.3">
      <c r="A525" s="1" t="s">
        <v>590</v>
      </c>
      <c r="B525" s="1" t="s">
        <v>63</v>
      </c>
      <c r="C525" s="1" t="s">
        <v>84</v>
      </c>
      <c r="D525" s="1" t="s">
        <v>20</v>
      </c>
      <c r="E525" s="1" t="s">
        <v>48</v>
      </c>
      <c r="F525" s="1" t="s">
        <v>61</v>
      </c>
      <c r="G525" s="2">
        <v>45920</v>
      </c>
      <c r="H525" s="2"/>
      <c r="I525" s="1" t="s">
        <v>28</v>
      </c>
      <c r="L525">
        <v>14</v>
      </c>
      <c r="M525" s="1" t="s">
        <v>40</v>
      </c>
      <c r="N525" s="2">
        <v>45901</v>
      </c>
      <c r="O525">
        <v>2025</v>
      </c>
      <c r="P525">
        <v>3</v>
      </c>
      <c r="Q525" s="1" t="s">
        <v>33</v>
      </c>
    </row>
    <row r="526" spans="1:17" x14ac:dyDescent="0.3">
      <c r="A526" s="1" t="s">
        <v>591</v>
      </c>
      <c r="B526" s="1" t="s">
        <v>63</v>
      </c>
      <c r="C526" s="1" t="s">
        <v>64</v>
      </c>
      <c r="D526" s="1" t="s">
        <v>51</v>
      </c>
      <c r="E526" s="1" t="s">
        <v>21</v>
      </c>
      <c r="F526" s="1" t="s">
        <v>22</v>
      </c>
      <c r="G526" s="2">
        <v>45716</v>
      </c>
      <c r="H526" s="2">
        <v>45720</v>
      </c>
      <c r="I526" s="1" t="s">
        <v>23</v>
      </c>
      <c r="J526">
        <v>5</v>
      </c>
      <c r="K526">
        <v>4</v>
      </c>
      <c r="L526">
        <v>10</v>
      </c>
      <c r="M526" s="1" t="s">
        <v>24</v>
      </c>
      <c r="N526" s="2">
        <v>45689</v>
      </c>
      <c r="O526">
        <v>2025</v>
      </c>
      <c r="P526">
        <v>1</v>
      </c>
      <c r="Q526" s="1" t="s">
        <v>24</v>
      </c>
    </row>
    <row r="527" spans="1:17" x14ac:dyDescent="0.3">
      <c r="A527" s="1" t="s">
        <v>592</v>
      </c>
      <c r="B527" s="1" t="s">
        <v>26</v>
      </c>
      <c r="C527" s="1" t="s">
        <v>27</v>
      </c>
      <c r="D527" s="1" t="s">
        <v>51</v>
      </c>
      <c r="E527" s="1" t="s">
        <v>21</v>
      </c>
      <c r="F527" s="1" t="s">
        <v>61</v>
      </c>
      <c r="G527" s="2">
        <v>46001</v>
      </c>
      <c r="H527" s="2">
        <v>46004</v>
      </c>
      <c r="I527" s="1" t="s">
        <v>82</v>
      </c>
      <c r="J527">
        <v>3</v>
      </c>
      <c r="K527">
        <v>3</v>
      </c>
      <c r="L527">
        <v>10</v>
      </c>
      <c r="M527" s="1" t="s">
        <v>24</v>
      </c>
      <c r="N527" s="2">
        <v>45992</v>
      </c>
      <c r="O527">
        <v>2025</v>
      </c>
      <c r="P527">
        <v>4</v>
      </c>
      <c r="Q527" s="1" t="s">
        <v>24</v>
      </c>
    </row>
    <row r="528" spans="1:17" x14ac:dyDescent="0.3">
      <c r="A528" s="1" t="s">
        <v>593</v>
      </c>
      <c r="B528" s="1" t="s">
        <v>58</v>
      </c>
      <c r="C528" s="1" t="s">
        <v>59</v>
      </c>
      <c r="D528" s="1" t="s">
        <v>51</v>
      </c>
      <c r="E528" s="1" t="s">
        <v>21</v>
      </c>
      <c r="F528" s="1" t="s">
        <v>38</v>
      </c>
      <c r="G528" s="2">
        <v>45778</v>
      </c>
      <c r="H528" s="2">
        <v>45781</v>
      </c>
      <c r="I528" s="1" t="s">
        <v>28</v>
      </c>
      <c r="J528">
        <v>3</v>
      </c>
      <c r="K528">
        <v>3</v>
      </c>
      <c r="L528">
        <v>10</v>
      </c>
      <c r="M528" s="1" t="s">
        <v>24</v>
      </c>
      <c r="N528" s="2">
        <v>45778</v>
      </c>
      <c r="O528">
        <v>2025</v>
      </c>
      <c r="P528">
        <v>2</v>
      </c>
      <c r="Q528" s="1" t="s">
        <v>24</v>
      </c>
    </row>
    <row r="529" spans="1:17" x14ac:dyDescent="0.3">
      <c r="A529" s="1" t="s">
        <v>594</v>
      </c>
      <c r="B529" s="1" t="s">
        <v>35</v>
      </c>
      <c r="C529" s="1" t="s">
        <v>50</v>
      </c>
      <c r="D529" s="1" t="s">
        <v>51</v>
      </c>
      <c r="E529" s="1" t="s">
        <v>21</v>
      </c>
      <c r="F529" s="1" t="s">
        <v>52</v>
      </c>
      <c r="G529" s="2">
        <v>45814</v>
      </c>
      <c r="H529" s="2">
        <v>45818</v>
      </c>
      <c r="I529" s="1" t="s">
        <v>32</v>
      </c>
      <c r="J529">
        <v>4</v>
      </c>
      <c r="K529">
        <v>4</v>
      </c>
      <c r="L529">
        <v>10</v>
      </c>
      <c r="M529" s="1" t="s">
        <v>24</v>
      </c>
      <c r="N529" s="2">
        <v>45809</v>
      </c>
      <c r="O529">
        <v>2025</v>
      </c>
      <c r="P529">
        <v>2</v>
      </c>
      <c r="Q529" s="1" t="s">
        <v>24</v>
      </c>
    </row>
    <row r="530" spans="1:17" x14ac:dyDescent="0.3">
      <c r="A530" s="1" t="s">
        <v>595</v>
      </c>
      <c r="B530" s="1" t="s">
        <v>58</v>
      </c>
      <c r="C530" s="1" t="s">
        <v>108</v>
      </c>
      <c r="D530" s="1" t="s">
        <v>20</v>
      </c>
      <c r="E530" s="1" t="s">
        <v>21</v>
      </c>
      <c r="F530" s="1" t="s">
        <v>31</v>
      </c>
      <c r="G530" s="2">
        <v>45771</v>
      </c>
      <c r="H530" s="2">
        <v>45785</v>
      </c>
      <c r="I530" s="1" t="s">
        <v>32</v>
      </c>
      <c r="J530">
        <v>5</v>
      </c>
      <c r="K530">
        <v>14</v>
      </c>
      <c r="L530">
        <v>14</v>
      </c>
      <c r="M530" s="1" t="s">
        <v>24</v>
      </c>
      <c r="N530" s="2">
        <v>45748</v>
      </c>
      <c r="O530">
        <v>2025</v>
      </c>
      <c r="P530">
        <v>2</v>
      </c>
      <c r="Q530" s="1" t="s">
        <v>24</v>
      </c>
    </row>
    <row r="531" spans="1:17" x14ac:dyDescent="0.3">
      <c r="A531" s="1" t="s">
        <v>596</v>
      </c>
      <c r="B531" s="1" t="s">
        <v>35</v>
      </c>
      <c r="C531" s="1" t="s">
        <v>36</v>
      </c>
      <c r="D531" s="1" t="s">
        <v>51</v>
      </c>
      <c r="E531" s="1" t="s">
        <v>21</v>
      </c>
      <c r="F531" s="1" t="s">
        <v>52</v>
      </c>
      <c r="G531" s="2">
        <v>45903</v>
      </c>
      <c r="H531" s="2">
        <v>45912</v>
      </c>
      <c r="I531" s="1" t="s">
        <v>39</v>
      </c>
      <c r="J531">
        <v>4</v>
      </c>
      <c r="K531">
        <v>9</v>
      </c>
      <c r="L531">
        <v>10</v>
      </c>
      <c r="M531" s="1" t="s">
        <v>24</v>
      </c>
      <c r="N531" s="2">
        <v>45901</v>
      </c>
      <c r="O531">
        <v>2025</v>
      </c>
      <c r="P531">
        <v>3</v>
      </c>
      <c r="Q531" s="1" t="s">
        <v>24</v>
      </c>
    </row>
    <row r="532" spans="1:17" x14ac:dyDescent="0.3">
      <c r="A532" s="1" t="s">
        <v>597</v>
      </c>
      <c r="B532" s="1" t="s">
        <v>26</v>
      </c>
      <c r="C532" s="1" t="s">
        <v>67</v>
      </c>
      <c r="D532" s="1" t="s">
        <v>20</v>
      </c>
      <c r="E532" s="1" t="s">
        <v>21</v>
      </c>
      <c r="F532" s="1" t="s">
        <v>61</v>
      </c>
      <c r="G532" s="2">
        <v>45801</v>
      </c>
      <c r="H532" s="2">
        <v>45806</v>
      </c>
      <c r="I532" s="1" t="s">
        <v>32</v>
      </c>
      <c r="J532">
        <v>5</v>
      </c>
      <c r="K532">
        <v>5</v>
      </c>
      <c r="L532">
        <v>14</v>
      </c>
      <c r="M532" s="1" t="s">
        <v>24</v>
      </c>
      <c r="N532" s="2">
        <v>45778</v>
      </c>
      <c r="O532">
        <v>2025</v>
      </c>
      <c r="P532">
        <v>2</v>
      </c>
      <c r="Q532" s="1" t="s">
        <v>24</v>
      </c>
    </row>
    <row r="533" spans="1:17" x14ac:dyDescent="0.3">
      <c r="A533" s="1" t="s">
        <v>598</v>
      </c>
      <c r="B533" s="1" t="s">
        <v>18</v>
      </c>
      <c r="C533" s="1" t="s">
        <v>19</v>
      </c>
      <c r="D533" s="1" t="s">
        <v>44</v>
      </c>
      <c r="E533" s="1" t="s">
        <v>48</v>
      </c>
      <c r="F533" s="1" t="s">
        <v>38</v>
      </c>
      <c r="G533" s="2">
        <v>45917</v>
      </c>
      <c r="H533" s="2"/>
      <c r="I533" s="1" t="s">
        <v>82</v>
      </c>
      <c r="L533">
        <v>7</v>
      </c>
      <c r="M533" s="1" t="s">
        <v>40</v>
      </c>
      <c r="N533" s="2">
        <v>45901</v>
      </c>
      <c r="O533">
        <v>2025</v>
      </c>
      <c r="P533">
        <v>3</v>
      </c>
      <c r="Q533" s="1" t="s">
        <v>33</v>
      </c>
    </row>
    <row r="534" spans="1:17" x14ac:dyDescent="0.3">
      <c r="A534" s="1" t="s">
        <v>599</v>
      </c>
      <c r="B534" s="1" t="s">
        <v>26</v>
      </c>
      <c r="C534" s="1" t="s">
        <v>27</v>
      </c>
      <c r="D534" s="1" t="s">
        <v>44</v>
      </c>
      <c r="E534" s="1" t="s">
        <v>21</v>
      </c>
      <c r="F534" s="1" t="s">
        <v>22</v>
      </c>
      <c r="G534" s="2">
        <v>45676</v>
      </c>
      <c r="H534" s="2">
        <v>45681</v>
      </c>
      <c r="I534" s="1" t="s">
        <v>39</v>
      </c>
      <c r="J534">
        <v>3</v>
      </c>
      <c r="K534">
        <v>5</v>
      </c>
      <c r="L534">
        <v>7</v>
      </c>
      <c r="M534" s="1" t="s">
        <v>24</v>
      </c>
      <c r="N534" s="2">
        <v>45658</v>
      </c>
      <c r="O534">
        <v>2025</v>
      </c>
      <c r="P534">
        <v>1</v>
      </c>
      <c r="Q534" s="1" t="s">
        <v>24</v>
      </c>
    </row>
    <row r="535" spans="1:17" x14ac:dyDescent="0.3">
      <c r="A535" s="1" t="s">
        <v>600</v>
      </c>
      <c r="B535" s="1" t="s">
        <v>18</v>
      </c>
      <c r="C535" s="1" t="s">
        <v>47</v>
      </c>
      <c r="D535" s="1" t="s">
        <v>51</v>
      </c>
      <c r="E535" s="1" t="s">
        <v>21</v>
      </c>
      <c r="F535" s="1" t="s">
        <v>22</v>
      </c>
      <c r="G535" s="2">
        <v>45959</v>
      </c>
      <c r="H535" s="2">
        <v>45965</v>
      </c>
      <c r="I535" s="1" t="s">
        <v>82</v>
      </c>
      <c r="J535">
        <v>3</v>
      </c>
      <c r="K535">
        <v>6</v>
      </c>
      <c r="L535">
        <v>10</v>
      </c>
      <c r="M535" s="1" t="s">
        <v>24</v>
      </c>
      <c r="N535" s="2">
        <v>45931</v>
      </c>
      <c r="O535">
        <v>2025</v>
      </c>
      <c r="P535">
        <v>4</v>
      </c>
      <c r="Q535" s="1" t="s">
        <v>24</v>
      </c>
    </row>
    <row r="536" spans="1:17" x14ac:dyDescent="0.3">
      <c r="A536" s="1" t="s">
        <v>601</v>
      </c>
      <c r="B536" s="1" t="s">
        <v>42</v>
      </c>
      <c r="C536" s="1" t="s">
        <v>87</v>
      </c>
      <c r="D536" s="1" t="s">
        <v>51</v>
      </c>
      <c r="E536" s="1" t="s">
        <v>21</v>
      </c>
      <c r="F536" s="1" t="s">
        <v>61</v>
      </c>
      <c r="G536" s="2">
        <v>45780</v>
      </c>
      <c r="H536" s="2">
        <v>45784</v>
      </c>
      <c r="I536" s="1" t="s">
        <v>39</v>
      </c>
      <c r="J536">
        <v>5</v>
      </c>
      <c r="K536">
        <v>4</v>
      </c>
      <c r="L536">
        <v>10</v>
      </c>
      <c r="M536" s="1" t="s">
        <v>24</v>
      </c>
      <c r="N536" s="2">
        <v>45778</v>
      </c>
      <c r="O536">
        <v>2025</v>
      </c>
      <c r="P536">
        <v>2</v>
      </c>
      <c r="Q536" s="1" t="s">
        <v>24</v>
      </c>
    </row>
    <row r="537" spans="1:17" x14ac:dyDescent="0.3">
      <c r="A537" s="1" t="s">
        <v>602</v>
      </c>
      <c r="B537" s="1" t="s">
        <v>63</v>
      </c>
      <c r="C537" s="1" t="s">
        <v>64</v>
      </c>
      <c r="D537" s="1" t="s">
        <v>51</v>
      </c>
      <c r="E537" s="1" t="s">
        <v>21</v>
      </c>
      <c r="F537" s="1" t="s">
        <v>38</v>
      </c>
      <c r="G537" s="2">
        <v>45732</v>
      </c>
      <c r="H537" s="2">
        <v>45741</v>
      </c>
      <c r="I537" s="1" t="s">
        <v>28</v>
      </c>
      <c r="J537">
        <v>5</v>
      </c>
      <c r="K537">
        <v>9</v>
      </c>
      <c r="L537">
        <v>10</v>
      </c>
      <c r="M537" s="1" t="s">
        <v>24</v>
      </c>
      <c r="N537" s="2">
        <v>45717</v>
      </c>
      <c r="O537">
        <v>2025</v>
      </c>
      <c r="P537">
        <v>1</v>
      </c>
      <c r="Q537" s="1" t="s">
        <v>24</v>
      </c>
    </row>
    <row r="538" spans="1:17" x14ac:dyDescent="0.3">
      <c r="A538" s="1" t="s">
        <v>603</v>
      </c>
      <c r="B538" s="1" t="s">
        <v>58</v>
      </c>
      <c r="C538" s="1" t="s">
        <v>108</v>
      </c>
      <c r="D538" s="1" t="s">
        <v>20</v>
      </c>
      <c r="E538" s="1" t="s">
        <v>21</v>
      </c>
      <c r="F538" s="1" t="s">
        <v>52</v>
      </c>
      <c r="G538" s="2">
        <v>45679</v>
      </c>
      <c r="H538" s="2">
        <v>45692</v>
      </c>
      <c r="I538" s="1" t="s">
        <v>39</v>
      </c>
      <c r="J538">
        <v>3</v>
      </c>
      <c r="K538">
        <v>13</v>
      </c>
      <c r="L538">
        <v>14</v>
      </c>
      <c r="M538" s="1" t="s">
        <v>24</v>
      </c>
      <c r="N538" s="2">
        <v>45658</v>
      </c>
      <c r="O538">
        <v>2025</v>
      </c>
      <c r="P538">
        <v>1</v>
      </c>
      <c r="Q538" s="1" t="s">
        <v>24</v>
      </c>
    </row>
    <row r="539" spans="1:17" x14ac:dyDescent="0.3">
      <c r="A539" s="1" t="s">
        <v>604</v>
      </c>
      <c r="B539" s="1" t="s">
        <v>58</v>
      </c>
      <c r="C539" s="1" t="s">
        <v>145</v>
      </c>
      <c r="D539" s="1" t="s">
        <v>44</v>
      </c>
      <c r="E539" s="1" t="s">
        <v>21</v>
      </c>
      <c r="F539" s="1" t="s">
        <v>22</v>
      </c>
      <c r="G539" s="2">
        <v>45990</v>
      </c>
      <c r="H539" s="2">
        <v>45993</v>
      </c>
      <c r="I539" s="1" t="s">
        <v>32</v>
      </c>
      <c r="J539">
        <v>2</v>
      </c>
      <c r="K539">
        <v>3</v>
      </c>
      <c r="L539">
        <v>7</v>
      </c>
      <c r="M539" s="1" t="s">
        <v>24</v>
      </c>
      <c r="N539" s="2">
        <v>45962</v>
      </c>
      <c r="O539">
        <v>2025</v>
      </c>
      <c r="P539">
        <v>4</v>
      </c>
      <c r="Q539" s="1" t="s">
        <v>24</v>
      </c>
    </row>
    <row r="540" spans="1:17" x14ac:dyDescent="0.3">
      <c r="A540" s="1" t="s">
        <v>605</v>
      </c>
      <c r="B540" s="1" t="s">
        <v>18</v>
      </c>
      <c r="C540" s="1" t="s">
        <v>56</v>
      </c>
      <c r="D540" s="1" t="s">
        <v>51</v>
      </c>
      <c r="E540" s="1" t="s">
        <v>21</v>
      </c>
      <c r="F540" s="1" t="s">
        <v>38</v>
      </c>
      <c r="G540" s="2">
        <v>45850</v>
      </c>
      <c r="H540" s="2">
        <v>45858</v>
      </c>
      <c r="I540" s="1" t="s">
        <v>82</v>
      </c>
      <c r="J540">
        <v>4</v>
      </c>
      <c r="K540">
        <v>8</v>
      </c>
      <c r="L540">
        <v>10</v>
      </c>
      <c r="M540" s="1" t="s">
        <v>24</v>
      </c>
      <c r="N540" s="2">
        <v>45839</v>
      </c>
      <c r="O540">
        <v>2025</v>
      </c>
      <c r="P540">
        <v>3</v>
      </c>
      <c r="Q540" s="1" t="s">
        <v>24</v>
      </c>
    </row>
    <row r="541" spans="1:17" x14ac:dyDescent="0.3">
      <c r="A541" s="1" t="s">
        <v>606</v>
      </c>
      <c r="B541" s="1" t="s">
        <v>35</v>
      </c>
      <c r="C541" s="1" t="s">
        <v>50</v>
      </c>
      <c r="D541" s="1" t="s">
        <v>71</v>
      </c>
      <c r="E541" s="1" t="s">
        <v>21</v>
      </c>
      <c r="F541" s="1" t="s">
        <v>52</v>
      </c>
      <c r="G541" s="2">
        <v>45865</v>
      </c>
      <c r="H541" s="2">
        <v>45867</v>
      </c>
      <c r="I541" s="1" t="s">
        <v>39</v>
      </c>
      <c r="J541">
        <v>5</v>
      </c>
      <c r="K541">
        <v>2</v>
      </c>
      <c r="L541">
        <v>3</v>
      </c>
      <c r="M541" s="1" t="s">
        <v>24</v>
      </c>
      <c r="N541" s="2">
        <v>45839</v>
      </c>
      <c r="O541">
        <v>2025</v>
      </c>
      <c r="P541">
        <v>3</v>
      </c>
      <c r="Q541" s="1" t="s">
        <v>24</v>
      </c>
    </row>
    <row r="542" spans="1:17" x14ac:dyDescent="0.3">
      <c r="A542" s="1" t="s">
        <v>607</v>
      </c>
      <c r="B542" s="1" t="s">
        <v>58</v>
      </c>
      <c r="C542" s="1" t="s">
        <v>70</v>
      </c>
      <c r="D542" s="1" t="s">
        <v>51</v>
      </c>
      <c r="E542" s="1" t="s">
        <v>21</v>
      </c>
      <c r="F542" s="1" t="s">
        <v>52</v>
      </c>
      <c r="G542" s="2">
        <v>45742</v>
      </c>
      <c r="H542" s="2">
        <v>45747</v>
      </c>
      <c r="I542" s="1" t="s">
        <v>28</v>
      </c>
      <c r="J542">
        <v>2</v>
      </c>
      <c r="K542">
        <v>5</v>
      </c>
      <c r="L542">
        <v>10</v>
      </c>
      <c r="M542" s="1" t="s">
        <v>24</v>
      </c>
      <c r="N542" s="2">
        <v>45717</v>
      </c>
      <c r="O542">
        <v>2025</v>
      </c>
      <c r="P542">
        <v>1</v>
      </c>
      <c r="Q542" s="1" t="s">
        <v>24</v>
      </c>
    </row>
    <row r="543" spans="1:17" x14ac:dyDescent="0.3">
      <c r="A543" s="1" t="s">
        <v>608</v>
      </c>
      <c r="B543" s="1" t="s">
        <v>63</v>
      </c>
      <c r="C543" s="1" t="s">
        <v>64</v>
      </c>
      <c r="D543" s="1" t="s">
        <v>20</v>
      </c>
      <c r="E543" s="1" t="s">
        <v>21</v>
      </c>
      <c r="F543" s="1" t="s">
        <v>52</v>
      </c>
      <c r="G543" s="2">
        <v>45718</v>
      </c>
      <c r="H543" s="2">
        <v>45731</v>
      </c>
      <c r="I543" s="1" t="s">
        <v>23</v>
      </c>
      <c r="J543">
        <v>3</v>
      </c>
      <c r="K543">
        <v>13</v>
      </c>
      <c r="L543">
        <v>14</v>
      </c>
      <c r="M543" s="1" t="s">
        <v>24</v>
      </c>
      <c r="N543" s="2">
        <v>45717</v>
      </c>
      <c r="O543">
        <v>2025</v>
      </c>
      <c r="P543">
        <v>1</v>
      </c>
      <c r="Q543" s="1" t="s">
        <v>24</v>
      </c>
    </row>
    <row r="544" spans="1:17" x14ac:dyDescent="0.3">
      <c r="A544" s="1" t="s">
        <v>609</v>
      </c>
      <c r="B544" s="1" t="s">
        <v>58</v>
      </c>
      <c r="C544" s="1" t="s">
        <v>145</v>
      </c>
      <c r="D544" s="1" t="s">
        <v>51</v>
      </c>
      <c r="E544" s="1" t="s">
        <v>21</v>
      </c>
      <c r="F544" s="1" t="s">
        <v>38</v>
      </c>
      <c r="G544" s="2">
        <v>45989</v>
      </c>
      <c r="H544" s="2">
        <v>45997</v>
      </c>
      <c r="I544" s="1" t="s">
        <v>28</v>
      </c>
      <c r="J544">
        <v>1</v>
      </c>
      <c r="K544">
        <v>8</v>
      </c>
      <c r="L544">
        <v>10</v>
      </c>
      <c r="M544" s="1" t="s">
        <v>24</v>
      </c>
      <c r="N544" s="2">
        <v>45962</v>
      </c>
      <c r="O544">
        <v>2025</v>
      </c>
      <c r="P544">
        <v>4</v>
      </c>
      <c r="Q544" s="1" t="s">
        <v>24</v>
      </c>
    </row>
    <row r="545" spans="1:17" x14ac:dyDescent="0.3">
      <c r="A545" s="1" t="s">
        <v>610</v>
      </c>
      <c r="B545" s="1" t="s">
        <v>26</v>
      </c>
      <c r="C545" s="1" t="s">
        <v>54</v>
      </c>
      <c r="D545" s="1" t="s">
        <v>20</v>
      </c>
      <c r="E545" s="1" t="s">
        <v>21</v>
      </c>
      <c r="F545" s="1" t="s">
        <v>52</v>
      </c>
      <c r="G545" s="2">
        <v>45951</v>
      </c>
      <c r="H545" s="2">
        <v>45956</v>
      </c>
      <c r="I545" s="1" t="s">
        <v>28</v>
      </c>
      <c r="J545">
        <v>2</v>
      </c>
      <c r="K545">
        <v>5</v>
      </c>
      <c r="L545">
        <v>14</v>
      </c>
      <c r="M545" s="1" t="s">
        <v>24</v>
      </c>
      <c r="N545" s="2">
        <v>45931</v>
      </c>
      <c r="O545">
        <v>2025</v>
      </c>
      <c r="P545">
        <v>4</v>
      </c>
      <c r="Q545" s="1" t="s">
        <v>24</v>
      </c>
    </row>
    <row r="546" spans="1:17" x14ac:dyDescent="0.3">
      <c r="A546" s="1" t="s">
        <v>611</v>
      </c>
      <c r="B546" s="1" t="s">
        <v>26</v>
      </c>
      <c r="C546" s="1" t="s">
        <v>27</v>
      </c>
      <c r="D546" s="1" t="s">
        <v>51</v>
      </c>
      <c r="E546" s="1" t="s">
        <v>21</v>
      </c>
      <c r="F546" s="1" t="s">
        <v>61</v>
      </c>
      <c r="G546" s="2">
        <v>45667</v>
      </c>
      <c r="H546" s="2">
        <v>45673</v>
      </c>
      <c r="I546" s="1" t="s">
        <v>39</v>
      </c>
      <c r="J546">
        <v>5</v>
      </c>
      <c r="K546">
        <v>6</v>
      </c>
      <c r="L546">
        <v>10</v>
      </c>
      <c r="M546" s="1" t="s">
        <v>24</v>
      </c>
      <c r="N546" s="2">
        <v>45658</v>
      </c>
      <c r="O546">
        <v>2025</v>
      </c>
      <c r="P546">
        <v>1</v>
      </c>
      <c r="Q546" s="1" t="s">
        <v>24</v>
      </c>
    </row>
    <row r="547" spans="1:17" x14ac:dyDescent="0.3">
      <c r="A547" s="1" t="s">
        <v>612</v>
      </c>
      <c r="B547" s="1" t="s">
        <v>26</v>
      </c>
      <c r="C547" s="1" t="s">
        <v>27</v>
      </c>
      <c r="D547" s="1" t="s">
        <v>44</v>
      </c>
      <c r="E547" s="1" t="s">
        <v>21</v>
      </c>
      <c r="F547" s="1" t="s">
        <v>22</v>
      </c>
      <c r="G547" s="2">
        <v>45868</v>
      </c>
      <c r="H547" s="2">
        <v>45873</v>
      </c>
      <c r="I547" s="1" t="s">
        <v>28</v>
      </c>
      <c r="J547">
        <v>3</v>
      </c>
      <c r="K547">
        <v>5</v>
      </c>
      <c r="L547">
        <v>7</v>
      </c>
      <c r="M547" s="1" t="s">
        <v>24</v>
      </c>
      <c r="N547" s="2">
        <v>45839</v>
      </c>
      <c r="O547">
        <v>2025</v>
      </c>
      <c r="P547">
        <v>3</v>
      </c>
      <c r="Q547" s="1" t="s">
        <v>24</v>
      </c>
    </row>
    <row r="548" spans="1:17" x14ac:dyDescent="0.3">
      <c r="A548" s="1" t="s">
        <v>613</v>
      </c>
      <c r="B548" s="1" t="s">
        <v>26</v>
      </c>
      <c r="C548" s="1" t="s">
        <v>123</v>
      </c>
      <c r="D548" s="1" t="s">
        <v>20</v>
      </c>
      <c r="E548" s="1" t="s">
        <v>21</v>
      </c>
      <c r="F548" s="1" t="s">
        <v>61</v>
      </c>
      <c r="G548" s="2">
        <v>45890</v>
      </c>
      <c r="H548" s="2">
        <v>45902</v>
      </c>
      <c r="I548" s="1" t="s">
        <v>39</v>
      </c>
      <c r="J548">
        <v>4</v>
      </c>
      <c r="K548">
        <v>12</v>
      </c>
      <c r="L548">
        <v>14</v>
      </c>
      <c r="M548" s="1" t="s">
        <v>24</v>
      </c>
      <c r="N548" s="2">
        <v>45870</v>
      </c>
      <c r="O548">
        <v>2025</v>
      </c>
      <c r="P548">
        <v>3</v>
      </c>
      <c r="Q548" s="1" t="s">
        <v>24</v>
      </c>
    </row>
    <row r="549" spans="1:17" x14ac:dyDescent="0.3">
      <c r="A549" s="1" t="s">
        <v>614</v>
      </c>
      <c r="B549" s="1" t="s">
        <v>58</v>
      </c>
      <c r="C549" s="1" t="s">
        <v>108</v>
      </c>
      <c r="D549" s="1" t="s">
        <v>20</v>
      </c>
      <c r="E549" s="1" t="s">
        <v>21</v>
      </c>
      <c r="F549" s="1" t="s">
        <v>61</v>
      </c>
      <c r="G549" s="2">
        <v>45916</v>
      </c>
      <c r="H549" s="2">
        <v>45929</v>
      </c>
      <c r="I549" s="1" t="s">
        <v>82</v>
      </c>
      <c r="J549">
        <v>4</v>
      </c>
      <c r="K549">
        <v>13</v>
      </c>
      <c r="L549">
        <v>14</v>
      </c>
      <c r="M549" s="1" t="s">
        <v>24</v>
      </c>
      <c r="N549" s="2">
        <v>45901</v>
      </c>
      <c r="O549">
        <v>2025</v>
      </c>
      <c r="P549">
        <v>3</v>
      </c>
      <c r="Q549" s="1" t="s">
        <v>24</v>
      </c>
    </row>
    <row r="550" spans="1:17" x14ac:dyDescent="0.3">
      <c r="A550" s="1" t="s">
        <v>615</v>
      </c>
      <c r="B550" s="1" t="s">
        <v>42</v>
      </c>
      <c r="C550" s="1" t="s">
        <v>76</v>
      </c>
      <c r="D550" s="1" t="s">
        <v>51</v>
      </c>
      <c r="E550" s="1" t="s">
        <v>21</v>
      </c>
      <c r="F550" s="1" t="s">
        <v>38</v>
      </c>
      <c r="G550" s="2">
        <v>45677</v>
      </c>
      <c r="H550" s="2">
        <v>45687</v>
      </c>
      <c r="I550" s="1" t="s">
        <v>23</v>
      </c>
      <c r="J550">
        <v>4</v>
      </c>
      <c r="K550">
        <v>10</v>
      </c>
      <c r="L550">
        <v>10</v>
      </c>
      <c r="M550" s="1" t="s">
        <v>24</v>
      </c>
      <c r="N550" s="2">
        <v>45658</v>
      </c>
      <c r="O550">
        <v>2025</v>
      </c>
      <c r="P550">
        <v>1</v>
      </c>
      <c r="Q550" s="1" t="s">
        <v>24</v>
      </c>
    </row>
    <row r="551" spans="1:17" x14ac:dyDescent="0.3">
      <c r="A551" s="1" t="s">
        <v>616</v>
      </c>
      <c r="B551" s="1" t="s">
        <v>58</v>
      </c>
      <c r="C551" s="1" t="s">
        <v>108</v>
      </c>
      <c r="D551" s="1" t="s">
        <v>44</v>
      </c>
      <c r="E551" s="1" t="s">
        <v>21</v>
      </c>
      <c r="F551" s="1" t="s">
        <v>31</v>
      </c>
      <c r="G551" s="2">
        <v>45658</v>
      </c>
      <c r="H551" s="2">
        <v>45665</v>
      </c>
      <c r="I551" s="1" t="s">
        <v>82</v>
      </c>
      <c r="J551">
        <v>5</v>
      </c>
      <c r="K551">
        <v>7</v>
      </c>
      <c r="L551">
        <v>7</v>
      </c>
      <c r="M551" s="1" t="s">
        <v>24</v>
      </c>
      <c r="N551" s="2">
        <v>45658</v>
      </c>
      <c r="O551">
        <v>2025</v>
      </c>
      <c r="P551">
        <v>1</v>
      </c>
      <c r="Q551" s="1" t="s">
        <v>24</v>
      </c>
    </row>
    <row r="552" spans="1:17" x14ac:dyDescent="0.3">
      <c r="A552" s="1" t="s">
        <v>617</v>
      </c>
      <c r="B552" s="1" t="s">
        <v>58</v>
      </c>
      <c r="C552" s="1" t="s">
        <v>59</v>
      </c>
      <c r="D552" s="1" t="s">
        <v>44</v>
      </c>
      <c r="E552" s="1" t="s">
        <v>21</v>
      </c>
      <c r="F552" s="1" t="s">
        <v>31</v>
      </c>
      <c r="G552" s="2">
        <v>45877</v>
      </c>
      <c r="H552" s="2">
        <v>45879</v>
      </c>
      <c r="I552" s="1" t="s">
        <v>39</v>
      </c>
      <c r="J552">
        <v>5</v>
      </c>
      <c r="K552">
        <v>2</v>
      </c>
      <c r="L552">
        <v>7</v>
      </c>
      <c r="M552" s="1" t="s">
        <v>24</v>
      </c>
      <c r="N552" s="2">
        <v>45870</v>
      </c>
      <c r="O552">
        <v>2025</v>
      </c>
      <c r="P552">
        <v>3</v>
      </c>
      <c r="Q552" s="1" t="s">
        <v>24</v>
      </c>
    </row>
    <row r="553" spans="1:17" x14ac:dyDescent="0.3">
      <c r="A553" s="1" t="s">
        <v>618</v>
      </c>
      <c r="B553" s="1" t="s">
        <v>35</v>
      </c>
      <c r="C553" s="1" t="s">
        <v>99</v>
      </c>
      <c r="D553" s="1" t="s">
        <v>51</v>
      </c>
      <c r="E553" s="1" t="s">
        <v>21</v>
      </c>
      <c r="F553" s="1" t="s">
        <v>22</v>
      </c>
      <c r="G553" s="2">
        <v>45777</v>
      </c>
      <c r="H553" s="2">
        <v>45780</v>
      </c>
      <c r="I553" s="1" t="s">
        <v>39</v>
      </c>
      <c r="J553">
        <v>3</v>
      </c>
      <c r="K553">
        <v>3</v>
      </c>
      <c r="L553">
        <v>10</v>
      </c>
      <c r="M553" s="1" t="s">
        <v>24</v>
      </c>
      <c r="N553" s="2">
        <v>45748</v>
      </c>
      <c r="O553">
        <v>2025</v>
      </c>
      <c r="P553">
        <v>2</v>
      </c>
      <c r="Q553" s="1" t="s">
        <v>24</v>
      </c>
    </row>
    <row r="554" spans="1:17" x14ac:dyDescent="0.3">
      <c r="A554" s="1" t="s">
        <v>619</v>
      </c>
      <c r="B554" s="1" t="s">
        <v>35</v>
      </c>
      <c r="C554" s="1" t="s">
        <v>36</v>
      </c>
      <c r="D554" s="1" t="s">
        <v>20</v>
      </c>
      <c r="E554" s="1" t="s">
        <v>37</v>
      </c>
      <c r="F554" s="1" t="s">
        <v>22</v>
      </c>
      <c r="G554" s="2">
        <v>45661</v>
      </c>
      <c r="H554" s="2"/>
      <c r="I554" s="1" t="s">
        <v>82</v>
      </c>
      <c r="L554">
        <v>14</v>
      </c>
      <c r="M554" s="1" t="s">
        <v>40</v>
      </c>
      <c r="N554" s="2">
        <v>45658</v>
      </c>
      <c r="O554">
        <v>2025</v>
      </c>
      <c r="P554">
        <v>1</v>
      </c>
      <c r="Q554" s="1" t="s">
        <v>33</v>
      </c>
    </row>
    <row r="555" spans="1:17" x14ac:dyDescent="0.3">
      <c r="A555" s="1" t="s">
        <v>620</v>
      </c>
      <c r="B555" s="1" t="s">
        <v>42</v>
      </c>
      <c r="C555" s="1" t="s">
        <v>81</v>
      </c>
      <c r="D555" s="1" t="s">
        <v>51</v>
      </c>
      <c r="E555" s="1" t="s">
        <v>21</v>
      </c>
      <c r="F555" s="1" t="s">
        <v>61</v>
      </c>
      <c r="G555" s="2">
        <v>45819</v>
      </c>
      <c r="H555" s="2">
        <v>45827</v>
      </c>
      <c r="I555" s="1" t="s">
        <v>39</v>
      </c>
      <c r="J555">
        <v>4</v>
      </c>
      <c r="K555">
        <v>8</v>
      </c>
      <c r="L555">
        <v>10</v>
      </c>
      <c r="M555" s="1" t="s">
        <v>24</v>
      </c>
      <c r="N555" s="2">
        <v>45809</v>
      </c>
      <c r="O555">
        <v>2025</v>
      </c>
      <c r="P555">
        <v>2</v>
      </c>
      <c r="Q555" s="1" t="s">
        <v>24</v>
      </c>
    </row>
    <row r="556" spans="1:17" x14ac:dyDescent="0.3">
      <c r="A556" s="1" t="s">
        <v>621</v>
      </c>
      <c r="B556" s="1" t="s">
        <v>18</v>
      </c>
      <c r="C556" s="1" t="s">
        <v>56</v>
      </c>
      <c r="D556" s="1" t="s">
        <v>51</v>
      </c>
      <c r="E556" s="1" t="s">
        <v>21</v>
      </c>
      <c r="F556" s="1" t="s">
        <v>31</v>
      </c>
      <c r="G556" s="2">
        <v>45947</v>
      </c>
      <c r="H556" s="2">
        <v>45954</v>
      </c>
      <c r="I556" s="1" t="s">
        <v>28</v>
      </c>
      <c r="J556">
        <v>4</v>
      </c>
      <c r="K556">
        <v>7</v>
      </c>
      <c r="L556">
        <v>10</v>
      </c>
      <c r="M556" s="1" t="s">
        <v>24</v>
      </c>
      <c r="N556" s="2">
        <v>45931</v>
      </c>
      <c r="O556">
        <v>2025</v>
      </c>
      <c r="P556">
        <v>4</v>
      </c>
      <c r="Q556" s="1" t="s">
        <v>24</v>
      </c>
    </row>
    <row r="557" spans="1:17" x14ac:dyDescent="0.3">
      <c r="A557" s="1" t="s">
        <v>622</v>
      </c>
      <c r="B557" s="1" t="s">
        <v>58</v>
      </c>
      <c r="C557" s="1" t="s">
        <v>145</v>
      </c>
      <c r="D557" s="1" t="s">
        <v>20</v>
      </c>
      <c r="E557" s="1" t="s">
        <v>21</v>
      </c>
      <c r="F557" s="1" t="s">
        <v>22</v>
      </c>
      <c r="G557" s="2">
        <v>45905</v>
      </c>
      <c r="H557" s="2">
        <v>45912</v>
      </c>
      <c r="I557" s="1" t="s">
        <v>32</v>
      </c>
      <c r="J557">
        <v>5</v>
      </c>
      <c r="K557">
        <v>7</v>
      </c>
      <c r="L557">
        <v>14</v>
      </c>
      <c r="M557" s="1" t="s">
        <v>24</v>
      </c>
      <c r="N557" s="2">
        <v>45901</v>
      </c>
      <c r="O557">
        <v>2025</v>
      </c>
      <c r="P557">
        <v>3</v>
      </c>
      <c r="Q557" s="1" t="s">
        <v>24</v>
      </c>
    </row>
    <row r="558" spans="1:17" x14ac:dyDescent="0.3">
      <c r="A558" s="1" t="s">
        <v>623</v>
      </c>
      <c r="B558" s="1" t="s">
        <v>18</v>
      </c>
      <c r="C558" s="1" t="s">
        <v>30</v>
      </c>
      <c r="D558" s="1" t="s">
        <v>44</v>
      </c>
      <c r="E558" s="1" t="s">
        <v>37</v>
      </c>
      <c r="F558" s="1" t="s">
        <v>38</v>
      </c>
      <c r="G558" s="2">
        <v>45995</v>
      </c>
      <c r="H558" s="2"/>
      <c r="I558" s="1" t="s">
        <v>28</v>
      </c>
      <c r="L558">
        <v>7</v>
      </c>
      <c r="M558" s="1" t="s">
        <v>40</v>
      </c>
      <c r="N558" s="2">
        <v>45992</v>
      </c>
      <c r="O558">
        <v>2025</v>
      </c>
      <c r="P558">
        <v>4</v>
      </c>
      <c r="Q558" s="1" t="s">
        <v>33</v>
      </c>
    </row>
    <row r="559" spans="1:17" x14ac:dyDescent="0.3">
      <c r="A559" s="1" t="s">
        <v>624</v>
      </c>
      <c r="B559" s="1" t="s">
        <v>58</v>
      </c>
      <c r="C559" s="1" t="s">
        <v>108</v>
      </c>
      <c r="D559" s="1" t="s">
        <v>20</v>
      </c>
      <c r="E559" s="1" t="s">
        <v>21</v>
      </c>
      <c r="F559" s="1" t="s">
        <v>38</v>
      </c>
      <c r="G559" s="2">
        <v>45831</v>
      </c>
      <c r="H559" s="2">
        <v>45846</v>
      </c>
      <c r="I559" s="1" t="s">
        <v>28</v>
      </c>
      <c r="J559">
        <v>4</v>
      </c>
      <c r="K559">
        <v>15</v>
      </c>
      <c r="L559">
        <v>14</v>
      </c>
      <c r="M559" s="1" t="s">
        <v>33</v>
      </c>
      <c r="N559" s="2">
        <v>45809</v>
      </c>
      <c r="O559">
        <v>2025</v>
      </c>
      <c r="P559">
        <v>2</v>
      </c>
      <c r="Q559" s="1" t="s">
        <v>24</v>
      </c>
    </row>
    <row r="560" spans="1:17" x14ac:dyDescent="0.3">
      <c r="A560" s="1" t="s">
        <v>625</v>
      </c>
      <c r="B560" s="1" t="s">
        <v>58</v>
      </c>
      <c r="C560" s="1" t="s">
        <v>70</v>
      </c>
      <c r="D560" s="1" t="s">
        <v>44</v>
      </c>
      <c r="E560" s="1" t="s">
        <v>37</v>
      </c>
      <c r="F560" s="1" t="s">
        <v>22</v>
      </c>
      <c r="G560" s="2">
        <v>45899</v>
      </c>
      <c r="H560" s="2"/>
      <c r="I560" s="1" t="s">
        <v>39</v>
      </c>
      <c r="L560">
        <v>7</v>
      </c>
      <c r="M560" s="1" t="s">
        <v>40</v>
      </c>
      <c r="N560" s="2">
        <v>45870</v>
      </c>
      <c r="O560">
        <v>2025</v>
      </c>
      <c r="P560">
        <v>3</v>
      </c>
      <c r="Q560" s="1" t="s">
        <v>33</v>
      </c>
    </row>
    <row r="561" spans="1:17" x14ac:dyDescent="0.3">
      <c r="A561" s="1" t="s">
        <v>626</v>
      </c>
      <c r="B561" s="1" t="s">
        <v>42</v>
      </c>
      <c r="C561" s="1" t="s">
        <v>81</v>
      </c>
      <c r="D561" s="1" t="s">
        <v>51</v>
      </c>
      <c r="E561" s="1" t="s">
        <v>21</v>
      </c>
      <c r="F561" s="1" t="s">
        <v>31</v>
      </c>
      <c r="G561" s="2">
        <v>45969</v>
      </c>
      <c r="H561" s="2">
        <v>45971</v>
      </c>
      <c r="I561" s="1" t="s">
        <v>82</v>
      </c>
      <c r="J561">
        <v>5</v>
      </c>
      <c r="K561">
        <v>2</v>
      </c>
      <c r="L561">
        <v>10</v>
      </c>
      <c r="M561" s="1" t="s">
        <v>24</v>
      </c>
      <c r="N561" s="2">
        <v>45962</v>
      </c>
      <c r="O561">
        <v>2025</v>
      </c>
      <c r="P561">
        <v>4</v>
      </c>
      <c r="Q561" s="1" t="s">
        <v>24</v>
      </c>
    </row>
    <row r="562" spans="1:17" x14ac:dyDescent="0.3">
      <c r="A562" s="1" t="s">
        <v>627</v>
      </c>
      <c r="B562" s="1" t="s">
        <v>18</v>
      </c>
      <c r="C562" s="1" t="s">
        <v>56</v>
      </c>
      <c r="D562" s="1" t="s">
        <v>44</v>
      </c>
      <c r="E562" s="1" t="s">
        <v>21</v>
      </c>
      <c r="F562" s="1" t="s">
        <v>38</v>
      </c>
      <c r="G562" s="2">
        <v>45747</v>
      </c>
      <c r="H562" s="2">
        <v>45753</v>
      </c>
      <c r="I562" s="1" t="s">
        <v>28</v>
      </c>
      <c r="J562">
        <v>4</v>
      </c>
      <c r="K562">
        <v>6</v>
      </c>
      <c r="L562">
        <v>7</v>
      </c>
      <c r="M562" s="1" t="s">
        <v>24</v>
      </c>
      <c r="N562" s="2">
        <v>45717</v>
      </c>
      <c r="O562">
        <v>2025</v>
      </c>
      <c r="P562">
        <v>1</v>
      </c>
      <c r="Q562" s="1" t="s">
        <v>24</v>
      </c>
    </row>
    <row r="563" spans="1:17" x14ac:dyDescent="0.3">
      <c r="A563" s="1" t="s">
        <v>628</v>
      </c>
      <c r="B563" s="1" t="s">
        <v>18</v>
      </c>
      <c r="C563" s="1" t="s">
        <v>56</v>
      </c>
      <c r="D563" s="1" t="s">
        <v>20</v>
      </c>
      <c r="E563" s="1" t="s">
        <v>37</v>
      </c>
      <c r="F563" s="1" t="s">
        <v>22</v>
      </c>
      <c r="G563" s="2">
        <v>45919</v>
      </c>
      <c r="H563" s="2"/>
      <c r="I563" s="1" t="s">
        <v>28</v>
      </c>
      <c r="L563">
        <v>14</v>
      </c>
      <c r="M563" s="1" t="s">
        <v>40</v>
      </c>
      <c r="N563" s="2">
        <v>45901</v>
      </c>
      <c r="O563">
        <v>2025</v>
      </c>
      <c r="P563">
        <v>3</v>
      </c>
      <c r="Q563" s="1" t="s">
        <v>33</v>
      </c>
    </row>
    <row r="564" spans="1:17" x14ac:dyDescent="0.3">
      <c r="A564" s="1" t="s">
        <v>629</v>
      </c>
      <c r="B564" s="1" t="s">
        <v>26</v>
      </c>
      <c r="C564" s="1" t="s">
        <v>54</v>
      </c>
      <c r="D564" s="1" t="s">
        <v>51</v>
      </c>
      <c r="E564" s="1" t="s">
        <v>21</v>
      </c>
      <c r="F564" s="1" t="s">
        <v>38</v>
      </c>
      <c r="G564" s="2">
        <v>45993</v>
      </c>
      <c r="H564" s="2">
        <v>45995</v>
      </c>
      <c r="I564" s="1" t="s">
        <v>32</v>
      </c>
      <c r="J564">
        <v>5</v>
      </c>
      <c r="K564">
        <v>2</v>
      </c>
      <c r="L564">
        <v>10</v>
      </c>
      <c r="M564" s="1" t="s">
        <v>24</v>
      </c>
      <c r="N564" s="2">
        <v>45992</v>
      </c>
      <c r="O564">
        <v>2025</v>
      </c>
      <c r="P564">
        <v>4</v>
      </c>
      <c r="Q564" s="1" t="s">
        <v>24</v>
      </c>
    </row>
    <row r="565" spans="1:17" x14ac:dyDescent="0.3">
      <c r="A565" s="1" t="s">
        <v>630</v>
      </c>
      <c r="B565" s="1" t="s">
        <v>58</v>
      </c>
      <c r="C565" s="1" t="s">
        <v>59</v>
      </c>
      <c r="D565" s="1" t="s">
        <v>51</v>
      </c>
      <c r="E565" s="1" t="s">
        <v>21</v>
      </c>
      <c r="F565" s="1" t="s">
        <v>38</v>
      </c>
      <c r="G565" s="2">
        <v>45760</v>
      </c>
      <c r="H565" s="2">
        <v>45770</v>
      </c>
      <c r="I565" s="1" t="s">
        <v>23</v>
      </c>
      <c r="J565">
        <v>1</v>
      </c>
      <c r="K565">
        <v>10</v>
      </c>
      <c r="L565">
        <v>10</v>
      </c>
      <c r="M565" s="1" t="s">
        <v>24</v>
      </c>
      <c r="N565" s="2">
        <v>45748</v>
      </c>
      <c r="O565">
        <v>2025</v>
      </c>
      <c r="P565">
        <v>2</v>
      </c>
      <c r="Q565" s="1" t="s">
        <v>24</v>
      </c>
    </row>
    <row r="566" spans="1:17" x14ac:dyDescent="0.3">
      <c r="A566" s="1" t="s">
        <v>631</v>
      </c>
      <c r="B566" s="1" t="s">
        <v>26</v>
      </c>
      <c r="C566" s="1" t="s">
        <v>123</v>
      </c>
      <c r="D566" s="1" t="s">
        <v>44</v>
      </c>
      <c r="E566" s="1" t="s">
        <v>21</v>
      </c>
      <c r="F566" s="1" t="s">
        <v>52</v>
      </c>
      <c r="G566" s="2">
        <v>45956</v>
      </c>
      <c r="H566" s="2">
        <v>45959</v>
      </c>
      <c r="I566" s="1" t="s">
        <v>28</v>
      </c>
      <c r="J566">
        <v>4</v>
      </c>
      <c r="K566">
        <v>3</v>
      </c>
      <c r="L566">
        <v>7</v>
      </c>
      <c r="M566" s="1" t="s">
        <v>24</v>
      </c>
      <c r="N566" s="2">
        <v>45931</v>
      </c>
      <c r="O566">
        <v>2025</v>
      </c>
      <c r="P566">
        <v>4</v>
      </c>
      <c r="Q566" s="1" t="s">
        <v>24</v>
      </c>
    </row>
    <row r="567" spans="1:17" x14ac:dyDescent="0.3">
      <c r="A567" s="1" t="s">
        <v>632</v>
      </c>
      <c r="B567" s="1" t="s">
        <v>26</v>
      </c>
      <c r="C567" s="1" t="s">
        <v>54</v>
      </c>
      <c r="D567" s="1" t="s">
        <v>51</v>
      </c>
      <c r="E567" s="1" t="s">
        <v>21</v>
      </c>
      <c r="F567" s="1" t="s">
        <v>22</v>
      </c>
      <c r="G567" s="2">
        <v>45660</v>
      </c>
      <c r="H567" s="2">
        <v>45666</v>
      </c>
      <c r="I567" s="1" t="s">
        <v>23</v>
      </c>
      <c r="J567">
        <v>3</v>
      </c>
      <c r="K567">
        <v>6</v>
      </c>
      <c r="L567">
        <v>10</v>
      </c>
      <c r="M567" s="1" t="s">
        <v>24</v>
      </c>
      <c r="N567" s="2">
        <v>45658</v>
      </c>
      <c r="O567">
        <v>2025</v>
      </c>
      <c r="P567">
        <v>1</v>
      </c>
      <c r="Q567" s="1" t="s">
        <v>24</v>
      </c>
    </row>
    <row r="568" spans="1:17" x14ac:dyDescent="0.3">
      <c r="A568" s="1" t="s">
        <v>633</v>
      </c>
      <c r="B568" s="1" t="s">
        <v>26</v>
      </c>
      <c r="C568" s="1" t="s">
        <v>67</v>
      </c>
      <c r="D568" s="1" t="s">
        <v>51</v>
      </c>
      <c r="E568" s="1" t="s">
        <v>21</v>
      </c>
      <c r="F568" s="1" t="s">
        <v>22</v>
      </c>
      <c r="G568" s="2">
        <v>45717</v>
      </c>
      <c r="H568" s="2">
        <v>45727</v>
      </c>
      <c r="I568" s="1" t="s">
        <v>82</v>
      </c>
      <c r="J568">
        <v>5</v>
      </c>
      <c r="K568">
        <v>10</v>
      </c>
      <c r="L568">
        <v>10</v>
      </c>
      <c r="M568" s="1" t="s">
        <v>24</v>
      </c>
      <c r="N568" s="2">
        <v>45717</v>
      </c>
      <c r="O568">
        <v>2025</v>
      </c>
      <c r="P568">
        <v>1</v>
      </c>
      <c r="Q568" s="1" t="s">
        <v>24</v>
      </c>
    </row>
    <row r="569" spans="1:17" x14ac:dyDescent="0.3">
      <c r="A569" s="1" t="s">
        <v>634</v>
      </c>
      <c r="B569" s="1" t="s">
        <v>35</v>
      </c>
      <c r="C569" s="1" t="s">
        <v>50</v>
      </c>
      <c r="D569" s="1" t="s">
        <v>71</v>
      </c>
      <c r="E569" s="1" t="s">
        <v>21</v>
      </c>
      <c r="F569" s="1" t="s">
        <v>31</v>
      </c>
      <c r="G569" s="2">
        <v>45782</v>
      </c>
      <c r="H569" s="2">
        <v>45784</v>
      </c>
      <c r="I569" s="1" t="s">
        <v>39</v>
      </c>
      <c r="J569">
        <v>5</v>
      </c>
      <c r="K569">
        <v>2</v>
      </c>
      <c r="L569">
        <v>3</v>
      </c>
      <c r="M569" s="1" t="s">
        <v>24</v>
      </c>
      <c r="N569" s="2">
        <v>45778</v>
      </c>
      <c r="O569">
        <v>2025</v>
      </c>
      <c r="P569">
        <v>2</v>
      </c>
      <c r="Q569" s="1" t="s">
        <v>24</v>
      </c>
    </row>
    <row r="570" spans="1:17" x14ac:dyDescent="0.3">
      <c r="A570" s="1" t="s">
        <v>635</v>
      </c>
      <c r="B570" s="1" t="s">
        <v>26</v>
      </c>
      <c r="C570" s="1" t="s">
        <v>67</v>
      </c>
      <c r="D570" s="1" t="s">
        <v>51</v>
      </c>
      <c r="E570" s="1" t="s">
        <v>21</v>
      </c>
      <c r="F570" s="1" t="s">
        <v>61</v>
      </c>
      <c r="G570" s="2">
        <v>45853</v>
      </c>
      <c r="H570" s="2">
        <v>45858</v>
      </c>
      <c r="I570" s="1" t="s">
        <v>32</v>
      </c>
      <c r="J570">
        <v>5</v>
      </c>
      <c r="K570">
        <v>5</v>
      </c>
      <c r="L570">
        <v>10</v>
      </c>
      <c r="M570" s="1" t="s">
        <v>24</v>
      </c>
      <c r="N570" s="2">
        <v>45839</v>
      </c>
      <c r="O570">
        <v>2025</v>
      </c>
      <c r="P570">
        <v>3</v>
      </c>
      <c r="Q570" s="1" t="s">
        <v>24</v>
      </c>
    </row>
    <row r="571" spans="1:17" x14ac:dyDescent="0.3">
      <c r="A571" s="1" t="s">
        <v>636</v>
      </c>
      <c r="B571" s="1" t="s">
        <v>58</v>
      </c>
      <c r="C571" s="1" t="s">
        <v>59</v>
      </c>
      <c r="D571" s="1" t="s">
        <v>51</v>
      </c>
      <c r="E571" s="1" t="s">
        <v>21</v>
      </c>
      <c r="F571" s="1" t="s">
        <v>31</v>
      </c>
      <c r="G571" s="2">
        <v>45792</v>
      </c>
      <c r="H571" s="2">
        <v>45797</v>
      </c>
      <c r="I571" s="1" t="s">
        <v>32</v>
      </c>
      <c r="J571">
        <v>3</v>
      </c>
      <c r="K571">
        <v>5</v>
      </c>
      <c r="L571">
        <v>10</v>
      </c>
      <c r="M571" s="1" t="s">
        <v>24</v>
      </c>
      <c r="N571" s="2">
        <v>45778</v>
      </c>
      <c r="O571">
        <v>2025</v>
      </c>
      <c r="P571">
        <v>2</v>
      </c>
      <c r="Q571" s="1" t="s">
        <v>24</v>
      </c>
    </row>
    <row r="572" spans="1:17" x14ac:dyDescent="0.3">
      <c r="A572" s="1" t="s">
        <v>637</v>
      </c>
      <c r="B572" s="1" t="s">
        <v>42</v>
      </c>
      <c r="C572" s="1" t="s">
        <v>76</v>
      </c>
      <c r="D572" s="1" t="s">
        <v>51</v>
      </c>
      <c r="E572" s="1" t="s">
        <v>21</v>
      </c>
      <c r="F572" s="1" t="s">
        <v>61</v>
      </c>
      <c r="G572" s="2">
        <v>45951</v>
      </c>
      <c r="H572" s="2">
        <v>45957</v>
      </c>
      <c r="I572" s="1" t="s">
        <v>39</v>
      </c>
      <c r="J572">
        <v>3</v>
      </c>
      <c r="K572">
        <v>6</v>
      </c>
      <c r="L572">
        <v>10</v>
      </c>
      <c r="M572" s="1" t="s">
        <v>24</v>
      </c>
      <c r="N572" s="2">
        <v>45931</v>
      </c>
      <c r="O572">
        <v>2025</v>
      </c>
      <c r="P572">
        <v>4</v>
      </c>
      <c r="Q572" s="1" t="s">
        <v>24</v>
      </c>
    </row>
    <row r="573" spans="1:17" x14ac:dyDescent="0.3">
      <c r="A573" s="1" t="s">
        <v>638</v>
      </c>
      <c r="B573" s="1" t="s">
        <v>18</v>
      </c>
      <c r="C573" s="1" t="s">
        <v>47</v>
      </c>
      <c r="D573" s="1" t="s">
        <v>20</v>
      </c>
      <c r="E573" s="1" t="s">
        <v>21</v>
      </c>
      <c r="F573" s="1" t="s">
        <v>61</v>
      </c>
      <c r="G573" s="2">
        <v>45793</v>
      </c>
      <c r="H573" s="2">
        <v>45799</v>
      </c>
      <c r="I573" s="1" t="s">
        <v>82</v>
      </c>
      <c r="J573">
        <v>3</v>
      </c>
      <c r="K573">
        <v>6</v>
      </c>
      <c r="L573">
        <v>14</v>
      </c>
      <c r="M573" s="1" t="s">
        <v>24</v>
      </c>
      <c r="N573" s="2">
        <v>45778</v>
      </c>
      <c r="O573">
        <v>2025</v>
      </c>
      <c r="P573">
        <v>2</v>
      </c>
      <c r="Q573" s="1" t="s">
        <v>24</v>
      </c>
    </row>
    <row r="574" spans="1:17" x14ac:dyDescent="0.3">
      <c r="A574" s="1" t="s">
        <v>639</v>
      </c>
      <c r="B574" s="1" t="s">
        <v>35</v>
      </c>
      <c r="C574" s="1" t="s">
        <v>36</v>
      </c>
      <c r="D574" s="1" t="s">
        <v>44</v>
      </c>
      <c r="E574" s="1" t="s">
        <v>21</v>
      </c>
      <c r="F574" s="1" t="s">
        <v>31</v>
      </c>
      <c r="G574" s="2">
        <v>45698</v>
      </c>
      <c r="H574" s="2">
        <v>45704</v>
      </c>
      <c r="I574" s="1" t="s">
        <v>82</v>
      </c>
      <c r="J574">
        <v>5</v>
      </c>
      <c r="K574">
        <v>6</v>
      </c>
      <c r="L574">
        <v>7</v>
      </c>
      <c r="M574" s="1" t="s">
        <v>24</v>
      </c>
      <c r="N574" s="2">
        <v>45689</v>
      </c>
      <c r="O574">
        <v>2025</v>
      </c>
      <c r="P574">
        <v>1</v>
      </c>
      <c r="Q574" s="1" t="s">
        <v>24</v>
      </c>
    </row>
    <row r="575" spans="1:17" x14ac:dyDescent="0.3">
      <c r="A575" s="1" t="s">
        <v>640</v>
      </c>
      <c r="B575" s="1" t="s">
        <v>42</v>
      </c>
      <c r="C575" s="1" t="s">
        <v>81</v>
      </c>
      <c r="D575" s="1" t="s">
        <v>44</v>
      </c>
      <c r="E575" s="1" t="s">
        <v>21</v>
      </c>
      <c r="F575" s="1" t="s">
        <v>22</v>
      </c>
      <c r="G575" s="2">
        <v>45819</v>
      </c>
      <c r="H575" s="2">
        <v>45823</v>
      </c>
      <c r="I575" s="1" t="s">
        <v>32</v>
      </c>
      <c r="J575">
        <v>5</v>
      </c>
      <c r="K575">
        <v>4</v>
      </c>
      <c r="L575">
        <v>7</v>
      </c>
      <c r="M575" s="1" t="s">
        <v>24</v>
      </c>
      <c r="N575" s="2">
        <v>45809</v>
      </c>
      <c r="O575">
        <v>2025</v>
      </c>
      <c r="P575">
        <v>2</v>
      </c>
      <c r="Q575" s="1" t="s">
        <v>24</v>
      </c>
    </row>
    <row r="576" spans="1:17" x14ac:dyDescent="0.3">
      <c r="A576" s="1" t="s">
        <v>641</v>
      </c>
      <c r="B576" s="1" t="s">
        <v>58</v>
      </c>
      <c r="C576" s="1" t="s">
        <v>108</v>
      </c>
      <c r="D576" s="1" t="s">
        <v>71</v>
      </c>
      <c r="E576" s="1" t="s">
        <v>48</v>
      </c>
      <c r="F576" s="1" t="s">
        <v>31</v>
      </c>
      <c r="G576" s="2">
        <v>45801</v>
      </c>
      <c r="H576" s="2"/>
      <c r="I576" s="1" t="s">
        <v>28</v>
      </c>
      <c r="L576">
        <v>3</v>
      </c>
      <c r="M576" s="1" t="s">
        <v>40</v>
      </c>
      <c r="N576" s="2">
        <v>45778</v>
      </c>
      <c r="O576">
        <v>2025</v>
      </c>
      <c r="P576">
        <v>2</v>
      </c>
      <c r="Q576" s="1" t="s">
        <v>33</v>
      </c>
    </row>
    <row r="577" spans="1:17" x14ac:dyDescent="0.3">
      <c r="A577" s="1" t="s">
        <v>642</v>
      </c>
      <c r="B577" s="1" t="s">
        <v>26</v>
      </c>
      <c r="C577" s="1" t="s">
        <v>54</v>
      </c>
      <c r="D577" s="1" t="s">
        <v>20</v>
      </c>
      <c r="E577" s="1" t="s">
        <v>37</v>
      </c>
      <c r="F577" s="1" t="s">
        <v>22</v>
      </c>
      <c r="G577" s="2">
        <v>45902</v>
      </c>
      <c r="H577" s="2"/>
      <c r="I577" s="1" t="s">
        <v>23</v>
      </c>
      <c r="L577">
        <v>14</v>
      </c>
      <c r="M577" s="1" t="s">
        <v>40</v>
      </c>
      <c r="N577" s="2">
        <v>45901</v>
      </c>
      <c r="O577">
        <v>2025</v>
      </c>
      <c r="P577">
        <v>3</v>
      </c>
      <c r="Q577" s="1" t="s">
        <v>33</v>
      </c>
    </row>
    <row r="578" spans="1:17" x14ac:dyDescent="0.3">
      <c r="A578" s="1" t="s">
        <v>643</v>
      </c>
      <c r="B578" s="1" t="s">
        <v>26</v>
      </c>
      <c r="C578" s="1" t="s">
        <v>123</v>
      </c>
      <c r="D578" s="1" t="s">
        <v>51</v>
      </c>
      <c r="E578" s="1" t="s">
        <v>21</v>
      </c>
      <c r="F578" s="1" t="s">
        <v>22</v>
      </c>
      <c r="G578" s="2">
        <v>45747</v>
      </c>
      <c r="H578" s="2">
        <v>45756</v>
      </c>
      <c r="I578" s="1" t="s">
        <v>39</v>
      </c>
      <c r="J578">
        <v>5</v>
      </c>
      <c r="K578">
        <v>9</v>
      </c>
      <c r="L578">
        <v>10</v>
      </c>
      <c r="M578" s="1" t="s">
        <v>24</v>
      </c>
      <c r="N578" s="2">
        <v>45717</v>
      </c>
      <c r="O578">
        <v>2025</v>
      </c>
      <c r="P578">
        <v>1</v>
      </c>
      <c r="Q578" s="1" t="s">
        <v>24</v>
      </c>
    </row>
    <row r="579" spans="1:17" x14ac:dyDescent="0.3">
      <c r="A579" s="1" t="s">
        <v>644</v>
      </c>
      <c r="B579" s="1" t="s">
        <v>35</v>
      </c>
      <c r="C579" s="1" t="s">
        <v>99</v>
      </c>
      <c r="D579" s="1" t="s">
        <v>20</v>
      </c>
      <c r="E579" s="1" t="s">
        <v>21</v>
      </c>
      <c r="F579" s="1" t="s">
        <v>22</v>
      </c>
      <c r="G579" s="2">
        <v>45955</v>
      </c>
      <c r="H579" s="2">
        <v>45959</v>
      </c>
      <c r="I579" s="1" t="s">
        <v>32</v>
      </c>
      <c r="J579">
        <v>4</v>
      </c>
      <c r="K579">
        <v>4</v>
      </c>
      <c r="L579">
        <v>14</v>
      </c>
      <c r="M579" s="1" t="s">
        <v>24</v>
      </c>
      <c r="N579" s="2">
        <v>45931</v>
      </c>
      <c r="O579">
        <v>2025</v>
      </c>
      <c r="P579">
        <v>4</v>
      </c>
      <c r="Q579" s="1" t="s">
        <v>24</v>
      </c>
    </row>
    <row r="580" spans="1:17" x14ac:dyDescent="0.3">
      <c r="A580" s="1" t="s">
        <v>645</v>
      </c>
      <c r="B580" s="1" t="s">
        <v>63</v>
      </c>
      <c r="C580" s="1" t="s">
        <v>84</v>
      </c>
      <c r="D580" s="1" t="s">
        <v>20</v>
      </c>
      <c r="E580" s="1" t="s">
        <v>21</v>
      </c>
      <c r="F580" s="1" t="s">
        <v>31</v>
      </c>
      <c r="G580" s="2">
        <v>45971</v>
      </c>
      <c r="H580" s="2">
        <v>45979</v>
      </c>
      <c r="I580" s="1" t="s">
        <v>39</v>
      </c>
      <c r="J580">
        <v>4</v>
      </c>
      <c r="K580">
        <v>8</v>
      </c>
      <c r="L580">
        <v>14</v>
      </c>
      <c r="M580" s="1" t="s">
        <v>24</v>
      </c>
      <c r="N580" s="2">
        <v>45962</v>
      </c>
      <c r="O580">
        <v>2025</v>
      </c>
      <c r="P580">
        <v>4</v>
      </c>
      <c r="Q580" s="1" t="s">
        <v>24</v>
      </c>
    </row>
    <row r="581" spans="1:17" x14ac:dyDescent="0.3">
      <c r="A581" s="1" t="s">
        <v>646</v>
      </c>
      <c r="B581" s="1" t="s">
        <v>63</v>
      </c>
      <c r="C581" s="1" t="s">
        <v>89</v>
      </c>
      <c r="D581" s="1" t="s">
        <v>44</v>
      </c>
      <c r="E581" s="1" t="s">
        <v>21</v>
      </c>
      <c r="F581" s="1" t="s">
        <v>22</v>
      </c>
      <c r="G581" s="2">
        <v>45863</v>
      </c>
      <c r="H581" s="2">
        <v>45866</v>
      </c>
      <c r="I581" s="1" t="s">
        <v>28</v>
      </c>
      <c r="J581">
        <v>4</v>
      </c>
      <c r="K581">
        <v>3</v>
      </c>
      <c r="L581">
        <v>7</v>
      </c>
      <c r="M581" s="1" t="s">
        <v>24</v>
      </c>
      <c r="N581" s="2">
        <v>45839</v>
      </c>
      <c r="O581">
        <v>2025</v>
      </c>
      <c r="P581">
        <v>3</v>
      </c>
      <c r="Q581" s="1" t="s">
        <v>24</v>
      </c>
    </row>
    <row r="582" spans="1:17" x14ac:dyDescent="0.3">
      <c r="A582" s="1" t="s">
        <v>647</v>
      </c>
      <c r="B582" s="1" t="s">
        <v>26</v>
      </c>
      <c r="C582" s="1" t="s">
        <v>54</v>
      </c>
      <c r="D582" s="1" t="s">
        <v>44</v>
      </c>
      <c r="E582" s="1" t="s">
        <v>21</v>
      </c>
      <c r="F582" s="1" t="s">
        <v>31</v>
      </c>
      <c r="G582" s="2">
        <v>45778</v>
      </c>
      <c r="H582" s="2">
        <v>45783</v>
      </c>
      <c r="I582" s="1" t="s">
        <v>28</v>
      </c>
      <c r="J582">
        <v>4</v>
      </c>
      <c r="K582">
        <v>5</v>
      </c>
      <c r="L582">
        <v>7</v>
      </c>
      <c r="M582" s="1" t="s">
        <v>24</v>
      </c>
      <c r="N582" s="2">
        <v>45778</v>
      </c>
      <c r="O582">
        <v>2025</v>
      </c>
      <c r="P582">
        <v>2</v>
      </c>
      <c r="Q582" s="1" t="s">
        <v>24</v>
      </c>
    </row>
    <row r="583" spans="1:17" x14ac:dyDescent="0.3">
      <c r="A583" s="1" t="s">
        <v>648</v>
      </c>
      <c r="B583" s="1" t="s">
        <v>63</v>
      </c>
      <c r="C583" s="1" t="s">
        <v>64</v>
      </c>
      <c r="D583" s="1" t="s">
        <v>51</v>
      </c>
      <c r="E583" s="1" t="s">
        <v>21</v>
      </c>
      <c r="F583" s="1" t="s">
        <v>22</v>
      </c>
      <c r="G583" s="2">
        <v>45873</v>
      </c>
      <c r="H583" s="2">
        <v>45882</v>
      </c>
      <c r="I583" s="1" t="s">
        <v>82</v>
      </c>
      <c r="J583">
        <v>3</v>
      </c>
      <c r="K583">
        <v>9</v>
      </c>
      <c r="L583">
        <v>10</v>
      </c>
      <c r="M583" s="1" t="s">
        <v>24</v>
      </c>
      <c r="N583" s="2">
        <v>45870</v>
      </c>
      <c r="O583">
        <v>2025</v>
      </c>
      <c r="P583">
        <v>3</v>
      </c>
      <c r="Q583" s="1" t="s">
        <v>24</v>
      </c>
    </row>
    <row r="584" spans="1:17" x14ac:dyDescent="0.3">
      <c r="A584" s="1" t="s">
        <v>649</v>
      </c>
      <c r="B584" s="1" t="s">
        <v>18</v>
      </c>
      <c r="C584" s="1" t="s">
        <v>56</v>
      </c>
      <c r="D584" s="1" t="s">
        <v>44</v>
      </c>
      <c r="E584" s="1" t="s">
        <v>21</v>
      </c>
      <c r="F584" s="1" t="s">
        <v>31</v>
      </c>
      <c r="G584" s="2">
        <v>45945</v>
      </c>
      <c r="H584" s="2">
        <v>45952</v>
      </c>
      <c r="I584" s="1" t="s">
        <v>23</v>
      </c>
      <c r="J584">
        <v>4</v>
      </c>
      <c r="K584">
        <v>7</v>
      </c>
      <c r="L584">
        <v>7</v>
      </c>
      <c r="M584" s="1" t="s">
        <v>24</v>
      </c>
      <c r="N584" s="2">
        <v>45931</v>
      </c>
      <c r="O584">
        <v>2025</v>
      </c>
      <c r="P584">
        <v>4</v>
      </c>
      <c r="Q584" s="1" t="s">
        <v>24</v>
      </c>
    </row>
    <row r="585" spans="1:17" x14ac:dyDescent="0.3">
      <c r="A585" s="1" t="s">
        <v>650</v>
      </c>
      <c r="B585" s="1" t="s">
        <v>18</v>
      </c>
      <c r="C585" s="1" t="s">
        <v>47</v>
      </c>
      <c r="D585" s="1" t="s">
        <v>20</v>
      </c>
      <c r="E585" s="1" t="s">
        <v>37</v>
      </c>
      <c r="F585" s="1" t="s">
        <v>38</v>
      </c>
      <c r="G585" s="2">
        <v>45901</v>
      </c>
      <c r="H585" s="2"/>
      <c r="I585" s="1" t="s">
        <v>39</v>
      </c>
      <c r="L585">
        <v>14</v>
      </c>
      <c r="M585" s="1" t="s">
        <v>40</v>
      </c>
      <c r="N585" s="2">
        <v>45901</v>
      </c>
      <c r="O585">
        <v>2025</v>
      </c>
      <c r="P585">
        <v>3</v>
      </c>
      <c r="Q585" s="1" t="s">
        <v>33</v>
      </c>
    </row>
    <row r="586" spans="1:17" x14ac:dyDescent="0.3">
      <c r="A586" s="1" t="s">
        <v>651</v>
      </c>
      <c r="B586" s="1" t="s">
        <v>18</v>
      </c>
      <c r="C586" s="1" t="s">
        <v>56</v>
      </c>
      <c r="D586" s="1" t="s">
        <v>51</v>
      </c>
      <c r="E586" s="1" t="s">
        <v>21</v>
      </c>
      <c r="F586" s="1" t="s">
        <v>31</v>
      </c>
      <c r="G586" s="2">
        <v>45943</v>
      </c>
      <c r="H586" s="2">
        <v>45949</v>
      </c>
      <c r="I586" s="1" t="s">
        <v>23</v>
      </c>
      <c r="J586">
        <v>4</v>
      </c>
      <c r="K586">
        <v>6</v>
      </c>
      <c r="L586">
        <v>10</v>
      </c>
      <c r="M586" s="1" t="s">
        <v>24</v>
      </c>
      <c r="N586" s="2">
        <v>45931</v>
      </c>
      <c r="O586">
        <v>2025</v>
      </c>
      <c r="P586">
        <v>4</v>
      </c>
      <c r="Q586" s="1" t="s">
        <v>24</v>
      </c>
    </row>
    <row r="587" spans="1:17" x14ac:dyDescent="0.3">
      <c r="A587" s="1" t="s">
        <v>652</v>
      </c>
      <c r="B587" s="1" t="s">
        <v>35</v>
      </c>
      <c r="C587" s="1" t="s">
        <v>36</v>
      </c>
      <c r="D587" s="1" t="s">
        <v>51</v>
      </c>
      <c r="E587" s="1" t="s">
        <v>21</v>
      </c>
      <c r="F587" s="1" t="s">
        <v>52</v>
      </c>
      <c r="G587" s="2">
        <v>45933</v>
      </c>
      <c r="H587" s="2">
        <v>45937</v>
      </c>
      <c r="I587" s="1" t="s">
        <v>32</v>
      </c>
      <c r="J587">
        <v>5</v>
      </c>
      <c r="K587">
        <v>4</v>
      </c>
      <c r="L587">
        <v>10</v>
      </c>
      <c r="M587" s="1" t="s">
        <v>24</v>
      </c>
      <c r="N587" s="2">
        <v>45931</v>
      </c>
      <c r="O587">
        <v>2025</v>
      </c>
      <c r="P587">
        <v>4</v>
      </c>
      <c r="Q587" s="1" t="s">
        <v>24</v>
      </c>
    </row>
    <row r="588" spans="1:17" x14ac:dyDescent="0.3">
      <c r="A588" s="1" t="s">
        <v>653</v>
      </c>
      <c r="B588" s="1" t="s">
        <v>35</v>
      </c>
      <c r="C588" s="1" t="s">
        <v>50</v>
      </c>
      <c r="D588" s="1" t="s">
        <v>44</v>
      </c>
      <c r="E588" s="1" t="s">
        <v>21</v>
      </c>
      <c r="F588" s="1" t="s">
        <v>31</v>
      </c>
      <c r="G588" s="2">
        <v>45698</v>
      </c>
      <c r="H588" s="2">
        <v>45702</v>
      </c>
      <c r="I588" s="1" t="s">
        <v>28</v>
      </c>
      <c r="J588">
        <v>4</v>
      </c>
      <c r="K588">
        <v>4</v>
      </c>
      <c r="L588">
        <v>7</v>
      </c>
      <c r="M588" s="1" t="s">
        <v>24</v>
      </c>
      <c r="N588" s="2">
        <v>45689</v>
      </c>
      <c r="O588">
        <v>2025</v>
      </c>
      <c r="P588">
        <v>1</v>
      </c>
      <c r="Q588" s="1" t="s">
        <v>24</v>
      </c>
    </row>
    <row r="589" spans="1:17" x14ac:dyDescent="0.3">
      <c r="A589" s="1" t="s">
        <v>654</v>
      </c>
      <c r="B589" s="1" t="s">
        <v>63</v>
      </c>
      <c r="C589" s="1" t="s">
        <v>84</v>
      </c>
      <c r="D589" s="1" t="s">
        <v>51</v>
      </c>
      <c r="E589" s="1" t="s">
        <v>21</v>
      </c>
      <c r="F589" s="1" t="s">
        <v>52</v>
      </c>
      <c r="G589" s="2">
        <v>45865</v>
      </c>
      <c r="H589" s="2">
        <v>45868</v>
      </c>
      <c r="I589" s="1" t="s">
        <v>28</v>
      </c>
      <c r="J589">
        <v>2</v>
      </c>
      <c r="K589">
        <v>3</v>
      </c>
      <c r="L589">
        <v>10</v>
      </c>
      <c r="M589" s="1" t="s">
        <v>24</v>
      </c>
      <c r="N589" s="2">
        <v>45839</v>
      </c>
      <c r="O589">
        <v>2025</v>
      </c>
      <c r="P589">
        <v>3</v>
      </c>
      <c r="Q589" s="1" t="s">
        <v>24</v>
      </c>
    </row>
    <row r="590" spans="1:17" x14ac:dyDescent="0.3">
      <c r="A590" s="1" t="s">
        <v>655</v>
      </c>
      <c r="B590" s="1" t="s">
        <v>35</v>
      </c>
      <c r="C590" s="1" t="s">
        <v>97</v>
      </c>
      <c r="D590" s="1" t="s">
        <v>51</v>
      </c>
      <c r="E590" s="1" t="s">
        <v>21</v>
      </c>
      <c r="F590" s="1" t="s">
        <v>31</v>
      </c>
      <c r="G590" s="2">
        <v>45967</v>
      </c>
      <c r="H590" s="2">
        <v>45975</v>
      </c>
      <c r="I590" s="1" t="s">
        <v>32</v>
      </c>
      <c r="J590">
        <v>3</v>
      </c>
      <c r="K590">
        <v>8</v>
      </c>
      <c r="L590">
        <v>10</v>
      </c>
      <c r="M590" s="1" t="s">
        <v>24</v>
      </c>
      <c r="N590" s="2">
        <v>45962</v>
      </c>
      <c r="O590">
        <v>2025</v>
      </c>
      <c r="P590">
        <v>4</v>
      </c>
      <c r="Q590" s="1" t="s">
        <v>24</v>
      </c>
    </row>
    <row r="591" spans="1:17" x14ac:dyDescent="0.3">
      <c r="A591" s="1" t="s">
        <v>656</v>
      </c>
      <c r="B591" s="1" t="s">
        <v>18</v>
      </c>
      <c r="C591" s="1" t="s">
        <v>30</v>
      </c>
      <c r="D591" s="1" t="s">
        <v>51</v>
      </c>
      <c r="E591" s="1" t="s">
        <v>21</v>
      </c>
      <c r="F591" s="1" t="s">
        <v>52</v>
      </c>
      <c r="G591" s="2">
        <v>45669</v>
      </c>
      <c r="H591" s="2">
        <v>45673</v>
      </c>
      <c r="I591" s="1" t="s">
        <v>23</v>
      </c>
      <c r="J591">
        <v>5</v>
      </c>
      <c r="K591">
        <v>4</v>
      </c>
      <c r="L591">
        <v>10</v>
      </c>
      <c r="M591" s="1" t="s">
        <v>24</v>
      </c>
      <c r="N591" s="2">
        <v>45658</v>
      </c>
      <c r="O591">
        <v>2025</v>
      </c>
      <c r="P591">
        <v>1</v>
      </c>
      <c r="Q591" s="1" t="s">
        <v>24</v>
      </c>
    </row>
    <row r="592" spans="1:17" x14ac:dyDescent="0.3">
      <c r="A592" s="1" t="s">
        <v>657</v>
      </c>
      <c r="B592" s="1" t="s">
        <v>63</v>
      </c>
      <c r="C592" s="1" t="s">
        <v>64</v>
      </c>
      <c r="D592" s="1" t="s">
        <v>51</v>
      </c>
      <c r="E592" s="1" t="s">
        <v>21</v>
      </c>
      <c r="F592" s="1" t="s">
        <v>31</v>
      </c>
      <c r="G592" s="2">
        <v>45900</v>
      </c>
      <c r="H592" s="2">
        <v>45910</v>
      </c>
      <c r="I592" s="1" t="s">
        <v>82</v>
      </c>
      <c r="J592">
        <v>2</v>
      </c>
      <c r="K592">
        <v>10</v>
      </c>
      <c r="L592">
        <v>10</v>
      </c>
      <c r="M592" s="1" t="s">
        <v>24</v>
      </c>
      <c r="N592" s="2">
        <v>45870</v>
      </c>
      <c r="O592">
        <v>2025</v>
      </c>
      <c r="P592">
        <v>3</v>
      </c>
      <c r="Q592" s="1" t="s">
        <v>24</v>
      </c>
    </row>
    <row r="593" spans="1:17" x14ac:dyDescent="0.3">
      <c r="A593" s="1" t="s">
        <v>658</v>
      </c>
      <c r="B593" s="1" t="s">
        <v>42</v>
      </c>
      <c r="C593" s="1" t="s">
        <v>81</v>
      </c>
      <c r="D593" s="1" t="s">
        <v>51</v>
      </c>
      <c r="E593" s="1" t="s">
        <v>21</v>
      </c>
      <c r="F593" s="1" t="s">
        <v>61</v>
      </c>
      <c r="G593" s="2">
        <v>45993</v>
      </c>
      <c r="H593" s="2">
        <v>46001</v>
      </c>
      <c r="I593" s="1" t="s">
        <v>32</v>
      </c>
      <c r="J593">
        <v>4</v>
      </c>
      <c r="K593">
        <v>8</v>
      </c>
      <c r="L593">
        <v>10</v>
      </c>
      <c r="M593" s="1" t="s">
        <v>24</v>
      </c>
      <c r="N593" s="2">
        <v>45992</v>
      </c>
      <c r="O593">
        <v>2025</v>
      </c>
      <c r="P593">
        <v>4</v>
      </c>
      <c r="Q593" s="1" t="s">
        <v>24</v>
      </c>
    </row>
    <row r="594" spans="1:17" x14ac:dyDescent="0.3">
      <c r="A594" s="1" t="s">
        <v>659</v>
      </c>
      <c r="B594" s="1" t="s">
        <v>58</v>
      </c>
      <c r="C594" s="1" t="s">
        <v>108</v>
      </c>
      <c r="D594" s="1" t="s">
        <v>20</v>
      </c>
      <c r="E594" s="1" t="s">
        <v>37</v>
      </c>
      <c r="F594" s="1" t="s">
        <v>38</v>
      </c>
      <c r="G594" s="2">
        <v>45672</v>
      </c>
      <c r="H594" s="2"/>
      <c r="I594" s="1" t="s">
        <v>32</v>
      </c>
      <c r="L594">
        <v>14</v>
      </c>
      <c r="M594" s="1" t="s">
        <v>40</v>
      </c>
      <c r="N594" s="2">
        <v>45658</v>
      </c>
      <c r="O594">
        <v>2025</v>
      </c>
      <c r="P594">
        <v>1</v>
      </c>
      <c r="Q594" s="1" t="s">
        <v>33</v>
      </c>
    </row>
    <row r="595" spans="1:17" x14ac:dyDescent="0.3">
      <c r="A595" s="1" t="s">
        <v>660</v>
      </c>
      <c r="B595" s="1" t="s">
        <v>35</v>
      </c>
      <c r="C595" s="1" t="s">
        <v>50</v>
      </c>
      <c r="D595" s="1" t="s">
        <v>51</v>
      </c>
      <c r="E595" s="1" t="s">
        <v>48</v>
      </c>
      <c r="F595" s="1" t="s">
        <v>22</v>
      </c>
      <c r="G595" s="2">
        <v>45797</v>
      </c>
      <c r="H595" s="2"/>
      <c r="I595" s="1" t="s">
        <v>39</v>
      </c>
      <c r="L595">
        <v>10</v>
      </c>
      <c r="M595" s="1" t="s">
        <v>40</v>
      </c>
      <c r="N595" s="2">
        <v>45778</v>
      </c>
      <c r="O595">
        <v>2025</v>
      </c>
      <c r="P595">
        <v>2</v>
      </c>
      <c r="Q595" s="1" t="s">
        <v>33</v>
      </c>
    </row>
    <row r="596" spans="1:17" x14ac:dyDescent="0.3">
      <c r="A596" s="1" t="s">
        <v>661</v>
      </c>
      <c r="B596" s="1" t="s">
        <v>63</v>
      </c>
      <c r="C596" s="1" t="s">
        <v>64</v>
      </c>
      <c r="D596" s="1" t="s">
        <v>51</v>
      </c>
      <c r="E596" s="1" t="s">
        <v>21</v>
      </c>
      <c r="F596" s="1" t="s">
        <v>22</v>
      </c>
      <c r="G596" s="2">
        <v>45983</v>
      </c>
      <c r="H596" s="2">
        <v>45991</v>
      </c>
      <c r="I596" s="1" t="s">
        <v>32</v>
      </c>
      <c r="J596">
        <v>4</v>
      </c>
      <c r="K596">
        <v>8</v>
      </c>
      <c r="L596">
        <v>10</v>
      </c>
      <c r="M596" s="1" t="s">
        <v>24</v>
      </c>
      <c r="N596" s="2">
        <v>45962</v>
      </c>
      <c r="O596">
        <v>2025</v>
      </c>
      <c r="P596">
        <v>4</v>
      </c>
      <c r="Q596" s="1" t="s">
        <v>24</v>
      </c>
    </row>
    <row r="597" spans="1:17" x14ac:dyDescent="0.3">
      <c r="A597" s="1" t="s">
        <v>662</v>
      </c>
      <c r="B597" s="1" t="s">
        <v>35</v>
      </c>
      <c r="C597" s="1" t="s">
        <v>50</v>
      </c>
      <c r="D597" s="1" t="s">
        <v>51</v>
      </c>
      <c r="E597" s="1" t="s">
        <v>37</v>
      </c>
      <c r="F597" s="1" t="s">
        <v>52</v>
      </c>
      <c r="G597" s="2">
        <v>45884</v>
      </c>
      <c r="H597" s="2"/>
      <c r="I597" s="1" t="s">
        <v>32</v>
      </c>
      <c r="L597">
        <v>10</v>
      </c>
      <c r="M597" s="1" t="s">
        <v>40</v>
      </c>
      <c r="N597" s="2">
        <v>45870</v>
      </c>
      <c r="O597">
        <v>2025</v>
      </c>
      <c r="P597">
        <v>3</v>
      </c>
      <c r="Q597" s="1" t="s">
        <v>33</v>
      </c>
    </row>
    <row r="598" spans="1:17" x14ac:dyDescent="0.3">
      <c r="A598" s="1" t="s">
        <v>663</v>
      </c>
      <c r="B598" s="1" t="s">
        <v>58</v>
      </c>
      <c r="C598" s="1" t="s">
        <v>59</v>
      </c>
      <c r="D598" s="1" t="s">
        <v>20</v>
      </c>
      <c r="E598" s="1" t="s">
        <v>21</v>
      </c>
      <c r="F598" s="1" t="s">
        <v>52</v>
      </c>
      <c r="G598" s="2">
        <v>45925</v>
      </c>
      <c r="H598" s="2">
        <v>45940</v>
      </c>
      <c r="I598" s="1" t="s">
        <v>32</v>
      </c>
      <c r="J598">
        <v>5</v>
      </c>
      <c r="K598">
        <v>15</v>
      </c>
      <c r="L598">
        <v>14</v>
      </c>
      <c r="M598" s="1" t="s">
        <v>33</v>
      </c>
      <c r="N598" s="2">
        <v>45901</v>
      </c>
      <c r="O598">
        <v>2025</v>
      </c>
      <c r="P598">
        <v>3</v>
      </c>
      <c r="Q598" s="1" t="s">
        <v>24</v>
      </c>
    </row>
    <row r="599" spans="1:17" x14ac:dyDescent="0.3">
      <c r="A599" s="1" t="s">
        <v>664</v>
      </c>
      <c r="B599" s="1" t="s">
        <v>58</v>
      </c>
      <c r="C599" s="1" t="s">
        <v>70</v>
      </c>
      <c r="D599" s="1" t="s">
        <v>51</v>
      </c>
      <c r="E599" s="1" t="s">
        <v>21</v>
      </c>
      <c r="F599" s="1" t="s">
        <v>31</v>
      </c>
      <c r="G599" s="2">
        <v>45902</v>
      </c>
      <c r="H599" s="2">
        <v>45908</v>
      </c>
      <c r="I599" s="1" t="s">
        <v>32</v>
      </c>
      <c r="J599">
        <v>1</v>
      </c>
      <c r="K599">
        <v>6</v>
      </c>
      <c r="L599">
        <v>10</v>
      </c>
      <c r="M599" s="1" t="s">
        <v>24</v>
      </c>
      <c r="N599" s="2">
        <v>45901</v>
      </c>
      <c r="O599">
        <v>2025</v>
      </c>
      <c r="P599">
        <v>3</v>
      </c>
      <c r="Q599" s="1" t="s">
        <v>24</v>
      </c>
    </row>
    <row r="600" spans="1:17" x14ac:dyDescent="0.3">
      <c r="A600" s="1" t="s">
        <v>665</v>
      </c>
      <c r="B600" s="1" t="s">
        <v>26</v>
      </c>
      <c r="C600" s="1" t="s">
        <v>54</v>
      </c>
      <c r="D600" s="1" t="s">
        <v>44</v>
      </c>
      <c r="E600" s="1" t="s">
        <v>21</v>
      </c>
      <c r="F600" s="1" t="s">
        <v>31</v>
      </c>
      <c r="G600" s="2">
        <v>45754</v>
      </c>
      <c r="H600" s="2">
        <v>45758</v>
      </c>
      <c r="I600" s="1" t="s">
        <v>39</v>
      </c>
      <c r="J600">
        <v>5</v>
      </c>
      <c r="K600">
        <v>4</v>
      </c>
      <c r="L600">
        <v>7</v>
      </c>
      <c r="M600" s="1" t="s">
        <v>24</v>
      </c>
      <c r="N600" s="2">
        <v>45748</v>
      </c>
      <c r="O600">
        <v>2025</v>
      </c>
      <c r="P600">
        <v>2</v>
      </c>
      <c r="Q600" s="1" t="s">
        <v>24</v>
      </c>
    </row>
    <row r="601" spans="1:17" x14ac:dyDescent="0.3">
      <c r="A601" s="1" t="s">
        <v>666</v>
      </c>
      <c r="B601" s="1" t="s">
        <v>63</v>
      </c>
      <c r="C601" s="1" t="s">
        <v>64</v>
      </c>
      <c r="D601" s="1" t="s">
        <v>44</v>
      </c>
      <c r="E601" s="1" t="s">
        <v>21</v>
      </c>
      <c r="F601" s="1" t="s">
        <v>31</v>
      </c>
      <c r="G601" s="2">
        <v>45851</v>
      </c>
      <c r="H601" s="2">
        <v>45853</v>
      </c>
      <c r="I601" s="1" t="s">
        <v>28</v>
      </c>
      <c r="J601">
        <v>3</v>
      </c>
      <c r="K601">
        <v>2</v>
      </c>
      <c r="L601">
        <v>7</v>
      </c>
      <c r="M601" s="1" t="s">
        <v>24</v>
      </c>
      <c r="N601" s="2">
        <v>45839</v>
      </c>
      <c r="O601">
        <v>2025</v>
      </c>
      <c r="P601">
        <v>3</v>
      </c>
      <c r="Q601" s="1" t="s">
        <v>24</v>
      </c>
    </row>
    <row r="602" spans="1:17" x14ac:dyDescent="0.3">
      <c r="A602" s="1" t="s">
        <v>667</v>
      </c>
      <c r="B602" s="1" t="s">
        <v>26</v>
      </c>
      <c r="C602" s="1" t="s">
        <v>123</v>
      </c>
      <c r="D602" s="1" t="s">
        <v>51</v>
      </c>
      <c r="E602" s="1" t="s">
        <v>37</v>
      </c>
      <c r="F602" s="1" t="s">
        <v>31</v>
      </c>
      <c r="G602" s="2">
        <v>45795</v>
      </c>
      <c r="H602" s="2"/>
      <c r="I602" s="1" t="s">
        <v>28</v>
      </c>
      <c r="L602">
        <v>10</v>
      </c>
      <c r="M602" s="1" t="s">
        <v>40</v>
      </c>
      <c r="N602" s="2">
        <v>45778</v>
      </c>
      <c r="O602">
        <v>2025</v>
      </c>
      <c r="P602">
        <v>2</v>
      </c>
      <c r="Q602" s="1" t="s">
        <v>33</v>
      </c>
    </row>
    <row r="603" spans="1:17" x14ac:dyDescent="0.3">
      <c r="A603" s="1" t="s">
        <v>668</v>
      </c>
      <c r="B603" s="1" t="s">
        <v>42</v>
      </c>
      <c r="C603" s="1" t="s">
        <v>76</v>
      </c>
      <c r="D603" s="1" t="s">
        <v>20</v>
      </c>
      <c r="E603" s="1" t="s">
        <v>21</v>
      </c>
      <c r="F603" s="1" t="s">
        <v>22</v>
      </c>
      <c r="G603" s="2">
        <v>45891</v>
      </c>
      <c r="H603" s="2">
        <v>45903</v>
      </c>
      <c r="I603" s="1" t="s">
        <v>39</v>
      </c>
      <c r="J603">
        <v>4</v>
      </c>
      <c r="K603">
        <v>12</v>
      </c>
      <c r="L603">
        <v>14</v>
      </c>
      <c r="M603" s="1" t="s">
        <v>24</v>
      </c>
      <c r="N603" s="2">
        <v>45870</v>
      </c>
      <c r="O603">
        <v>2025</v>
      </c>
      <c r="P603">
        <v>3</v>
      </c>
      <c r="Q603" s="1" t="s">
        <v>24</v>
      </c>
    </row>
    <row r="604" spans="1:17" x14ac:dyDescent="0.3">
      <c r="A604" s="1" t="s">
        <v>669</v>
      </c>
      <c r="B604" s="1" t="s">
        <v>63</v>
      </c>
      <c r="C604" s="1" t="s">
        <v>84</v>
      </c>
      <c r="D604" s="1" t="s">
        <v>20</v>
      </c>
      <c r="E604" s="1" t="s">
        <v>21</v>
      </c>
      <c r="F604" s="1" t="s">
        <v>38</v>
      </c>
      <c r="G604" s="2">
        <v>45931</v>
      </c>
      <c r="H604" s="2">
        <v>45934</v>
      </c>
      <c r="I604" s="1" t="s">
        <v>32</v>
      </c>
      <c r="J604">
        <v>3</v>
      </c>
      <c r="K604">
        <v>3</v>
      </c>
      <c r="L604">
        <v>14</v>
      </c>
      <c r="M604" s="1" t="s">
        <v>24</v>
      </c>
      <c r="N604" s="2">
        <v>45931</v>
      </c>
      <c r="O604">
        <v>2025</v>
      </c>
      <c r="P604">
        <v>4</v>
      </c>
      <c r="Q604" s="1" t="s">
        <v>24</v>
      </c>
    </row>
    <row r="605" spans="1:17" x14ac:dyDescent="0.3">
      <c r="A605" s="1" t="s">
        <v>670</v>
      </c>
      <c r="B605" s="1" t="s">
        <v>35</v>
      </c>
      <c r="C605" s="1" t="s">
        <v>36</v>
      </c>
      <c r="D605" s="1" t="s">
        <v>44</v>
      </c>
      <c r="E605" s="1" t="s">
        <v>21</v>
      </c>
      <c r="F605" s="1" t="s">
        <v>31</v>
      </c>
      <c r="G605" s="2">
        <v>45777</v>
      </c>
      <c r="H605" s="2">
        <v>45778</v>
      </c>
      <c r="I605" s="1" t="s">
        <v>28</v>
      </c>
      <c r="J605">
        <v>3</v>
      </c>
      <c r="K605">
        <v>1</v>
      </c>
      <c r="L605">
        <v>7</v>
      </c>
      <c r="M605" s="1" t="s">
        <v>24</v>
      </c>
      <c r="N605" s="2">
        <v>45748</v>
      </c>
      <c r="O605">
        <v>2025</v>
      </c>
      <c r="P605">
        <v>2</v>
      </c>
      <c r="Q605" s="1" t="s">
        <v>24</v>
      </c>
    </row>
    <row r="606" spans="1:17" x14ac:dyDescent="0.3">
      <c r="A606" s="1" t="s">
        <v>671</v>
      </c>
      <c r="B606" s="1" t="s">
        <v>35</v>
      </c>
      <c r="C606" s="1" t="s">
        <v>50</v>
      </c>
      <c r="D606" s="1" t="s">
        <v>51</v>
      </c>
      <c r="E606" s="1" t="s">
        <v>37</v>
      </c>
      <c r="F606" s="1" t="s">
        <v>31</v>
      </c>
      <c r="G606" s="2">
        <v>45848</v>
      </c>
      <c r="H606" s="2"/>
      <c r="I606" s="1" t="s">
        <v>23</v>
      </c>
      <c r="L606">
        <v>10</v>
      </c>
      <c r="M606" s="1" t="s">
        <v>40</v>
      </c>
      <c r="N606" s="2">
        <v>45839</v>
      </c>
      <c r="O606">
        <v>2025</v>
      </c>
      <c r="P606">
        <v>3</v>
      </c>
      <c r="Q606" s="1" t="s">
        <v>33</v>
      </c>
    </row>
    <row r="607" spans="1:17" x14ac:dyDescent="0.3">
      <c r="A607" s="1" t="s">
        <v>672</v>
      </c>
      <c r="B607" s="1" t="s">
        <v>35</v>
      </c>
      <c r="C607" s="1" t="s">
        <v>99</v>
      </c>
      <c r="D607" s="1" t="s">
        <v>44</v>
      </c>
      <c r="E607" s="1" t="s">
        <v>48</v>
      </c>
      <c r="F607" s="1" t="s">
        <v>52</v>
      </c>
      <c r="G607" s="2">
        <v>45686</v>
      </c>
      <c r="H607" s="2"/>
      <c r="I607" s="1" t="s">
        <v>39</v>
      </c>
      <c r="L607">
        <v>7</v>
      </c>
      <c r="M607" s="1" t="s">
        <v>40</v>
      </c>
      <c r="N607" s="2">
        <v>45658</v>
      </c>
      <c r="O607">
        <v>2025</v>
      </c>
      <c r="P607">
        <v>1</v>
      </c>
      <c r="Q607" s="1" t="s">
        <v>33</v>
      </c>
    </row>
    <row r="608" spans="1:17" x14ac:dyDescent="0.3">
      <c r="A608" s="1" t="s">
        <v>673</v>
      </c>
      <c r="B608" s="1" t="s">
        <v>42</v>
      </c>
      <c r="C608" s="1" t="s">
        <v>87</v>
      </c>
      <c r="D608" s="1" t="s">
        <v>20</v>
      </c>
      <c r="E608" s="1" t="s">
        <v>48</v>
      </c>
      <c r="F608" s="1" t="s">
        <v>31</v>
      </c>
      <c r="G608" s="2">
        <v>45786</v>
      </c>
      <c r="H608" s="2"/>
      <c r="I608" s="1" t="s">
        <v>23</v>
      </c>
      <c r="L608">
        <v>14</v>
      </c>
      <c r="M608" s="1" t="s">
        <v>40</v>
      </c>
      <c r="N608" s="2">
        <v>45778</v>
      </c>
      <c r="O608">
        <v>2025</v>
      </c>
      <c r="P608">
        <v>2</v>
      </c>
      <c r="Q608" s="1" t="s">
        <v>33</v>
      </c>
    </row>
    <row r="609" spans="1:17" x14ac:dyDescent="0.3">
      <c r="A609" s="1" t="s">
        <v>674</v>
      </c>
      <c r="B609" s="1" t="s">
        <v>42</v>
      </c>
      <c r="C609" s="1" t="s">
        <v>76</v>
      </c>
      <c r="D609" s="1" t="s">
        <v>51</v>
      </c>
      <c r="E609" s="1" t="s">
        <v>48</v>
      </c>
      <c r="F609" s="1" t="s">
        <v>38</v>
      </c>
      <c r="G609" s="2">
        <v>45784</v>
      </c>
      <c r="H609" s="2"/>
      <c r="I609" s="1" t="s">
        <v>28</v>
      </c>
      <c r="L609">
        <v>10</v>
      </c>
      <c r="M609" s="1" t="s">
        <v>40</v>
      </c>
      <c r="N609" s="2">
        <v>45778</v>
      </c>
      <c r="O609">
        <v>2025</v>
      </c>
      <c r="P609">
        <v>2</v>
      </c>
      <c r="Q609" s="1" t="s">
        <v>33</v>
      </c>
    </row>
    <row r="610" spans="1:17" x14ac:dyDescent="0.3">
      <c r="A610" s="1" t="s">
        <v>675</v>
      </c>
      <c r="B610" s="1" t="s">
        <v>58</v>
      </c>
      <c r="C610" s="1" t="s">
        <v>70</v>
      </c>
      <c r="D610" s="1" t="s">
        <v>51</v>
      </c>
      <c r="E610" s="1" t="s">
        <v>48</v>
      </c>
      <c r="F610" s="1" t="s">
        <v>31</v>
      </c>
      <c r="G610" s="2">
        <v>45900</v>
      </c>
      <c r="H610" s="2"/>
      <c r="I610" s="1" t="s">
        <v>32</v>
      </c>
      <c r="L610">
        <v>10</v>
      </c>
      <c r="M610" s="1" t="s">
        <v>40</v>
      </c>
      <c r="N610" s="2">
        <v>45870</v>
      </c>
      <c r="O610">
        <v>2025</v>
      </c>
      <c r="P610">
        <v>3</v>
      </c>
      <c r="Q610" s="1" t="s">
        <v>33</v>
      </c>
    </row>
    <row r="611" spans="1:17" x14ac:dyDescent="0.3">
      <c r="A611" s="1" t="s">
        <v>676</v>
      </c>
      <c r="B611" s="1" t="s">
        <v>35</v>
      </c>
      <c r="C611" s="1" t="s">
        <v>36</v>
      </c>
      <c r="D611" s="1" t="s">
        <v>51</v>
      </c>
      <c r="E611" s="1" t="s">
        <v>21</v>
      </c>
      <c r="F611" s="1" t="s">
        <v>31</v>
      </c>
      <c r="G611" s="2">
        <v>45939</v>
      </c>
      <c r="H611" s="2">
        <v>45949</v>
      </c>
      <c r="I611" s="1" t="s">
        <v>32</v>
      </c>
      <c r="J611">
        <v>3</v>
      </c>
      <c r="K611">
        <v>10</v>
      </c>
      <c r="L611">
        <v>10</v>
      </c>
      <c r="M611" s="1" t="s">
        <v>24</v>
      </c>
      <c r="N611" s="2">
        <v>45931</v>
      </c>
      <c r="O611">
        <v>2025</v>
      </c>
      <c r="P611">
        <v>4</v>
      </c>
      <c r="Q611" s="1" t="s">
        <v>24</v>
      </c>
    </row>
    <row r="612" spans="1:17" x14ac:dyDescent="0.3">
      <c r="A612" s="1" t="s">
        <v>677</v>
      </c>
      <c r="B612" s="1" t="s">
        <v>63</v>
      </c>
      <c r="C612" s="1" t="s">
        <v>84</v>
      </c>
      <c r="D612" s="1" t="s">
        <v>44</v>
      </c>
      <c r="E612" s="1" t="s">
        <v>48</v>
      </c>
      <c r="F612" s="1" t="s">
        <v>38</v>
      </c>
      <c r="G612" s="2">
        <v>45769</v>
      </c>
      <c r="H612" s="2"/>
      <c r="I612" s="1" t="s">
        <v>28</v>
      </c>
      <c r="L612">
        <v>7</v>
      </c>
      <c r="M612" s="1" t="s">
        <v>40</v>
      </c>
      <c r="N612" s="2">
        <v>45748</v>
      </c>
      <c r="O612">
        <v>2025</v>
      </c>
      <c r="P612">
        <v>2</v>
      </c>
      <c r="Q612" s="1" t="s">
        <v>33</v>
      </c>
    </row>
    <row r="613" spans="1:17" x14ac:dyDescent="0.3">
      <c r="A613" s="1" t="s">
        <v>678</v>
      </c>
      <c r="B613" s="1" t="s">
        <v>18</v>
      </c>
      <c r="C613" s="1" t="s">
        <v>30</v>
      </c>
      <c r="D613" s="1" t="s">
        <v>51</v>
      </c>
      <c r="E613" s="1" t="s">
        <v>21</v>
      </c>
      <c r="F613" s="1" t="s">
        <v>61</v>
      </c>
      <c r="G613" s="2">
        <v>45799</v>
      </c>
      <c r="H613" s="2">
        <v>45802</v>
      </c>
      <c r="I613" s="1" t="s">
        <v>23</v>
      </c>
      <c r="J613">
        <v>4</v>
      </c>
      <c r="K613">
        <v>3</v>
      </c>
      <c r="L613">
        <v>10</v>
      </c>
      <c r="M613" s="1" t="s">
        <v>24</v>
      </c>
      <c r="N613" s="2">
        <v>45778</v>
      </c>
      <c r="O613">
        <v>2025</v>
      </c>
      <c r="P613">
        <v>2</v>
      </c>
      <c r="Q613" s="1" t="s">
        <v>24</v>
      </c>
    </row>
    <row r="614" spans="1:17" x14ac:dyDescent="0.3">
      <c r="A614" s="1" t="s">
        <v>679</v>
      </c>
      <c r="B614" s="1" t="s">
        <v>42</v>
      </c>
      <c r="C614" s="1" t="s">
        <v>87</v>
      </c>
      <c r="D614" s="1" t="s">
        <v>51</v>
      </c>
      <c r="E614" s="1" t="s">
        <v>21</v>
      </c>
      <c r="F614" s="1" t="s">
        <v>38</v>
      </c>
      <c r="G614" s="2">
        <v>45703</v>
      </c>
      <c r="H614" s="2">
        <v>45708</v>
      </c>
      <c r="I614" s="1" t="s">
        <v>82</v>
      </c>
      <c r="J614">
        <v>3</v>
      </c>
      <c r="K614">
        <v>5</v>
      </c>
      <c r="L614">
        <v>10</v>
      </c>
      <c r="M614" s="1" t="s">
        <v>24</v>
      </c>
      <c r="N614" s="2">
        <v>45689</v>
      </c>
      <c r="O614">
        <v>2025</v>
      </c>
      <c r="P614">
        <v>1</v>
      </c>
      <c r="Q614" s="1" t="s">
        <v>24</v>
      </c>
    </row>
    <row r="615" spans="1:17" x14ac:dyDescent="0.3">
      <c r="A615" s="1" t="s">
        <v>680</v>
      </c>
      <c r="B615" s="1" t="s">
        <v>35</v>
      </c>
      <c r="C615" s="1" t="s">
        <v>99</v>
      </c>
      <c r="D615" s="1" t="s">
        <v>20</v>
      </c>
      <c r="E615" s="1" t="s">
        <v>21</v>
      </c>
      <c r="F615" s="1" t="s">
        <v>61</v>
      </c>
      <c r="G615" s="2">
        <v>46017</v>
      </c>
      <c r="H615" s="2">
        <v>46028</v>
      </c>
      <c r="I615" s="1" t="s">
        <v>39</v>
      </c>
      <c r="J615">
        <v>5</v>
      </c>
      <c r="K615">
        <v>11</v>
      </c>
      <c r="L615">
        <v>14</v>
      </c>
      <c r="M615" s="1" t="s">
        <v>24</v>
      </c>
      <c r="N615" s="2">
        <v>45992</v>
      </c>
      <c r="O615">
        <v>2025</v>
      </c>
      <c r="P615">
        <v>4</v>
      </c>
      <c r="Q615" s="1" t="s">
        <v>24</v>
      </c>
    </row>
    <row r="616" spans="1:17" x14ac:dyDescent="0.3">
      <c r="A616" s="1" t="s">
        <v>681</v>
      </c>
      <c r="B616" s="1" t="s">
        <v>63</v>
      </c>
      <c r="C616" s="1" t="s">
        <v>84</v>
      </c>
      <c r="D616" s="1" t="s">
        <v>71</v>
      </c>
      <c r="E616" s="1" t="s">
        <v>37</v>
      </c>
      <c r="F616" s="1" t="s">
        <v>31</v>
      </c>
      <c r="G616" s="2">
        <v>45835</v>
      </c>
      <c r="H616" s="2"/>
      <c r="I616" s="1" t="s">
        <v>28</v>
      </c>
      <c r="L616">
        <v>3</v>
      </c>
      <c r="M616" s="1" t="s">
        <v>40</v>
      </c>
      <c r="N616" s="2">
        <v>45809</v>
      </c>
      <c r="O616">
        <v>2025</v>
      </c>
      <c r="P616">
        <v>2</v>
      </c>
      <c r="Q616" s="1" t="s">
        <v>33</v>
      </c>
    </row>
    <row r="617" spans="1:17" x14ac:dyDescent="0.3">
      <c r="A617" s="1" t="s">
        <v>682</v>
      </c>
      <c r="B617" s="1" t="s">
        <v>42</v>
      </c>
      <c r="C617" s="1" t="s">
        <v>87</v>
      </c>
      <c r="D617" s="1" t="s">
        <v>51</v>
      </c>
      <c r="E617" s="1" t="s">
        <v>21</v>
      </c>
      <c r="F617" s="1" t="s">
        <v>22</v>
      </c>
      <c r="G617" s="2">
        <v>45678</v>
      </c>
      <c r="H617" s="2">
        <v>45687</v>
      </c>
      <c r="I617" s="1" t="s">
        <v>32</v>
      </c>
      <c r="J617">
        <v>5</v>
      </c>
      <c r="K617">
        <v>9</v>
      </c>
      <c r="L617">
        <v>10</v>
      </c>
      <c r="M617" s="1" t="s">
        <v>24</v>
      </c>
      <c r="N617" s="2">
        <v>45658</v>
      </c>
      <c r="O617">
        <v>2025</v>
      </c>
      <c r="P617">
        <v>1</v>
      </c>
      <c r="Q617" s="1" t="s">
        <v>24</v>
      </c>
    </row>
    <row r="618" spans="1:17" x14ac:dyDescent="0.3">
      <c r="A618" s="1" t="s">
        <v>683</v>
      </c>
      <c r="B618" s="1" t="s">
        <v>26</v>
      </c>
      <c r="C618" s="1" t="s">
        <v>27</v>
      </c>
      <c r="D618" s="1" t="s">
        <v>20</v>
      </c>
      <c r="E618" s="1" t="s">
        <v>21</v>
      </c>
      <c r="F618" s="1" t="s">
        <v>52</v>
      </c>
      <c r="G618" s="2">
        <v>45836</v>
      </c>
      <c r="H618" s="2">
        <v>45844</v>
      </c>
      <c r="I618" s="1" t="s">
        <v>82</v>
      </c>
      <c r="J618">
        <v>5</v>
      </c>
      <c r="K618">
        <v>8</v>
      </c>
      <c r="L618">
        <v>14</v>
      </c>
      <c r="M618" s="1" t="s">
        <v>24</v>
      </c>
      <c r="N618" s="2">
        <v>45809</v>
      </c>
      <c r="O618">
        <v>2025</v>
      </c>
      <c r="P618">
        <v>2</v>
      </c>
      <c r="Q618" s="1" t="s">
        <v>24</v>
      </c>
    </row>
    <row r="619" spans="1:17" x14ac:dyDescent="0.3">
      <c r="A619" s="1" t="s">
        <v>684</v>
      </c>
      <c r="B619" s="1" t="s">
        <v>26</v>
      </c>
      <c r="C619" s="1" t="s">
        <v>54</v>
      </c>
      <c r="D619" s="1" t="s">
        <v>20</v>
      </c>
      <c r="E619" s="1" t="s">
        <v>21</v>
      </c>
      <c r="F619" s="1" t="s">
        <v>31</v>
      </c>
      <c r="G619" s="2">
        <v>45809</v>
      </c>
      <c r="H619" s="2">
        <v>45816</v>
      </c>
      <c r="I619" s="1" t="s">
        <v>23</v>
      </c>
      <c r="J619">
        <v>4</v>
      </c>
      <c r="K619">
        <v>7</v>
      </c>
      <c r="L619">
        <v>14</v>
      </c>
      <c r="M619" s="1" t="s">
        <v>24</v>
      </c>
      <c r="N619" s="2">
        <v>45809</v>
      </c>
      <c r="O619">
        <v>2025</v>
      </c>
      <c r="P619">
        <v>2</v>
      </c>
      <c r="Q619" s="1" t="s">
        <v>24</v>
      </c>
    </row>
    <row r="620" spans="1:17" x14ac:dyDescent="0.3">
      <c r="A620" s="1" t="s">
        <v>685</v>
      </c>
      <c r="B620" s="1" t="s">
        <v>18</v>
      </c>
      <c r="C620" s="1" t="s">
        <v>30</v>
      </c>
      <c r="D620" s="1" t="s">
        <v>44</v>
      </c>
      <c r="E620" s="1" t="s">
        <v>48</v>
      </c>
      <c r="F620" s="1" t="s">
        <v>52</v>
      </c>
      <c r="G620" s="2">
        <v>45975</v>
      </c>
      <c r="H620" s="2"/>
      <c r="I620" s="1" t="s">
        <v>82</v>
      </c>
      <c r="L620">
        <v>7</v>
      </c>
      <c r="M620" s="1" t="s">
        <v>40</v>
      </c>
      <c r="N620" s="2">
        <v>45962</v>
      </c>
      <c r="O620">
        <v>2025</v>
      </c>
      <c r="P620">
        <v>4</v>
      </c>
      <c r="Q620" s="1" t="s">
        <v>33</v>
      </c>
    </row>
    <row r="621" spans="1:17" x14ac:dyDescent="0.3">
      <c r="A621" s="1" t="s">
        <v>686</v>
      </c>
      <c r="B621" s="1" t="s">
        <v>63</v>
      </c>
      <c r="C621" s="1" t="s">
        <v>84</v>
      </c>
      <c r="D621" s="1" t="s">
        <v>44</v>
      </c>
      <c r="E621" s="1" t="s">
        <v>21</v>
      </c>
      <c r="F621" s="1" t="s">
        <v>22</v>
      </c>
      <c r="G621" s="2">
        <v>45933</v>
      </c>
      <c r="H621" s="2">
        <v>45940</v>
      </c>
      <c r="I621" s="1" t="s">
        <v>39</v>
      </c>
      <c r="J621">
        <v>4</v>
      </c>
      <c r="K621">
        <v>7</v>
      </c>
      <c r="L621">
        <v>7</v>
      </c>
      <c r="M621" s="1" t="s">
        <v>24</v>
      </c>
      <c r="N621" s="2">
        <v>45931</v>
      </c>
      <c r="O621">
        <v>2025</v>
      </c>
      <c r="P621">
        <v>4</v>
      </c>
      <c r="Q621" s="1" t="s">
        <v>24</v>
      </c>
    </row>
    <row r="622" spans="1:17" x14ac:dyDescent="0.3">
      <c r="A622" s="1" t="s">
        <v>687</v>
      </c>
      <c r="B622" s="1" t="s">
        <v>26</v>
      </c>
      <c r="C622" s="1" t="s">
        <v>54</v>
      </c>
      <c r="D622" s="1" t="s">
        <v>51</v>
      </c>
      <c r="E622" s="1" t="s">
        <v>21</v>
      </c>
      <c r="F622" s="1" t="s">
        <v>22</v>
      </c>
      <c r="G622" s="2">
        <v>45986</v>
      </c>
      <c r="H622" s="2">
        <v>45993</v>
      </c>
      <c r="I622" s="1" t="s">
        <v>23</v>
      </c>
      <c r="J622">
        <v>3</v>
      </c>
      <c r="K622">
        <v>7</v>
      </c>
      <c r="L622">
        <v>10</v>
      </c>
      <c r="M622" s="1" t="s">
        <v>24</v>
      </c>
      <c r="N622" s="2">
        <v>45962</v>
      </c>
      <c r="O622">
        <v>2025</v>
      </c>
      <c r="P622">
        <v>4</v>
      </c>
      <c r="Q622" s="1" t="s">
        <v>24</v>
      </c>
    </row>
    <row r="623" spans="1:17" x14ac:dyDescent="0.3">
      <c r="A623" s="1" t="s">
        <v>688</v>
      </c>
      <c r="B623" s="1" t="s">
        <v>42</v>
      </c>
      <c r="C623" s="1" t="s">
        <v>76</v>
      </c>
      <c r="D623" s="1" t="s">
        <v>20</v>
      </c>
      <c r="E623" s="1" t="s">
        <v>21</v>
      </c>
      <c r="F623" s="1" t="s">
        <v>38</v>
      </c>
      <c r="G623" s="2">
        <v>45712</v>
      </c>
      <c r="H623" s="2">
        <v>45722</v>
      </c>
      <c r="I623" s="1" t="s">
        <v>82</v>
      </c>
      <c r="J623">
        <v>3</v>
      </c>
      <c r="K623">
        <v>10</v>
      </c>
      <c r="L623">
        <v>14</v>
      </c>
      <c r="M623" s="1" t="s">
        <v>24</v>
      </c>
      <c r="N623" s="2">
        <v>45689</v>
      </c>
      <c r="O623">
        <v>2025</v>
      </c>
      <c r="P623">
        <v>1</v>
      </c>
      <c r="Q623" s="1" t="s">
        <v>24</v>
      </c>
    </row>
    <row r="624" spans="1:17" x14ac:dyDescent="0.3">
      <c r="A624" s="1" t="s">
        <v>689</v>
      </c>
      <c r="B624" s="1" t="s">
        <v>18</v>
      </c>
      <c r="C624" s="1" t="s">
        <v>30</v>
      </c>
      <c r="D624" s="1" t="s">
        <v>51</v>
      </c>
      <c r="E624" s="1" t="s">
        <v>21</v>
      </c>
      <c r="F624" s="1" t="s">
        <v>61</v>
      </c>
      <c r="G624" s="2">
        <v>46017</v>
      </c>
      <c r="H624" s="2">
        <v>46023</v>
      </c>
      <c r="I624" s="1" t="s">
        <v>82</v>
      </c>
      <c r="J624">
        <v>2</v>
      </c>
      <c r="K624">
        <v>6</v>
      </c>
      <c r="L624">
        <v>10</v>
      </c>
      <c r="M624" s="1" t="s">
        <v>24</v>
      </c>
      <c r="N624" s="2">
        <v>45992</v>
      </c>
      <c r="O624">
        <v>2025</v>
      </c>
      <c r="P624">
        <v>4</v>
      </c>
      <c r="Q624" s="1" t="s">
        <v>24</v>
      </c>
    </row>
    <row r="625" spans="1:17" x14ac:dyDescent="0.3">
      <c r="A625" s="1" t="s">
        <v>690</v>
      </c>
      <c r="B625" s="1" t="s">
        <v>18</v>
      </c>
      <c r="C625" s="1" t="s">
        <v>19</v>
      </c>
      <c r="D625" s="1" t="s">
        <v>20</v>
      </c>
      <c r="E625" s="1" t="s">
        <v>48</v>
      </c>
      <c r="F625" s="1" t="s">
        <v>31</v>
      </c>
      <c r="G625" s="2">
        <v>45993</v>
      </c>
      <c r="H625" s="2"/>
      <c r="I625" s="1" t="s">
        <v>23</v>
      </c>
      <c r="L625">
        <v>14</v>
      </c>
      <c r="M625" s="1" t="s">
        <v>40</v>
      </c>
      <c r="N625" s="2">
        <v>45992</v>
      </c>
      <c r="O625">
        <v>2025</v>
      </c>
      <c r="P625">
        <v>4</v>
      </c>
      <c r="Q625" s="1" t="s">
        <v>33</v>
      </c>
    </row>
    <row r="626" spans="1:17" x14ac:dyDescent="0.3">
      <c r="A626" s="1" t="s">
        <v>691</v>
      </c>
      <c r="B626" s="1" t="s">
        <v>58</v>
      </c>
      <c r="C626" s="1" t="s">
        <v>70</v>
      </c>
      <c r="D626" s="1" t="s">
        <v>51</v>
      </c>
      <c r="E626" s="1" t="s">
        <v>37</v>
      </c>
      <c r="F626" s="1" t="s">
        <v>52</v>
      </c>
      <c r="G626" s="2">
        <v>45870</v>
      </c>
      <c r="H626" s="2"/>
      <c r="I626" s="1" t="s">
        <v>23</v>
      </c>
      <c r="L626">
        <v>10</v>
      </c>
      <c r="M626" s="1" t="s">
        <v>40</v>
      </c>
      <c r="N626" s="2">
        <v>45870</v>
      </c>
      <c r="O626">
        <v>2025</v>
      </c>
      <c r="P626">
        <v>3</v>
      </c>
      <c r="Q626" s="1" t="s">
        <v>33</v>
      </c>
    </row>
    <row r="627" spans="1:17" x14ac:dyDescent="0.3">
      <c r="A627" s="1" t="s">
        <v>692</v>
      </c>
      <c r="B627" s="1" t="s">
        <v>26</v>
      </c>
      <c r="C627" s="1" t="s">
        <v>123</v>
      </c>
      <c r="D627" s="1" t="s">
        <v>51</v>
      </c>
      <c r="E627" s="1" t="s">
        <v>21</v>
      </c>
      <c r="F627" s="1" t="s">
        <v>22</v>
      </c>
      <c r="G627" s="2">
        <v>45813</v>
      </c>
      <c r="H627" s="2">
        <v>45816</v>
      </c>
      <c r="I627" s="1" t="s">
        <v>23</v>
      </c>
      <c r="J627">
        <v>5</v>
      </c>
      <c r="K627">
        <v>3</v>
      </c>
      <c r="L627">
        <v>10</v>
      </c>
      <c r="M627" s="1" t="s">
        <v>24</v>
      </c>
      <c r="N627" s="2">
        <v>45809</v>
      </c>
      <c r="O627">
        <v>2025</v>
      </c>
      <c r="P627">
        <v>2</v>
      </c>
      <c r="Q627" s="1" t="s">
        <v>24</v>
      </c>
    </row>
    <row r="628" spans="1:17" x14ac:dyDescent="0.3">
      <c r="A628" s="1" t="s">
        <v>693</v>
      </c>
      <c r="B628" s="1" t="s">
        <v>42</v>
      </c>
      <c r="C628" s="1" t="s">
        <v>76</v>
      </c>
      <c r="D628" s="1" t="s">
        <v>51</v>
      </c>
      <c r="E628" s="1" t="s">
        <v>21</v>
      </c>
      <c r="F628" s="1" t="s">
        <v>61</v>
      </c>
      <c r="G628" s="2">
        <v>45927</v>
      </c>
      <c r="H628" s="2">
        <v>45932</v>
      </c>
      <c r="I628" s="1" t="s">
        <v>82</v>
      </c>
      <c r="J628">
        <v>4</v>
      </c>
      <c r="K628">
        <v>5</v>
      </c>
      <c r="L628">
        <v>10</v>
      </c>
      <c r="M628" s="1" t="s">
        <v>24</v>
      </c>
      <c r="N628" s="2">
        <v>45901</v>
      </c>
      <c r="O628">
        <v>2025</v>
      </c>
      <c r="P628">
        <v>3</v>
      </c>
      <c r="Q628" s="1" t="s">
        <v>24</v>
      </c>
    </row>
    <row r="629" spans="1:17" x14ac:dyDescent="0.3">
      <c r="A629" s="1" t="s">
        <v>694</v>
      </c>
      <c r="B629" s="1" t="s">
        <v>18</v>
      </c>
      <c r="C629" s="1" t="s">
        <v>30</v>
      </c>
      <c r="D629" s="1" t="s">
        <v>44</v>
      </c>
      <c r="E629" s="1" t="s">
        <v>37</v>
      </c>
      <c r="F629" s="1" t="s">
        <v>52</v>
      </c>
      <c r="G629" s="2">
        <v>45953</v>
      </c>
      <c r="H629" s="2"/>
      <c r="I629" s="1" t="s">
        <v>39</v>
      </c>
      <c r="L629">
        <v>7</v>
      </c>
      <c r="M629" s="1" t="s">
        <v>40</v>
      </c>
      <c r="N629" s="2">
        <v>45931</v>
      </c>
      <c r="O629">
        <v>2025</v>
      </c>
      <c r="P629">
        <v>4</v>
      </c>
      <c r="Q629" s="1" t="s">
        <v>33</v>
      </c>
    </row>
    <row r="630" spans="1:17" x14ac:dyDescent="0.3">
      <c r="A630" s="1" t="s">
        <v>695</v>
      </c>
      <c r="B630" s="1" t="s">
        <v>18</v>
      </c>
      <c r="C630" s="1" t="s">
        <v>30</v>
      </c>
      <c r="D630" s="1" t="s">
        <v>44</v>
      </c>
      <c r="E630" s="1" t="s">
        <v>21</v>
      </c>
      <c r="F630" s="1" t="s">
        <v>52</v>
      </c>
      <c r="G630" s="2">
        <v>45750</v>
      </c>
      <c r="H630" s="2">
        <v>45755</v>
      </c>
      <c r="I630" s="1" t="s">
        <v>28</v>
      </c>
      <c r="J630">
        <v>4</v>
      </c>
      <c r="K630">
        <v>5</v>
      </c>
      <c r="L630">
        <v>7</v>
      </c>
      <c r="M630" s="1" t="s">
        <v>24</v>
      </c>
      <c r="N630" s="2">
        <v>45748</v>
      </c>
      <c r="O630">
        <v>2025</v>
      </c>
      <c r="P630">
        <v>2</v>
      </c>
      <c r="Q630" s="1" t="s">
        <v>24</v>
      </c>
    </row>
    <row r="631" spans="1:17" x14ac:dyDescent="0.3">
      <c r="A631" s="1" t="s">
        <v>696</v>
      </c>
      <c r="B631" s="1" t="s">
        <v>26</v>
      </c>
      <c r="C631" s="1" t="s">
        <v>27</v>
      </c>
      <c r="D631" s="1" t="s">
        <v>44</v>
      </c>
      <c r="E631" s="1" t="s">
        <v>48</v>
      </c>
      <c r="F631" s="1" t="s">
        <v>52</v>
      </c>
      <c r="G631" s="2">
        <v>45939</v>
      </c>
      <c r="H631" s="2"/>
      <c r="I631" s="1" t="s">
        <v>32</v>
      </c>
      <c r="L631">
        <v>7</v>
      </c>
      <c r="M631" s="1" t="s">
        <v>40</v>
      </c>
      <c r="N631" s="2">
        <v>45931</v>
      </c>
      <c r="O631">
        <v>2025</v>
      </c>
      <c r="P631">
        <v>4</v>
      </c>
      <c r="Q631" s="1" t="s">
        <v>33</v>
      </c>
    </row>
    <row r="632" spans="1:17" x14ac:dyDescent="0.3">
      <c r="A632" s="1" t="s">
        <v>697</v>
      </c>
      <c r="B632" s="1" t="s">
        <v>58</v>
      </c>
      <c r="C632" s="1" t="s">
        <v>145</v>
      </c>
      <c r="D632" s="1" t="s">
        <v>44</v>
      </c>
      <c r="E632" s="1" t="s">
        <v>21</v>
      </c>
      <c r="F632" s="1" t="s">
        <v>31</v>
      </c>
      <c r="G632" s="2">
        <v>45781</v>
      </c>
      <c r="H632" s="2">
        <v>45786</v>
      </c>
      <c r="I632" s="1" t="s">
        <v>82</v>
      </c>
      <c r="J632">
        <v>4</v>
      </c>
      <c r="K632">
        <v>5</v>
      </c>
      <c r="L632">
        <v>7</v>
      </c>
      <c r="M632" s="1" t="s">
        <v>24</v>
      </c>
      <c r="N632" s="2">
        <v>45778</v>
      </c>
      <c r="O632">
        <v>2025</v>
      </c>
      <c r="P632">
        <v>2</v>
      </c>
      <c r="Q632" s="1" t="s">
        <v>24</v>
      </c>
    </row>
    <row r="633" spans="1:17" x14ac:dyDescent="0.3">
      <c r="A633" s="1" t="s">
        <v>698</v>
      </c>
      <c r="B633" s="1" t="s">
        <v>18</v>
      </c>
      <c r="C633" s="1" t="s">
        <v>56</v>
      </c>
      <c r="D633" s="1" t="s">
        <v>51</v>
      </c>
      <c r="E633" s="1" t="s">
        <v>21</v>
      </c>
      <c r="F633" s="1" t="s">
        <v>52</v>
      </c>
      <c r="G633" s="2">
        <v>45861</v>
      </c>
      <c r="H633" s="2">
        <v>45863</v>
      </c>
      <c r="I633" s="1" t="s">
        <v>82</v>
      </c>
      <c r="J633">
        <v>5</v>
      </c>
      <c r="K633">
        <v>2</v>
      </c>
      <c r="L633">
        <v>10</v>
      </c>
      <c r="M633" s="1" t="s">
        <v>24</v>
      </c>
      <c r="N633" s="2">
        <v>45839</v>
      </c>
      <c r="O633">
        <v>2025</v>
      </c>
      <c r="P633">
        <v>3</v>
      </c>
      <c r="Q633" s="1" t="s">
        <v>24</v>
      </c>
    </row>
    <row r="634" spans="1:17" x14ac:dyDescent="0.3">
      <c r="A634" s="1" t="s">
        <v>699</v>
      </c>
      <c r="B634" s="1" t="s">
        <v>42</v>
      </c>
      <c r="C634" s="1" t="s">
        <v>76</v>
      </c>
      <c r="D634" s="1" t="s">
        <v>71</v>
      </c>
      <c r="E634" s="1" t="s">
        <v>21</v>
      </c>
      <c r="F634" s="1" t="s">
        <v>52</v>
      </c>
      <c r="G634" s="2">
        <v>45811</v>
      </c>
      <c r="H634" s="2">
        <v>45812</v>
      </c>
      <c r="I634" s="1" t="s">
        <v>23</v>
      </c>
      <c r="J634">
        <v>3</v>
      </c>
      <c r="K634">
        <v>1</v>
      </c>
      <c r="L634">
        <v>3</v>
      </c>
      <c r="M634" s="1" t="s">
        <v>24</v>
      </c>
      <c r="N634" s="2">
        <v>45809</v>
      </c>
      <c r="O634">
        <v>2025</v>
      </c>
      <c r="P634">
        <v>2</v>
      </c>
      <c r="Q634" s="1" t="s">
        <v>24</v>
      </c>
    </row>
    <row r="635" spans="1:17" x14ac:dyDescent="0.3">
      <c r="A635" s="1" t="s">
        <v>700</v>
      </c>
      <c r="B635" s="1" t="s">
        <v>18</v>
      </c>
      <c r="C635" s="1" t="s">
        <v>56</v>
      </c>
      <c r="D635" s="1" t="s">
        <v>44</v>
      </c>
      <c r="E635" s="1" t="s">
        <v>21</v>
      </c>
      <c r="F635" s="1" t="s">
        <v>38</v>
      </c>
      <c r="G635" s="2">
        <v>45950</v>
      </c>
      <c r="H635" s="2">
        <v>45955</v>
      </c>
      <c r="I635" s="1" t="s">
        <v>39</v>
      </c>
      <c r="J635">
        <v>3</v>
      </c>
      <c r="K635">
        <v>5</v>
      </c>
      <c r="L635">
        <v>7</v>
      </c>
      <c r="M635" s="1" t="s">
        <v>24</v>
      </c>
      <c r="N635" s="2">
        <v>45931</v>
      </c>
      <c r="O635">
        <v>2025</v>
      </c>
      <c r="P635">
        <v>4</v>
      </c>
      <c r="Q635" s="1" t="s">
        <v>24</v>
      </c>
    </row>
    <row r="636" spans="1:17" x14ac:dyDescent="0.3">
      <c r="A636" s="1" t="s">
        <v>701</v>
      </c>
      <c r="B636" s="1" t="s">
        <v>35</v>
      </c>
      <c r="C636" s="1" t="s">
        <v>36</v>
      </c>
      <c r="D636" s="1" t="s">
        <v>20</v>
      </c>
      <c r="E636" s="1" t="s">
        <v>21</v>
      </c>
      <c r="F636" s="1" t="s">
        <v>52</v>
      </c>
      <c r="G636" s="2">
        <v>45956</v>
      </c>
      <c r="H636" s="2">
        <v>45962</v>
      </c>
      <c r="I636" s="1" t="s">
        <v>23</v>
      </c>
      <c r="J636">
        <v>3</v>
      </c>
      <c r="K636">
        <v>6</v>
      </c>
      <c r="L636">
        <v>14</v>
      </c>
      <c r="M636" s="1" t="s">
        <v>24</v>
      </c>
      <c r="N636" s="2">
        <v>45931</v>
      </c>
      <c r="O636">
        <v>2025</v>
      </c>
      <c r="P636">
        <v>4</v>
      </c>
      <c r="Q636" s="1" t="s">
        <v>24</v>
      </c>
    </row>
    <row r="637" spans="1:17" x14ac:dyDescent="0.3">
      <c r="A637" s="1" t="s">
        <v>702</v>
      </c>
      <c r="B637" s="1" t="s">
        <v>26</v>
      </c>
      <c r="C637" s="1" t="s">
        <v>27</v>
      </c>
      <c r="D637" s="1" t="s">
        <v>51</v>
      </c>
      <c r="E637" s="1" t="s">
        <v>21</v>
      </c>
      <c r="F637" s="1" t="s">
        <v>61</v>
      </c>
      <c r="G637" s="2">
        <v>45697</v>
      </c>
      <c r="H637" s="2">
        <v>45704</v>
      </c>
      <c r="I637" s="1" t="s">
        <v>39</v>
      </c>
      <c r="J637">
        <v>5</v>
      </c>
      <c r="K637">
        <v>7</v>
      </c>
      <c r="L637">
        <v>10</v>
      </c>
      <c r="M637" s="1" t="s">
        <v>24</v>
      </c>
      <c r="N637" s="2">
        <v>45689</v>
      </c>
      <c r="O637">
        <v>2025</v>
      </c>
      <c r="P637">
        <v>1</v>
      </c>
      <c r="Q637" s="1" t="s">
        <v>24</v>
      </c>
    </row>
    <row r="638" spans="1:17" x14ac:dyDescent="0.3">
      <c r="A638" s="1" t="s">
        <v>703</v>
      </c>
      <c r="B638" s="1" t="s">
        <v>18</v>
      </c>
      <c r="C638" s="1" t="s">
        <v>19</v>
      </c>
      <c r="D638" s="1" t="s">
        <v>51</v>
      </c>
      <c r="E638" s="1" t="s">
        <v>21</v>
      </c>
      <c r="F638" s="1" t="s">
        <v>38</v>
      </c>
      <c r="G638" s="2">
        <v>45953</v>
      </c>
      <c r="H638" s="2">
        <v>45961</v>
      </c>
      <c r="I638" s="1" t="s">
        <v>32</v>
      </c>
      <c r="J638">
        <v>2</v>
      </c>
      <c r="K638">
        <v>8</v>
      </c>
      <c r="L638">
        <v>10</v>
      </c>
      <c r="M638" s="1" t="s">
        <v>24</v>
      </c>
      <c r="N638" s="2">
        <v>45931</v>
      </c>
      <c r="O638">
        <v>2025</v>
      </c>
      <c r="P638">
        <v>4</v>
      </c>
      <c r="Q638" s="1" t="s">
        <v>24</v>
      </c>
    </row>
    <row r="639" spans="1:17" x14ac:dyDescent="0.3">
      <c r="A639" s="1" t="s">
        <v>704</v>
      </c>
      <c r="B639" s="1" t="s">
        <v>35</v>
      </c>
      <c r="C639" s="1" t="s">
        <v>50</v>
      </c>
      <c r="D639" s="1" t="s">
        <v>51</v>
      </c>
      <c r="E639" s="1" t="s">
        <v>48</v>
      </c>
      <c r="F639" s="1" t="s">
        <v>22</v>
      </c>
      <c r="G639" s="2">
        <v>45774</v>
      </c>
      <c r="H639" s="2"/>
      <c r="I639" s="1" t="s">
        <v>23</v>
      </c>
      <c r="L639">
        <v>10</v>
      </c>
      <c r="M639" s="1" t="s">
        <v>40</v>
      </c>
      <c r="N639" s="2">
        <v>45748</v>
      </c>
      <c r="O639">
        <v>2025</v>
      </c>
      <c r="P639">
        <v>2</v>
      </c>
      <c r="Q639" s="1" t="s">
        <v>33</v>
      </c>
    </row>
    <row r="640" spans="1:17" x14ac:dyDescent="0.3">
      <c r="A640" s="1" t="s">
        <v>705</v>
      </c>
      <c r="B640" s="1" t="s">
        <v>18</v>
      </c>
      <c r="C640" s="1" t="s">
        <v>30</v>
      </c>
      <c r="D640" s="1" t="s">
        <v>20</v>
      </c>
      <c r="E640" s="1" t="s">
        <v>21</v>
      </c>
      <c r="F640" s="1" t="s">
        <v>52</v>
      </c>
      <c r="G640" s="2">
        <v>45821</v>
      </c>
      <c r="H640" s="2">
        <v>45832</v>
      </c>
      <c r="I640" s="1" t="s">
        <v>82</v>
      </c>
      <c r="J640">
        <v>4</v>
      </c>
      <c r="K640">
        <v>11</v>
      </c>
      <c r="L640">
        <v>14</v>
      </c>
      <c r="M640" s="1" t="s">
        <v>24</v>
      </c>
      <c r="N640" s="2">
        <v>45809</v>
      </c>
      <c r="O640">
        <v>2025</v>
      </c>
      <c r="P640">
        <v>2</v>
      </c>
      <c r="Q640" s="1" t="s">
        <v>24</v>
      </c>
    </row>
    <row r="641" spans="1:17" x14ac:dyDescent="0.3">
      <c r="A641" s="1" t="s">
        <v>706</v>
      </c>
      <c r="B641" s="1" t="s">
        <v>18</v>
      </c>
      <c r="C641" s="1" t="s">
        <v>47</v>
      </c>
      <c r="D641" s="1" t="s">
        <v>20</v>
      </c>
      <c r="E641" s="1" t="s">
        <v>21</v>
      </c>
      <c r="F641" s="1" t="s">
        <v>22</v>
      </c>
      <c r="G641" s="2">
        <v>45859</v>
      </c>
      <c r="H641" s="2">
        <v>45869</v>
      </c>
      <c r="I641" s="1" t="s">
        <v>82</v>
      </c>
      <c r="J641">
        <v>5</v>
      </c>
      <c r="K641">
        <v>10</v>
      </c>
      <c r="L641">
        <v>14</v>
      </c>
      <c r="M641" s="1" t="s">
        <v>24</v>
      </c>
      <c r="N641" s="2">
        <v>45839</v>
      </c>
      <c r="O641">
        <v>2025</v>
      </c>
      <c r="P641">
        <v>3</v>
      </c>
      <c r="Q641" s="1" t="s">
        <v>24</v>
      </c>
    </row>
    <row r="642" spans="1:17" x14ac:dyDescent="0.3">
      <c r="A642" s="1" t="s">
        <v>707</v>
      </c>
      <c r="B642" s="1" t="s">
        <v>42</v>
      </c>
      <c r="C642" s="1" t="s">
        <v>76</v>
      </c>
      <c r="D642" s="1" t="s">
        <v>51</v>
      </c>
      <c r="E642" s="1" t="s">
        <v>37</v>
      </c>
      <c r="F642" s="1" t="s">
        <v>61</v>
      </c>
      <c r="G642" s="2">
        <v>45733</v>
      </c>
      <c r="H642" s="2"/>
      <c r="I642" s="1" t="s">
        <v>32</v>
      </c>
      <c r="L642">
        <v>10</v>
      </c>
      <c r="M642" s="1" t="s">
        <v>40</v>
      </c>
      <c r="N642" s="2">
        <v>45717</v>
      </c>
      <c r="O642">
        <v>2025</v>
      </c>
      <c r="P642">
        <v>1</v>
      </c>
      <c r="Q642" s="1" t="s">
        <v>33</v>
      </c>
    </row>
    <row r="643" spans="1:17" x14ac:dyDescent="0.3">
      <c r="A643" s="1" t="s">
        <v>708</v>
      </c>
      <c r="B643" s="1" t="s">
        <v>42</v>
      </c>
      <c r="C643" s="1" t="s">
        <v>87</v>
      </c>
      <c r="D643" s="1" t="s">
        <v>51</v>
      </c>
      <c r="E643" s="1" t="s">
        <v>21</v>
      </c>
      <c r="F643" s="1" t="s">
        <v>22</v>
      </c>
      <c r="G643" s="2">
        <v>45862</v>
      </c>
      <c r="H643" s="2">
        <v>45868</v>
      </c>
      <c r="I643" s="1" t="s">
        <v>39</v>
      </c>
      <c r="J643">
        <v>2</v>
      </c>
      <c r="K643">
        <v>6</v>
      </c>
      <c r="L643">
        <v>10</v>
      </c>
      <c r="M643" s="1" t="s">
        <v>24</v>
      </c>
      <c r="N643" s="2">
        <v>45839</v>
      </c>
      <c r="O643">
        <v>2025</v>
      </c>
      <c r="P643">
        <v>3</v>
      </c>
      <c r="Q643" s="1" t="s">
        <v>24</v>
      </c>
    </row>
    <row r="644" spans="1:17" x14ac:dyDescent="0.3">
      <c r="A644" s="1" t="s">
        <v>709</v>
      </c>
      <c r="B644" s="1" t="s">
        <v>18</v>
      </c>
      <c r="C644" s="1" t="s">
        <v>47</v>
      </c>
      <c r="D644" s="1" t="s">
        <v>44</v>
      </c>
      <c r="E644" s="1" t="s">
        <v>21</v>
      </c>
      <c r="F644" s="1" t="s">
        <v>22</v>
      </c>
      <c r="G644" s="2">
        <v>45759</v>
      </c>
      <c r="H644" s="2">
        <v>45763</v>
      </c>
      <c r="I644" s="1" t="s">
        <v>28</v>
      </c>
      <c r="J644">
        <v>4</v>
      </c>
      <c r="K644">
        <v>4</v>
      </c>
      <c r="L644">
        <v>7</v>
      </c>
      <c r="M644" s="1" t="s">
        <v>24</v>
      </c>
      <c r="N644" s="2">
        <v>45748</v>
      </c>
      <c r="O644">
        <v>2025</v>
      </c>
      <c r="P644">
        <v>2</v>
      </c>
      <c r="Q644" s="1" t="s">
        <v>24</v>
      </c>
    </row>
    <row r="645" spans="1:17" x14ac:dyDescent="0.3">
      <c r="A645" s="1" t="s">
        <v>710</v>
      </c>
      <c r="B645" s="1" t="s">
        <v>26</v>
      </c>
      <c r="C645" s="1" t="s">
        <v>54</v>
      </c>
      <c r="D645" s="1" t="s">
        <v>20</v>
      </c>
      <c r="E645" s="1" t="s">
        <v>21</v>
      </c>
      <c r="F645" s="1" t="s">
        <v>22</v>
      </c>
      <c r="G645" s="2">
        <v>45878</v>
      </c>
      <c r="H645" s="2">
        <v>45886</v>
      </c>
      <c r="I645" s="1" t="s">
        <v>23</v>
      </c>
      <c r="J645">
        <v>5</v>
      </c>
      <c r="K645">
        <v>8</v>
      </c>
      <c r="L645">
        <v>14</v>
      </c>
      <c r="M645" s="1" t="s">
        <v>24</v>
      </c>
      <c r="N645" s="2">
        <v>45870</v>
      </c>
      <c r="O645">
        <v>2025</v>
      </c>
      <c r="P645">
        <v>3</v>
      </c>
      <c r="Q645" s="1" t="s">
        <v>24</v>
      </c>
    </row>
    <row r="646" spans="1:17" x14ac:dyDescent="0.3">
      <c r="A646" s="1" t="s">
        <v>711</v>
      </c>
      <c r="B646" s="1" t="s">
        <v>42</v>
      </c>
      <c r="C646" s="1" t="s">
        <v>87</v>
      </c>
      <c r="D646" s="1" t="s">
        <v>51</v>
      </c>
      <c r="E646" s="1" t="s">
        <v>21</v>
      </c>
      <c r="F646" s="1" t="s">
        <v>38</v>
      </c>
      <c r="G646" s="2">
        <v>45822</v>
      </c>
      <c r="H646" s="2">
        <v>45829</v>
      </c>
      <c r="I646" s="1" t="s">
        <v>32</v>
      </c>
      <c r="J646">
        <v>4</v>
      </c>
      <c r="K646">
        <v>7</v>
      </c>
      <c r="L646">
        <v>10</v>
      </c>
      <c r="M646" s="1" t="s">
        <v>24</v>
      </c>
      <c r="N646" s="2">
        <v>45809</v>
      </c>
      <c r="O646">
        <v>2025</v>
      </c>
      <c r="P646">
        <v>2</v>
      </c>
      <c r="Q646" s="1" t="s">
        <v>24</v>
      </c>
    </row>
    <row r="647" spans="1:17" x14ac:dyDescent="0.3">
      <c r="A647" s="1" t="s">
        <v>712</v>
      </c>
      <c r="B647" s="1" t="s">
        <v>63</v>
      </c>
      <c r="C647" s="1" t="s">
        <v>84</v>
      </c>
      <c r="D647" s="1" t="s">
        <v>51</v>
      </c>
      <c r="E647" s="1" t="s">
        <v>48</v>
      </c>
      <c r="F647" s="1" t="s">
        <v>22</v>
      </c>
      <c r="G647" s="2">
        <v>45884</v>
      </c>
      <c r="H647" s="2"/>
      <c r="I647" s="1" t="s">
        <v>28</v>
      </c>
      <c r="L647">
        <v>10</v>
      </c>
      <c r="M647" s="1" t="s">
        <v>40</v>
      </c>
      <c r="N647" s="2">
        <v>45870</v>
      </c>
      <c r="O647">
        <v>2025</v>
      </c>
      <c r="P647">
        <v>3</v>
      </c>
      <c r="Q647" s="1" t="s">
        <v>33</v>
      </c>
    </row>
    <row r="648" spans="1:17" x14ac:dyDescent="0.3">
      <c r="A648" s="1" t="s">
        <v>713</v>
      </c>
      <c r="B648" s="1" t="s">
        <v>58</v>
      </c>
      <c r="C648" s="1" t="s">
        <v>70</v>
      </c>
      <c r="D648" s="1" t="s">
        <v>44</v>
      </c>
      <c r="E648" s="1" t="s">
        <v>21</v>
      </c>
      <c r="F648" s="1" t="s">
        <v>38</v>
      </c>
      <c r="G648" s="2">
        <v>46008</v>
      </c>
      <c r="H648" s="2">
        <v>46011</v>
      </c>
      <c r="I648" s="1" t="s">
        <v>23</v>
      </c>
      <c r="J648">
        <v>3</v>
      </c>
      <c r="K648">
        <v>3</v>
      </c>
      <c r="L648">
        <v>7</v>
      </c>
      <c r="M648" s="1" t="s">
        <v>24</v>
      </c>
      <c r="N648" s="2">
        <v>45992</v>
      </c>
      <c r="O648">
        <v>2025</v>
      </c>
      <c r="P648">
        <v>4</v>
      </c>
      <c r="Q648" s="1" t="s">
        <v>24</v>
      </c>
    </row>
    <row r="649" spans="1:17" x14ac:dyDescent="0.3">
      <c r="A649" s="1" t="s">
        <v>714</v>
      </c>
      <c r="B649" s="1" t="s">
        <v>18</v>
      </c>
      <c r="C649" s="1" t="s">
        <v>19</v>
      </c>
      <c r="D649" s="1" t="s">
        <v>20</v>
      </c>
      <c r="E649" s="1" t="s">
        <v>21</v>
      </c>
      <c r="F649" s="1" t="s">
        <v>38</v>
      </c>
      <c r="G649" s="2">
        <v>45733</v>
      </c>
      <c r="H649" s="2">
        <v>45740</v>
      </c>
      <c r="I649" s="1" t="s">
        <v>32</v>
      </c>
      <c r="J649">
        <v>1</v>
      </c>
      <c r="K649">
        <v>7</v>
      </c>
      <c r="L649">
        <v>14</v>
      </c>
      <c r="M649" s="1" t="s">
        <v>24</v>
      </c>
      <c r="N649" s="2">
        <v>45717</v>
      </c>
      <c r="O649">
        <v>2025</v>
      </c>
      <c r="P649">
        <v>1</v>
      </c>
      <c r="Q649" s="1" t="s">
        <v>24</v>
      </c>
    </row>
    <row r="650" spans="1:17" x14ac:dyDescent="0.3">
      <c r="A650" s="1" t="s">
        <v>715</v>
      </c>
      <c r="B650" s="1" t="s">
        <v>58</v>
      </c>
      <c r="C650" s="1" t="s">
        <v>145</v>
      </c>
      <c r="D650" s="1" t="s">
        <v>20</v>
      </c>
      <c r="E650" s="1" t="s">
        <v>21</v>
      </c>
      <c r="F650" s="1" t="s">
        <v>22</v>
      </c>
      <c r="G650" s="2">
        <v>45933</v>
      </c>
      <c r="H650" s="2">
        <v>45939</v>
      </c>
      <c r="I650" s="1" t="s">
        <v>32</v>
      </c>
      <c r="J650">
        <v>3</v>
      </c>
      <c r="K650">
        <v>6</v>
      </c>
      <c r="L650">
        <v>14</v>
      </c>
      <c r="M650" s="1" t="s">
        <v>24</v>
      </c>
      <c r="N650" s="2">
        <v>45931</v>
      </c>
      <c r="O650">
        <v>2025</v>
      </c>
      <c r="P650">
        <v>4</v>
      </c>
      <c r="Q650" s="1" t="s">
        <v>24</v>
      </c>
    </row>
    <row r="651" spans="1:17" x14ac:dyDescent="0.3">
      <c r="A651" s="1" t="s">
        <v>716</v>
      </c>
      <c r="B651" s="1" t="s">
        <v>26</v>
      </c>
      <c r="C651" s="1" t="s">
        <v>27</v>
      </c>
      <c r="D651" s="1" t="s">
        <v>51</v>
      </c>
      <c r="E651" s="1" t="s">
        <v>48</v>
      </c>
      <c r="F651" s="1" t="s">
        <v>38</v>
      </c>
      <c r="G651" s="2">
        <v>46013</v>
      </c>
      <c r="H651" s="2"/>
      <c r="I651" s="1" t="s">
        <v>39</v>
      </c>
      <c r="L651">
        <v>10</v>
      </c>
      <c r="M651" s="1" t="s">
        <v>40</v>
      </c>
      <c r="N651" s="2">
        <v>45992</v>
      </c>
      <c r="O651">
        <v>2025</v>
      </c>
      <c r="P651">
        <v>4</v>
      </c>
      <c r="Q651" s="1" t="s">
        <v>33</v>
      </c>
    </row>
    <row r="652" spans="1:17" x14ac:dyDescent="0.3">
      <c r="A652" s="1" t="s">
        <v>717</v>
      </c>
      <c r="B652" s="1" t="s">
        <v>26</v>
      </c>
      <c r="C652" s="1" t="s">
        <v>67</v>
      </c>
      <c r="D652" s="1" t="s">
        <v>51</v>
      </c>
      <c r="E652" s="1" t="s">
        <v>21</v>
      </c>
      <c r="F652" s="1" t="s">
        <v>38</v>
      </c>
      <c r="G652" s="2">
        <v>45760</v>
      </c>
      <c r="H652" s="2">
        <v>45766</v>
      </c>
      <c r="I652" s="1" t="s">
        <v>23</v>
      </c>
      <c r="J652">
        <v>2</v>
      </c>
      <c r="K652">
        <v>6</v>
      </c>
      <c r="L652">
        <v>10</v>
      </c>
      <c r="M652" s="1" t="s">
        <v>24</v>
      </c>
      <c r="N652" s="2">
        <v>45748</v>
      </c>
      <c r="O652">
        <v>2025</v>
      </c>
      <c r="P652">
        <v>2</v>
      </c>
      <c r="Q652" s="1" t="s">
        <v>24</v>
      </c>
    </row>
    <row r="653" spans="1:17" x14ac:dyDescent="0.3">
      <c r="A653" s="1" t="s">
        <v>718</v>
      </c>
      <c r="B653" s="1" t="s">
        <v>58</v>
      </c>
      <c r="C653" s="1" t="s">
        <v>59</v>
      </c>
      <c r="D653" s="1" t="s">
        <v>51</v>
      </c>
      <c r="E653" s="1" t="s">
        <v>48</v>
      </c>
      <c r="F653" s="1" t="s">
        <v>38</v>
      </c>
      <c r="G653" s="2">
        <v>45842</v>
      </c>
      <c r="H653" s="2"/>
      <c r="I653" s="1" t="s">
        <v>23</v>
      </c>
      <c r="L653">
        <v>10</v>
      </c>
      <c r="M653" s="1" t="s">
        <v>40</v>
      </c>
      <c r="N653" s="2">
        <v>45839</v>
      </c>
      <c r="O653">
        <v>2025</v>
      </c>
      <c r="P653">
        <v>3</v>
      </c>
      <c r="Q653" s="1" t="s">
        <v>33</v>
      </c>
    </row>
    <row r="654" spans="1:17" x14ac:dyDescent="0.3">
      <c r="A654" s="1" t="s">
        <v>719</v>
      </c>
      <c r="B654" s="1" t="s">
        <v>35</v>
      </c>
      <c r="C654" s="1" t="s">
        <v>50</v>
      </c>
      <c r="D654" s="1" t="s">
        <v>20</v>
      </c>
      <c r="E654" s="1" t="s">
        <v>21</v>
      </c>
      <c r="F654" s="1" t="s">
        <v>31</v>
      </c>
      <c r="G654" s="2">
        <v>46021</v>
      </c>
      <c r="H654" s="2">
        <v>46025</v>
      </c>
      <c r="I654" s="1" t="s">
        <v>82</v>
      </c>
      <c r="J654">
        <v>5</v>
      </c>
      <c r="K654">
        <v>4</v>
      </c>
      <c r="L654">
        <v>14</v>
      </c>
      <c r="M654" s="1" t="s">
        <v>24</v>
      </c>
      <c r="N654" s="2">
        <v>45992</v>
      </c>
      <c r="O654">
        <v>2025</v>
      </c>
      <c r="P654">
        <v>4</v>
      </c>
      <c r="Q654" s="1" t="s">
        <v>24</v>
      </c>
    </row>
    <row r="655" spans="1:17" x14ac:dyDescent="0.3">
      <c r="A655" s="1" t="s">
        <v>720</v>
      </c>
      <c r="B655" s="1" t="s">
        <v>26</v>
      </c>
      <c r="C655" s="1" t="s">
        <v>67</v>
      </c>
      <c r="D655" s="1" t="s">
        <v>20</v>
      </c>
      <c r="E655" s="1" t="s">
        <v>21</v>
      </c>
      <c r="F655" s="1" t="s">
        <v>38</v>
      </c>
      <c r="G655" s="2">
        <v>45892</v>
      </c>
      <c r="H655" s="2">
        <v>45903</v>
      </c>
      <c r="I655" s="1" t="s">
        <v>23</v>
      </c>
      <c r="J655">
        <v>5</v>
      </c>
      <c r="K655">
        <v>11</v>
      </c>
      <c r="L655">
        <v>14</v>
      </c>
      <c r="M655" s="1" t="s">
        <v>24</v>
      </c>
      <c r="N655" s="2">
        <v>45870</v>
      </c>
      <c r="O655">
        <v>2025</v>
      </c>
      <c r="P655">
        <v>3</v>
      </c>
      <c r="Q655" s="1" t="s">
        <v>24</v>
      </c>
    </row>
    <row r="656" spans="1:17" x14ac:dyDescent="0.3">
      <c r="A656" s="1" t="s">
        <v>721</v>
      </c>
      <c r="B656" s="1" t="s">
        <v>63</v>
      </c>
      <c r="C656" s="1" t="s">
        <v>84</v>
      </c>
      <c r="D656" s="1" t="s">
        <v>51</v>
      </c>
      <c r="E656" s="1" t="s">
        <v>21</v>
      </c>
      <c r="F656" s="1" t="s">
        <v>52</v>
      </c>
      <c r="G656" s="2">
        <v>45738</v>
      </c>
      <c r="H656" s="2">
        <v>45740</v>
      </c>
      <c r="I656" s="1" t="s">
        <v>32</v>
      </c>
      <c r="J656">
        <v>4</v>
      </c>
      <c r="K656">
        <v>2</v>
      </c>
      <c r="L656">
        <v>10</v>
      </c>
      <c r="M656" s="1" t="s">
        <v>24</v>
      </c>
      <c r="N656" s="2">
        <v>45717</v>
      </c>
      <c r="O656">
        <v>2025</v>
      </c>
      <c r="P656">
        <v>1</v>
      </c>
      <c r="Q656" s="1" t="s">
        <v>24</v>
      </c>
    </row>
    <row r="657" spans="1:17" x14ac:dyDescent="0.3">
      <c r="A657" s="1" t="s">
        <v>722</v>
      </c>
      <c r="B657" s="1" t="s">
        <v>18</v>
      </c>
      <c r="C657" s="1" t="s">
        <v>56</v>
      </c>
      <c r="D657" s="1" t="s">
        <v>20</v>
      </c>
      <c r="E657" s="1" t="s">
        <v>48</v>
      </c>
      <c r="F657" s="1" t="s">
        <v>52</v>
      </c>
      <c r="G657" s="2">
        <v>45914</v>
      </c>
      <c r="H657" s="2"/>
      <c r="I657" s="1" t="s">
        <v>23</v>
      </c>
      <c r="L657">
        <v>14</v>
      </c>
      <c r="M657" s="1" t="s">
        <v>40</v>
      </c>
      <c r="N657" s="2">
        <v>45901</v>
      </c>
      <c r="O657">
        <v>2025</v>
      </c>
      <c r="P657">
        <v>3</v>
      </c>
      <c r="Q657" s="1" t="s">
        <v>33</v>
      </c>
    </row>
    <row r="658" spans="1:17" x14ac:dyDescent="0.3">
      <c r="A658" s="1" t="s">
        <v>723</v>
      </c>
      <c r="B658" s="1" t="s">
        <v>18</v>
      </c>
      <c r="C658" s="1" t="s">
        <v>56</v>
      </c>
      <c r="D658" s="1" t="s">
        <v>44</v>
      </c>
      <c r="E658" s="1" t="s">
        <v>48</v>
      </c>
      <c r="F658" s="1" t="s">
        <v>22</v>
      </c>
      <c r="G658" s="2">
        <v>45673</v>
      </c>
      <c r="H658" s="2"/>
      <c r="I658" s="1" t="s">
        <v>32</v>
      </c>
      <c r="L658">
        <v>7</v>
      </c>
      <c r="M658" s="1" t="s">
        <v>40</v>
      </c>
      <c r="N658" s="2">
        <v>45658</v>
      </c>
      <c r="O658">
        <v>2025</v>
      </c>
      <c r="P658">
        <v>1</v>
      </c>
      <c r="Q658" s="1" t="s">
        <v>33</v>
      </c>
    </row>
    <row r="659" spans="1:17" x14ac:dyDescent="0.3">
      <c r="A659" s="1" t="s">
        <v>724</v>
      </c>
      <c r="B659" s="1" t="s">
        <v>63</v>
      </c>
      <c r="C659" s="1" t="s">
        <v>64</v>
      </c>
      <c r="D659" s="1" t="s">
        <v>51</v>
      </c>
      <c r="E659" s="1" t="s">
        <v>21</v>
      </c>
      <c r="F659" s="1" t="s">
        <v>22</v>
      </c>
      <c r="G659" s="2">
        <v>45728</v>
      </c>
      <c r="H659" s="2">
        <v>45731</v>
      </c>
      <c r="I659" s="1" t="s">
        <v>82</v>
      </c>
      <c r="J659">
        <v>5</v>
      </c>
      <c r="K659">
        <v>3</v>
      </c>
      <c r="L659">
        <v>10</v>
      </c>
      <c r="M659" s="1" t="s">
        <v>24</v>
      </c>
      <c r="N659" s="2">
        <v>45717</v>
      </c>
      <c r="O659">
        <v>2025</v>
      </c>
      <c r="P659">
        <v>1</v>
      </c>
      <c r="Q659" s="1" t="s">
        <v>24</v>
      </c>
    </row>
    <row r="660" spans="1:17" x14ac:dyDescent="0.3">
      <c r="A660" s="1" t="s">
        <v>725</v>
      </c>
      <c r="B660" s="1" t="s">
        <v>18</v>
      </c>
      <c r="C660" s="1" t="s">
        <v>47</v>
      </c>
      <c r="D660" s="1" t="s">
        <v>51</v>
      </c>
      <c r="E660" s="1" t="s">
        <v>21</v>
      </c>
      <c r="F660" s="1" t="s">
        <v>52</v>
      </c>
      <c r="G660" s="2">
        <v>45876</v>
      </c>
      <c r="H660" s="2">
        <v>45882</v>
      </c>
      <c r="I660" s="1" t="s">
        <v>39</v>
      </c>
      <c r="J660">
        <v>5</v>
      </c>
      <c r="K660">
        <v>6</v>
      </c>
      <c r="L660">
        <v>10</v>
      </c>
      <c r="M660" s="1" t="s">
        <v>24</v>
      </c>
      <c r="N660" s="2">
        <v>45870</v>
      </c>
      <c r="O660">
        <v>2025</v>
      </c>
      <c r="P660">
        <v>3</v>
      </c>
      <c r="Q660" s="1" t="s">
        <v>24</v>
      </c>
    </row>
    <row r="661" spans="1:17" x14ac:dyDescent="0.3">
      <c r="A661" s="1" t="s">
        <v>726</v>
      </c>
      <c r="B661" s="1" t="s">
        <v>26</v>
      </c>
      <c r="C661" s="1" t="s">
        <v>54</v>
      </c>
      <c r="D661" s="1" t="s">
        <v>20</v>
      </c>
      <c r="E661" s="1" t="s">
        <v>21</v>
      </c>
      <c r="F661" s="1" t="s">
        <v>61</v>
      </c>
      <c r="G661" s="2">
        <v>45935</v>
      </c>
      <c r="H661" s="2">
        <v>45948</v>
      </c>
      <c r="I661" s="1" t="s">
        <v>32</v>
      </c>
      <c r="J661">
        <v>5</v>
      </c>
      <c r="K661">
        <v>13</v>
      </c>
      <c r="L661">
        <v>14</v>
      </c>
      <c r="M661" s="1" t="s">
        <v>24</v>
      </c>
      <c r="N661" s="2">
        <v>45931</v>
      </c>
      <c r="O661">
        <v>2025</v>
      </c>
      <c r="P661">
        <v>4</v>
      </c>
      <c r="Q661" s="1" t="s">
        <v>24</v>
      </c>
    </row>
    <row r="662" spans="1:17" x14ac:dyDescent="0.3">
      <c r="A662" s="1" t="s">
        <v>727</v>
      </c>
      <c r="B662" s="1" t="s">
        <v>18</v>
      </c>
      <c r="C662" s="1" t="s">
        <v>47</v>
      </c>
      <c r="D662" s="1" t="s">
        <v>51</v>
      </c>
      <c r="E662" s="1" t="s">
        <v>48</v>
      </c>
      <c r="F662" s="1" t="s">
        <v>22</v>
      </c>
      <c r="G662" s="2">
        <v>45732</v>
      </c>
      <c r="H662" s="2"/>
      <c r="I662" s="1" t="s">
        <v>28</v>
      </c>
      <c r="L662">
        <v>10</v>
      </c>
      <c r="M662" s="1" t="s">
        <v>40</v>
      </c>
      <c r="N662" s="2">
        <v>45717</v>
      </c>
      <c r="O662">
        <v>2025</v>
      </c>
      <c r="P662">
        <v>1</v>
      </c>
      <c r="Q662" s="1" t="s">
        <v>33</v>
      </c>
    </row>
    <row r="663" spans="1:17" x14ac:dyDescent="0.3">
      <c r="A663" s="1" t="s">
        <v>728</v>
      </c>
      <c r="B663" s="1" t="s">
        <v>35</v>
      </c>
      <c r="C663" s="1" t="s">
        <v>99</v>
      </c>
      <c r="D663" s="1" t="s">
        <v>51</v>
      </c>
      <c r="E663" s="1" t="s">
        <v>48</v>
      </c>
      <c r="F663" s="1" t="s">
        <v>61</v>
      </c>
      <c r="G663" s="2">
        <v>45718</v>
      </c>
      <c r="H663" s="2"/>
      <c r="I663" s="1" t="s">
        <v>32</v>
      </c>
      <c r="L663">
        <v>10</v>
      </c>
      <c r="M663" s="1" t="s">
        <v>40</v>
      </c>
      <c r="N663" s="2">
        <v>45717</v>
      </c>
      <c r="O663">
        <v>2025</v>
      </c>
      <c r="P663">
        <v>1</v>
      </c>
      <c r="Q663" s="1" t="s">
        <v>33</v>
      </c>
    </row>
    <row r="664" spans="1:17" x14ac:dyDescent="0.3">
      <c r="A664" s="1" t="s">
        <v>729</v>
      </c>
      <c r="B664" s="1" t="s">
        <v>63</v>
      </c>
      <c r="C664" s="1" t="s">
        <v>74</v>
      </c>
      <c r="D664" s="1" t="s">
        <v>44</v>
      </c>
      <c r="E664" s="1" t="s">
        <v>48</v>
      </c>
      <c r="F664" s="1" t="s">
        <v>31</v>
      </c>
      <c r="G664" s="2">
        <v>45869</v>
      </c>
      <c r="H664" s="2"/>
      <c r="I664" s="1" t="s">
        <v>32</v>
      </c>
      <c r="L664">
        <v>7</v>
      </c>
      <c r="M664" s="1" t="s">
        <v>40</v>
      </c>
      <c r="N664" s="2">
        <v>45839</v>
      </c>
      <c r="O664">
        <v>2025</v>
      </c>
      <c r="P664">
        <v>3</v>
      </c>
      <c r="Q664" s="1" t="s">
        <v>33</v>
      </c>
    </row>
    <row r="665" spans="1:17" x14ac:dyDescent="0.3">
      <c r="A665" s="1" t="s">
        <v>730</v>
      </c>
      <c r="B665" s="1" t="s">
        <v>58</v>
      </c>
      <c r="C665" s="1" t="s">
        <v>59</v>
      </c>
      <c r="D665" s="1" t="s">
        <v>20</v>
      </c>
      <c r="E665" s="1" t="s">
        <v>21</v>
      </c>
      <c r="F665" s="1" t="s">
        <v>22</v>
      </c>
      <c r="G665" s="2">
        <v>45725</v>
      </c>
      <c r="H665" s="2">
        <v>45730</v>
      </c>
      <c r="I665" s="1" t="s">
        <v>82</v>
      </c>
      <c r="J665">
        <v>1</v>
      </c>
      <c r="K665">
        <v>5</v>
      </c>
      <c r="L665">
        <v>14</v>
      </c>
      <c r="M665" s="1" t="s">
        <v>24</v>
      </c>
      <c r="N665" s="2">
        <v>45717</v>
      </c>
      <c r="O665">
        <v>2025</v>
      </c>
      <c r="P665">
        <v>1</v>
      </c>
      <c r="Q665" s="1" t="s">
        <v>24</v>
      </c>
    </row>
    <row r="666" spans="1:17" x14ac:dyDescent="0.3">
      <c r="A666" s="1" t="s">
        <v>731</v>
      </c>
      <c r="B666" s="1" t="s">
        <v>35</v>
      </c>
      <c r="C666" s="1" t="s">
        <v>36</v>
      </c>
      <c r="D666" s="1" t="s">
        <v>51</v>
      </c>
      <c r="E666" s="1" t="s">
        <v>21</v>
      </c>
      <c r="F666" s="1" t="s">
        <v>31</v>
      </c>
      <c r="G666" s="2">
        <v>45671</v>
      </c>
      <c r="H666" s="2">
        <v>45678</v>
      </c>
      <c r="I666" s="1" t="s">
        <v>28</v>
      </c>
      <c r="J666">
        <v>2</v>
      </c>
      <c r="K666">
        <v>7</v>
      </c>
      <c r="L666">
        <v>10</v>
      </c>
      <c r="M666" s="1" t="s">
        <v>24</v>
      </c>
      <c r="N666" s="2">
        <v>45658</v>
      </c>
      <c r="O666">
        <v>2025</v>
      </c>
      <c r="P666">
        <v>1</v>
      </c>
      <c r="Q666" s="1" t="s">
        <v>24</v>
      </c>
    </row>
    <row r="667" spans="1:17" x14ac:dyDescent="0.3">
      <c r="A667" s="1" t="s">
        <v>732</v>
      </c>
      <c r="B667" s="1" t="s">
        <v>26</v>
      </c>
      <c r="C667" s="1" t="s">
        <v>27</v>
      </c>
      <c r="D667" s="1" t="s">
        <v>44</v>
      </c>
      <c r="E667" s="1" t="s">
        <v>21</v>
      </c>
      <c r="F667" s="1" t="s">
        <v>61</v>
      </c>
      <c r="G667" s="2">
        <v>45856</v>
      </c>
      <c r="H667" s="2">
        <v>45860</v>
      </c>
      <c r="I667" s="1" t="s">
        <v>28</v>
      </c>
      <c r="J667">
        <v>4</v>
      </c>
      <c r="K667">
        <v>4</v>
      </c>
      <c r="L667">
        <v>7</v>
      </c>
      <c r="M667" s="1" t="s">
        <v>24</v>
      </c>
      <c r="N667" s="2">
        <v>45839</v>
      </c>
      <c r="O667">
        <v>2025</v>
      </c>
      <c r="P667">
        <v>3</v>
      </c>
      <c r="Q667" s="1" t="s">
        <v>24</v>
      </c>
    </row>
    <row r="668" spans="1:17" x14ac:dyDescent="0.3">
      <c r="A668" s="1" t="s">
        <v>733</v>
      </c>
      <c r="B668" s="1" t="s">
        <v>63</v>
      </c>
      <c r="C668" s="1" t="s">
        <v>74</v>
      </c>
      <c r="D668" s="1" t="s">
        <v>51</v>
      </c>
      <c r="E668" s="1" t="s">
        <v>48</v>
      </c>
      <c r="F668" s="1" t="s">
        <v>31</v>
      </c>
      <c r="G668" s="2">
        <v>45796</v>
      </c>
      <c r="H668" s="2"/>
      <c r="I668" s="1" t="s">
        <v>28</v>
      </c>
      <c r="L668">
        <v>10</v>
      </c>
      <c r="M668" s="1" t="s">
        <v>40</v>
      </c>
      <c r="N668" s="2">
        <v>45778</v>
      </c>
      <c r="O668">
        <v>2025</v>
      </c>
      <c r="P668">
        <v>2</v>
      </c>
      <c r="Q668" s="1" t="s">
        <v>33</v>
      </c>
    </row>
    <row r="669" spans="1:17" x14ac:dyDescent="0.3">
      <c r="A669" s="1" t="s">
        <v>734</v>
      </c>
      <c r="B669" s="1" t="s">
        <v>18</v>
      </c>
      <c r="C669" s="1" t="s">
        <v>47</v>
      </c>
      <c r="D669" s="1" t="s">
        <v>44</v>
      </c>
      <c r="E669" s="1" t="s">
        <v>21</v>
      </c>
      <c r="F669" s="1" t="s">
        <v>52</v>
      </c>
      <c r="G669" s="2">
        <v>45882</v>
      </c>
      <c r="H669" s="2">
        <v>45889</v>
      </c>
      <c r="I669" s="1" t="s">
        <v>39</v>
      </c>
      <c r="J669">
        <v>4</v>
      </c>
      <c r="K669">
        <v>7</v>
      </c>
      <c r="L669">
        <v>7</v>
      </c>
      <c r="M669" s="1" t="s">
        <v>24</v>
      </c>
      <c r="N669" s="2">
        <v>45870</v>
      </c>
      <c r="O669">
        <v>2025</v>
      </c>
      <c r="P669">
        <v>3</v>
      </c>
      <c r="Q669" s="1" t="s">
        <v>24</v>
      </c>
    </row>
    <row r="670" spans="1:17" x14ac:dyDescent="0.3">
      <c r="A670" s="1" t="s">
        <v>735</v>
      </c>
      <c r="B670" s="1" t="s">
        <v>63</v>
      </c>
      <c r="C670" s="1" t="s">
        <v>89</v>
      </c>
      <c r="D670" s="1" t="s">
        <v>51</v>
      </c>
      <c r="E670" s="1" t="s">
        <v>21</v>
      </c>
      <c r="F670" s="1" t="s">
        <v>22</v>
      </c>
      <c r="G670" s="2">
        <v>45852</v>
      </c>
      <c r="H670" s="2">
        <v>45859</v>
      </c>
      <c r="I670" s="1" t="s">
        <v>82</v>
      </c>
      <c r="J670">
        <v>4</v>
      </c>
      <c r="K670">
        <v>7</v>
      </c>
      <c r="L670">
        <v>10</v>
      </c>
      <c r="M670" s="1" t="s">
        <v>24</v>
      </c>
      <c r="N670" s="2">
        <v>45839</v>
      </c>
      <c r="O670">
        <v>2025</v>
      </c>
      <c r="P670">
        <v>3</v>
      </c>
      <c r="Q670" s="1" t="s">
        <v>24</v>
      </c>
    </row>
    <row r="671" spans="1:17" x14ac:dyDescent="0.3">
      <c r="A671" s="1" t="s">
        <v>736</v>
      </c>
      <c r="B671" s="1" t="s">
        <v>26</v>
      </c>
      <c r="C671" s="1" t="s">
        <v>67</v>
      </c>
      <c r="D671" s="1" t="s">
        <v>51</v>
      </c>
      <c r="E671" s="1" t="s">
        <v>21</v>
      </c>
      <c r="F671" s="1" t="s">
        <v>31</v>
      </c>
      <c r="G671" s="2">
        <v>45679</v>
      </c>
      <c r="H671" s="2">
        <v>45684</v>
      </c>
      <c r="I671" s="1" t="s">
        <v>23</v>
      </c>
      <c r="J671">
        <v>4</v>
      </c>
      <c r="K671">
        <v>5</v>
      </c>
      <c r="L671">
        <v>10</v>
      </c>
      <c r="M671" s="1" t="s">
        <v>24</v>
      </c>
      <c r="N671" s="2">
        <v>45658</v>
      </c>
      <c r="O671">
        <v>2025</v>
      </c>
      <c r="P671">
        <v>1</v>
      </c>
      <c r="Q671" s="1" t="s">
        <v>24</v>
      </c>
    </row>
    <row r="672" spans="1:17" x14ac:dyDescent="0.3">
      <c r="A672" s="1" t="s">
        <v>737</v>
      </c>
      <c r="B672" s="1" t="s">
        <v>26</v>
      </c>
      <c r="C672" s="1" t="s">
        <v>27</v>
      </c>
      <c r="D672" s="1" t="s">
        <v>51</v>
      </c>
      <c r="E672" s="1" t="s">
        <v>21</v>
      </c>
      <c r="F672" s="1" t="s">
        <v>31</v>
      </c>
      <c r="G672" s="2">
        <v>45683</v>
      </c>
      <c r="H672" s="2">
        <v>45688</v>
      </c>
      <c r="I672" s="1" t="s">
        <v>32</v>
      </c>
      <c r="J672">
        <v>4</v>
      </c>
      <c r="K672">
        <v>5</v>
      </c>
      <c r="L672">
        <v>10</v>
      </c>
      <c r="M672" s="1" t="s">
        <v>24</v>
      </c>
      <c r="N672" s="2">
        <v>45658</v>
      </c>
      <c r="O672">
        <v>2025</v>
      </c>
      <c r="P672">
        <v>1</v>
      </c>
      <c r="Q672" s="1" t="s">
        <v>24</v>
      </c>
    </row>
    <row r="673" spans="1:17" x14ac:dyDescent="0.3">
      <c r="A673" s="1" t="s">
        <v>738</v>
      </c>
      <c r="B673" s="1" t="s">
        <v>35</v>
      </c>
      <c r="C673" s="1" t="s">
        <v>50</v>
      </c>
      <c r="D673" s="1" t="s">
        <v>20</v>
      </c>
      <c r="E673" s="1" t="s">
        <v>21</v>
      </c>
      <c r="F673" s="1" t="s">
        <v>61</v>
      </c>
      <c r="G673" s="2">
        <v>45685</v>
      </c>
      <c r="H673" s="2">
        <v>45699</v>
      </c>
      <c r="I673" s="1" t="s">
        <v>39</v>
      </c>
      <c r="J673">
        <v>4</v>
      </c>
      <c r="K673">
        <v>14</v>
      </c>
      <c r="L673">
        <v>14</v>
      </c>
      <c r="M673" s="1" t="s">
        <v>24</v>
      </c>
      <c r="N673" s="2">
        <v>45658</v>
      </c>
      <c r="O673">
        <v>2025</v>
      </c>
      <c r="P673">
        <v>1</v>
      </c>
      <c r="Q673" s="1" t="s">
        <v>24</v>
      </c>
    </row>
    <row r="674" spans="1:17" x14ac:dyDescent="0.3">
      <c r="A674" s="1" t="s">
        <v>739</v>
      </c>
      <c r="B674" s="1" t="s">
        <v>18</v>
      </c>
      <c r="C674" s="1" t="s">
        <v>30</v>
      </c>
      <c r="D674" s="1" t="s">
        <v>20</v>
      </c>
      <c r="E674" s="1" t="s">
        <v>21</v>
      </c>
      <c r="F674" s="1" t="s">
        <v>22</v>
      </c>
      <c r="G674" s="2">
        <v>45750</v>
      </c>
      <c r="H674" s="2">
        <v>45765</v>
      </c>
      <c r="I674" s="1" t="s">
        <v>28</v>
      </c>
      <c r="J674">
        <v>4</v>
      </c>
      <c r="K674">
        <v>15</v>
      </c>
      <c r="L674">
        <v>14</v>
      </c>
      <c r="M674" s="1" t="s">
        <v>33</v>
      </c>
      <c r="N674" s="2">
        <v>45748</v>
      </c>
      <c r="O674">
        <v>2025</v>
      </c>
      <c r="P674">
        <v>2</v>
      </c>
      <c r="Q674" s="1" t="s">
        <v>24</v>
      </c>
    </row>
    <row r="675" spans="1:17" x14ac:dyDescent="0.3">
      <c r="A675" s="1" t="s">
        <v>740</v>
      </c>
      <c r="B675" s="1" t="s">
        <v>58</v>
      </c>
      <c r="C675" s="1" t="s">
        <v>145</v>
      </c>
      <c r="D675" s="1" t="s">
        <v>51</v>
      </c>
      <c r="E675" s="1" t="s">
        <v>21</v>
      </c>
      <c r="F675" s="1" t="s">
        <v>38</v>
      </c>
      <c r="G675" s="2">
        <v>45890</v>
      </c>
      <c r="H675" s="2">
        <v>45895</v>
      </c>
      <c r="I675" s="1" t="s">
        <v>32</v>
      </c>
      <c r="J675">
        <v>5</v>
      </c>
      <c r="K675">
        <v>5</v>
      </c>
      <c r="L675">
        <v>10</v>
      </c>
      <c r="M675" s="1" t="s">
        <v>24</v>
      </c>
      <c r="N675" s="2">
        <v>45870</v>
      </c>
      <c r="O675">
        <v>2025</v>
      </c>
      <c r="P675">
        <v>3</v>
      </c>
      <c r="Q675" s="1" t="s">
        <v>24</v>
      </c>
    </row>
    <row r="676" spans="1:17" x14ac:dyDescent="0.3">
      <c r="A676" s="1" t="s">
        <v>741</v>
      </c>
      <c r="B676" s="1" t="s">
        <v>35</v>
      </c>
      <c r="C676" s="1" t="s">
        <v>36</v>
      </c>
      <c r="D676" s="1" t="s">
        <v>44</v>
      </c>
      <c r="E676" s="1" t="s">
        <v>21</v>
      </c>
      <c r="F676" s="1" t="s">
        <v>52</v>
      </c>
      <c r="G676" s="2">
        <v>45716</v>
      </c>
      <c r="H676" s="2">
        <v>45722</v>
      </c>
      <c r="I676" s="1" t="s">
        <v>23</v>
      </c>
      <c r="J676">
        <v>4</v>
      </c>
      <c r="K676">
        <v>6</v>
      </c>
      <c r="L676">
        <v>7</v>
      </c>
      <c r="M676" s="1" t="s">
        <v>24</v>
      </c>
      <c r="N676" s="2">
        <v>45689</v>
      </c>
      <c r="O676">
        <v>2025</v>
      </c>
      <c r="P676">
        <v>1</v>
      </c>
      <c r="Q676" s="1" t="s">
        <v>24</v>
      </c>
    </row>
    <row r="677" spans="1:17" x14ac:dyDescent="0.3">
      <c r="A677" s="1" t="s">
        <v>742</v>
      </c>
      <c r="B677" s="1" t="s">
        <v>26</v>
      </c>
      <c r="C677" s="1" t="s">
        <v>27</v>
      </c>
      <c r="D677" s="1" t="s">
        <v>44</v>
      </c>
      <c r="E677" s="1" t="s">
        <v>48</v>
      </c>
      <c r="F677" s="1" t="s">
        <v>61</v>
      </c>
      <c r="G677" s="2">
        <v>45971</v>
      </c>
      <c r="H677" s="2"/>
      <c r="I677" s="1" t="s">
        <v>39</v>
      </c>
      <c r="L677">
        <v>7</v>
      </c>
      <c r="M677" s="1" t="s">
        <v>40</v>
      </c>
      <c r="N677" s="2">
        <v>45962</v>
      </c>
      <c r="O677">
        <v>2025</v>
      </c>
      <c r="P677">
        <v>4</v>
      </c>
      <c r="Q677" s="1" t="s">
        <v>33</v>
      </c>
    </row>
    <row r="678" spans="1:17" x14ac:dyDescent="0.3">
      <c r="A678" s="1" t="s">
        <v>743</v>
      </c>
      <c r="B678" s="1" t="s">
        <v>26</v>
      </c>
      <c r="C678" s="1" t="s">
        <v>27</v>
      </c>
      <c r="D678" s="1" t="s">
        <v>20</v>
      </c>
      <c r="E678" s="1" t="s">
        <v>21</v>
      </c>
      <c r="F678" s="1" t="s">
        <v>61</v>
      </c>
      <c r="G678" s="2">
        <v>45829</v>
      </c>
      <c r="H678" s="2">
        <v>45841</v>
      </c>
      <c r="I678" s="1" t="s">
        <v>28</v>
      </c>
      <c r="J678">
        <v>5</v>
      </c>
      <c r="K678">
        <v>12</v>
      </c>
      <c r="L678">
        <v>14</v>
      </c>
      <c r="M678" s="1" t="s">
        <v>24</v>
      </c>
      <c r="N678" s="2">
        <v>45809</v>
      </c>
      <c r="O678">
        <v>2025</v>
      </c>
      <c r="P678">
        <v>2</v>
      </c>
      <c r="Q678" s="1" t="s">
        <v>24</v>
      </c>
    </row>
    <row r="679" spans="1:17" x14ac:dyDescent="0.3">
      <c r="A679" s="1" t="s">
        <v>744</v>
      </c>
      <c r="B679" s="1" t="s">
        <v>63</v>
      </c>
      <c r="C679" s="1" t="s">
        <v>64</v>
      </c>
      <c r="D679" s="1" t="s">
        <v>44</v>
      </c>
      <c r="E679" s="1" t="s">
        <v>21</v>
      </c>
      <c r="F679" s="1" t="s">
        <v>31</v>
      </c>
      <c r="G679" s="2">
        <v>45815</v>
      </c>
      <c r="H679" s="2">
        <v>45818</v>
      </c>
      <c r="I679" s="1" t="s">
        <v>32</v>
      </c>
      <c r="J679">
        <v>5</v>
      </c>
      <c r="K679">
        <v>3</v>
      </c>
      <c r="L679">
        <v>7</v>
      </c>
      <c r="M679" s="1" t="s">
        <v>24</v>
      </c>
      <c r="N679" s="2">
        <v>45809</v>
      </c>
      <c r="O679">
        <v>2025</v>
      </c>
      <c r="P679">
        <v>2</v>
      </c>
      <c r="Q679" s="1" t="s">
        <v>24</v>
      </c>
    </row>
    <row r="680" spans="1:17" x14ac:dyDescent="0.3">
      <c r="A680" s="1" t="s">
        <v>745</v>
      </c>
      <c r="B680" s="1" t="s">
        <v>18</v>
      </c>
      <c r="C680" s="1" t="s">
        <v>47</v>
      </c>
      <c r="D680" s="1" t="s">
        <v>20</v>
      </c>
      <c r="E680" s="1" t="s">
        <v>21</v>
      </c>
      <c r="F680" s="1" t="s">
        <v>52</v>
      </c>
      <c r="G680" s="2">
        <v>45761</v>
      </c>
      <c r="H680" s="2">
        <v>45764</v>
      </c>
      <c r="I680" s="1" t="s">
        <v>23</v>
      </c>
      <c r="J680">
        <v>4</v>
      </c>
      <c r="K680">
        <v>3</v>
      </c>
      <c r="L680">
        <v>14</v>
      </c>
      <c r="M680" s="1" t="s">
        <v>24</v>
      </c>
      <c r="N680" s="2">
        <v>45748</v>
      </c>
      <c r="O680">
        <v>2025</v>
      </c>
      <c r="P680">
        <v>2</v>
      </c>
      <c r="Q680" s="1" t="s">
        <v>24</v>
      </c>
    </row>
    <row r="681" spans="1:17" x14ac:dyDescent="0.3">
      <c r="A681" s="1" t="s">
        <v>746</v>
      </c>
      <c r="B681" s="1" t="s">
        <v>58</v>
      </c>
      <c r="C681" s="1" t="s">
        <v>145</v>
      </c>
      <c r="D681" s="1" t="s">
        <v>44</v>
      </c>
      <c r="E681" s="1" t="s">
        <v>21</v>
      </c>
      <c r="F681" s="1" t="s">
        <v>61</v>
      </c>
      <c r="G681" s="2">
        <v>45660</v>
      </c>
      <c r="H681" s="2">
        <v>45665</v>
      </c>
      <c r="I681" s="1" t="s">
        <v>28</v>
      </c>
      <c r="J681">
        <v>5</v>
      </c>
      <c r="K681">
        <v>5</v>
      </c>
      <c r="L681">
        <v>7</v>
      </c>
      <c r="M681" s="1" t="s">
        <v>24</v>
      </c>
      <c r="N681" s="2">
        <v>45658</v>
      </c>
      <c r="O681">
        <v>2025</v>
      </c>
      <c r="P681">
        <v>1</v>
      </c>
      <c r="Q681" s="1" t="s">
        <v>24</v>
      </c>
    </row>
    <row r="682" spans="1:17" x14ac:dyDescent="0.3">
      <c r="A682" s="1" t="s">
        <v>747</v>
      </c>
      <c r="B682" s="1" t="s">
        <v>26</v>
      </c>
      <c r="C682" s="1" t="s">
        <v>27</v>
      </c>
      <c r="D682" s="1" t="s">
        <v>51</v>
      </c>
      <c r="E682" s="1" t="s">
        <v>21</v>
      </c>
      <c r="F682" s="1" t="s">
        <v>22</v>
      </c>
      <c r="G682" s="2">
        <v>45965</v>
      </c>
      <c r="H682" s="2">
        <v>45967</v>
      </c>
      <c r="I682" s="1" t="s">
        <v>32</v>
      </c>
      <c r="J682">
        <v>3</v>
      </c>
      <c r="K682">
        <v>2</v>
      </c>
      <c r="L682">
        <v>10</v>
      </c>
      <c r="M682" s="1" t="s">
        <v>24</v>
      </c>
      <c r="N682" s="2">
        <v>45962</v>
      </c>
      <c r="O682">
        <v>2025</v>
      </c>
      <c r="P682">
        <v>4</v>
      </c>
      <c r="Q682" s="1" t="s">
        <v>24</v>
      </c>
    </row>
    <row r="683" spans="1:17" x14ac:dyDescent="0.3">
      <c r="A683" s="1" t="s">
        <v>748</v>
      </c>
      <c r="B683" s="1" t="s">
        <v>26</v>
      </c>
      <c r="C683" s="1" t="s">
        <v>54</v>
      </c>
      <c r="D683" s="1" t="s">
        <v>20</v>
      </c>
      <c r="E683" s="1" t="s">
        <v>21</v>
      </c>
      <c r="F683" s="1" t="s">
        <v>38</v>
      </c>
      <c r="G683" s="2">
        <v>45992</v>
      </c>
      <c r="H683" s="2">
        <v>46000</v>
      </c>
      <c r="I683" s="1" t="s">
        <v>82</v>
      </c>
      <c r="J683">
        <v>1</v>
      </c>
      <c r="K683">
        <v>8</v>
      </c>
      <c r="L683">
        <v>14</v>
      </c>
      <c r="M683" s="1" t="s">
        <v>24</v>
      </c>
      <c r="N683" s="2">
        <v>45992</v>
      </c>
      <c r="O683">
        <v>2025</v>
      </c>
      <c r="P683">
        <v>4</v>
      </c>
      <c r="Q683" s="1" t="s">
        <v>24</v>
      </c>
    </row>
    <row r="684" spans="1:17" x14ac:dyDescent="0.3">
      <c r="A684" s="1" t="s">
        <v>749</v>
      </c>
      <c r="B684" s="1" t="s">
        <v>26</v>
      </c>
      <c r="C684" s="1" t="s">
        <v>123</v>
      </c>
      <c r="D684" s="1" t="s">
        <v>51</v>
      </c>
      <c r="E684" s="1" t="s">
        <v>21</v>
      </c>
      <c r="F684" s="1" t="s">
        <v>61</v>
      </c>
      <c r="G684" s="2">
        <v>45713</v>
      </c>
      <c r="H684" s="2">
        <v>45721</v>
      </c>
      <c r="I684" s="1" t="s">
        <v>32</v>
      </c>
      <c r="J684">
        <v>5</v>
      </c>
      <c r="K684">
        <v>8</v>
      </c>
      <c r="L684">
        <v>10</v>
      </c>
      <c r="M684" s="1" t="s">
        <v>24</v>
      </c>
      <c r="N684" s="2">
        <v>45689</v>
      </c>
      <c r="O684">
        <v>2025</v>
      </c>
      <c r="P684">
        <v>1</v>
      </c>
      <c r="Q684" s="1" t="s">
        <v>24</v>
      </c>
    </row>
    <row r="685" spans="1:17" x14ac:dyDescent="0.3">
      <c r="A685" s="1" t="s">
        <v>750</v>
      </c>
      <c r="B685" s="1" t="s">
        <v>26</v>
      </c>
      <c r="C685" s="1" t="s">
        <v>54</v>
      </c>
      <c r="D685" s="1" t="s">
        <v>71</v>
      </c>
      <c r="E685" s="1" t="s">
        <v>37</v>
      </c>
      <c r="F685" s="1" t="s">
        <v>38</v>
      </c>
      <c r="G685" s="2">
        <v>45842</v>
      </c>
      <c r="H685" s="2"/>
      <c r="I685" s="1" t="s">
        <v>23</v>
      </c>
      <c r="L685">
        <v>3</v>
      </c>
      <c r="M685" s="1" t="s">
        <v>40</v>
      </c>
      <c r="N685" s="2">
        <v>45839</v>
      </c>
      <c r="O685">
        <v>2025</v>
      </c>
      <c r="P685">
        <v>3</v>
      </c>
      <c r="Q685" s="1" t="s">
        <v>33</v>
      </c>
    </row>
    <row r="686" spans="1:17" x14ac:dyDescent="0.3">
      <c r="A686" s="1" t="s">
        <v>751</v>
      </c>
      <c r="B686" s="1" t="s">
        <v>35</v>
      </c>
      <c r="C686" s="1" t="s">
        <v>97</v>
      </c>
      <c r="D686" s="1" t="s">
        <v>51</v>
      </c>
      <c r="E686" s="1" t="s">
        <v>21</v>
      </c>
      <c r="F686" s="1" t="s">
        <v>38</v>
      </c>
      <c r="G686" s="2">
        <v>45692</v>
      </c>
      <c r="H686" s="2">
        <v>45700</v>
      </c>
      <c r="I686" s="1" t="s">
        <v>32</v>
      </c>
      <c r="J686">
        <v>5</v>
      </c>
      <c r="K686">
        <v>8</v>
      </c>
      <c r="L686">
        <v>10</v>
      </c>
      <c r="M686" s="1" t="s">
        <v>24</v>
      </c>
      <c r="N686" s="2">
        <v>45689</v>
      </c>
      <c r="O686">
        <v>2025</v>
      </c>
      <c r="P686">
        <v>1</v>
      </c>
      <c r="Q686" s="1" t="s">
        <v>24</v>
      </c>
    </row>
    <row r="687" spans="1:17" x14ac:dyDescent="0.3">
      <c r="A687" s="1" t="s">
        <v>752</v>
      </c>
      <c r="B687" s="1" t="s">
        <v>58</v>
      </c>
      <c r="C687" s="1" t="s">
        <v>108</v>
      </c>
      <c r="D687" s="1" t="s">
        <v>20</v>
      </c>
      <c r="E687" s="1" t="s">
        <v>37</v>
      </c>
      <c r="F687" s="1" t="s">
        <v>22</v>
      </c>
      <c r="G687" s="2">
        <v>45826</v>
      </c>
      <c r="H687" s="2"/>
      <c r="I687" s="1" t="s">
        <v>39</v>
      </c>
      <c r="L687">
        <v>14</v>
      </c>
      <c r="M687" s="1" t="s">
        <v>40</v>
      </c>
      <c r="N687" s="2">
        <v>45809</v>
      </c>
      <c r="O687">
        <v>2025</v>
      </c>
      <c r="P687">
        <v>2</v>
      </c>
      <c r="Q687" s="1" t="s">
        <v>33</v>
      </c>
    </row>
    <row r="688" spans="1:17" x14ac:dyDescent="0.3">
      <c r="A688" s="1" t="s">
        <v>753</v>
      </c>
      <c r="B688" s="1" t="s">
        <v>26</v>
      </c>
      <c r="C688" s="1" t="s">
        <v>54</v>
      </c>
      <c r="D688" s="1" t="s">
        <v>51</v>
      </c>
      <c r="E688" s="1" t="s">
        <v>21</v>
      </c>
      <c r="F688" s="1" t="s">
        <v>31</v>
      </c>
      <c r="G688" s="2">
        <v>45713</v>
      </c>
      <c r="H688" s="2">
        <v>45723</v>
      </c>
      <c r="I688" s="1" t="s">
        <v>82</v>
      </c>
      <c r="J688">
        <v>5</v>
      </c>
      <c r="K688">
        <v>10</v>
      </c>
      <c r="L688">
        <v>10</v>
      </c>
      <c r="M688" s="1" t="s">
        <v>24</v>
      </c>
      <c r="N688" s="2">
        <v>45689</v>
      </c>
      <c r="O688">
        <v>2025</v>
      </c>
      <c r="P688">
        <v>1</v>
      </c>
      <c r="Q688" s="1" t="s">
        <v>24</v>
      </c>
    </row>
    <row r="689" spans="1:17" x14ac:dyDescent="0.3">
      <c r="A689" s="1" t="s">
        <v>754</v>
      </c>
      <c r="B689" s="1" t="s">
        <v>18</v>
      </c>
      <c r="C689" s="1" t="s">
        <v>56</v>
      </c>
      <c r="D689" s="1" t="s">
        <v>51</v>
      </c>
      <c r="E689" s="1" t="s">
        <v>37</v>
      </c>
      <c r="F689" s="1" t="s">
        <v>22</v>
      </c>
      <c r="G689" s="2">
        <v>45790</v>
      </c>
      <c r="H689" s="2"/>
      <c r="I689" s="1" t="s">
        <v>82</v>
      </c>
      <c r="L689">
        <v>10</v>
      </c>
      <c r="M689" s="1" t="s">
        <v>40</v>
      </c>
      <c r="N689" s="2">
        <v>45778</v>
      </c>
      <c r="O689">
        <v>2025</v>
      </c>
      <c r="P689">
        <v>2</v>
      </c>
      <c r="Q689" s="1" t="s">
        <v>33</v>
      </c>
    </row>
    <row r="690" spans="1:17" x14ac:dyDescent="0.3">
      <c r="A690" s="1" t="s">
        <v>755</v>
      </c>
      <c r="B690" s="1" t="s">
        <v>26</v>
      </c>
      <c r="C690" s="1" t="s">
        <v>123</v>
      </c>
      <c r="D690" s="1" t="s">
        <v>44</v>
      </c>
      <c r="E690" s="1" t="s">
        <v>21</v>
      </c>
      <c r="F690" s="1" t="s">
        <v>31</v>
      </c>
      <c r="G690" s="2">
        <v>45912</v>
      </c>
      <c r="H690" s="2">
        <v>45917</v>
      </c>
      <c r="I690" s="1" t="s">
        <v>39</v>
      </c>
      <c r="J690">
        <v>5</v>
      </c>
      <c r="K690">
        <v>5</v>
      </c>
      <c r="L690">
        <v>7</v>
      </c>
      <c r="M690" s="1" t="s">
        <v>24</v>
      </c>
      <c r="N690" s="2">
        <v>45901</v>
      </c>
      <c r="O690">
        <v>2025</v>
      </c>
      <c r="P690">
        <v>3</v>
      </c>
      <c r="Q690" s="1" t="s">
        <v>24</v>
      </c>
    </row>
    <row r="691" spans="1:17" x14ac:dyDescent="0.3">
      <c r="A691" s="1" t="s">
        <v>756</v>
      </c>
      <c r="B691" s="1" t="s">
        <v>63</v>
      </c>
      <c r="C691" s="1" t="s">
        <v>64</v>
      </c>
      <c r="D691" s="1" t="s">
        <v>44</v>
      </c>
      <c r="E691" s="1" t="s">
        <v>48</v>
      </c>
      <c r="F691" s="1" t="s">
        <v>38</v>
      </c>
      <c r="G691" s="2">
        <v>45658</v>
      </c>
      <c r="H691" s="2"/>
      <c r="I691" s="1" t="s">
        <v>23</v>
      </c>
      <c r="L691">
        <v>7</v>
      </c>
      <c r="M691" s="1" t="s">
        <v>40</v>
      </c>
      <c r="N691" s="2">
        <v>45658</v>
      </c>
      <c r="O691">
        <v>2025</v>
      </c>
      <c r="P691">
        <v>1</v>
      </c>
      <c r="Q691" s="1" t="s">
        <v>33</v>
      </c>
    </row>
    <row r="692" spans="1:17" x14ac:dyDescent="0.3">
      <c r="A692" s="1" t="s">
        <v>757</v>
      </c>
      <c r="B692" s="1" t="s">
        <v>58</v>
      </c>
      <c r="C692" s="1" t="s">
        <v>70</v>
      </c>
      <c r="D692" s="1" t="s">
        <v>44</v>
      </c>
      <c r="E692" s="1" t="s">
        <v>21</v>
      </c>
      <c r="F692" s="1" t="s">
        <v>52</v>
      </c>
      <c r="G692" s="2">
        <v>45973</v>
      </c>
      <c r="H692" s="2">
        <v>45977</v>
      </c>
      <c r="I692" s="1" t="s">
        <v>32</v>
      </c>
      <c r="J692">
        <v>4</v>
      </c>
      <c r="K692">
        <v>4</v>
      </c>
      <c r="L692">
        <v>7</v>
      </c>
      <c r="M692" s="1" t="s">
        <v>24</v>
      </c>
      <c r="N692" s="2">
        <v>45962</v>
      </c>
      <c r="O692">
        <v>2025</v>
      </c>
      <c r="P692">
        <v>4</v>
      </c>
      <c r="Q692" s="1" t="s">
        <v>24</v>
      </c>
    </row>
    <row r="693" spans="1:17" x14ac:dyDescent="0.3">
      <c r="A693" s="1" t="s">
        <v>758</v>
      </c>
      <c r="B693" s="1" t="s">
        <v>26</v>
      </c>
      <c r="C693" s="1" t="s">
        <v>54</v>
      </c>
      <c r="D693" s="1" t="s">
        <v>20</v>
      </c>
      <c r="E693" s="1" t="s">
        <v>21</v>
      </c>
      <c r="F693" s="1" t="s">
        <v>52</v>
      </c>
      <c r="G693" s="2">
        <v>45802</v>
      </c>
      <c r="H693" s="2">
        <v>45809</v>
      </c>
      <c r="I693" s="1" t="s">
        <v>32</v>
      </c>
      <c r="J693">
        <v>5</v>
      </c>
      <c r="K693">
        <v>7</v>
      </c>
      <c r="L693">
        <v>14</v>
      </c>
      <c r="M693" s="1" t="s">
        <v>24</v>
      </c>
      <c r="N693" s="2">
        <v>45778</v>
      </c>
      <c r="O693">
        <v>2025</v>
      </c>
      <c r="P693">
        <v>2</v>
      </c>
      <c r="Q693" s="1" t="s">
        <v>24</v>
      </c>
    </row>
    <row r="694" spans="1:17" x14ac:dyDescent="0.3">
      <c r="A694" s="1" t="s">
        <v>759</v>
      </c>
      <c r="B694" s="1" t="s">
        <v>26</v>
      </c>
      <c r="C694" s="1" t="s">
        <v>123</v>
      </c>
      <c r="D694" s="1" t="s">
        <v>44</v>
      </c>
      <c r="E694" s="1" t="s">
        <v>21</v>
      </c>
      <c r="F694" s="1" t="s">
        <v>22</v>
      </c>
      <c r="G694" s="2">
        <v>45828</v>
      </c>
      <c r="H694" s="2">
        <v>45831</v>
      </c>
      <c r="I694" s="1" t="s">
        <v>82</v>
      </c>
      <c r="J694">
        <v>4</v>
      </c>
      <c r="K694">
        <v>3</v>
      </c>
      <c r="L694">
        <v>7</v>
      </c>
      <c r="M694" s="1" t="s">
        <v>24</v>
      </c>
      <c r="N694" s="2">
        <v>45809</v>
      </c>
      <c r="O694">
        <v>2025</v>
      </c>
      <c r="P694">
        <v>2</v>
      </c>
      <c r="Q694" s="1" t="s">
        <v>24</v>
      </c>
    </row>
    <row r="695" spans="1:17" x14ac:dyDescent="0.3">
      <c r="A695" s="1" t="s">
        <v>760</v>
      </c>
      <c r="B695" s="1" t="s">
        <v>42</v>
      </c>
      <c r="C695" s="1" t="s">
        <v>76</v>
      </c>
      <c r="D695" s="1" t="s">
        <v>20</v>
      </c>
      <c r="E695" s="1" t="s">
        <v>37</v>
      </c>
      <c r="F695" s="1" t="s">
        <v>31</v>
      </c>
      <c r="G695" s="2">
        <v>46002</v>
      </c>
      <c r="H695" s="2"/>
      <c r="I695" s="1" t="s">
        <v>39</v>
      </c>
      <c r="L695">
        <v>14</v>
      </c>
      <c r="M695" s="1" t="s">
        <v>40</v>
      </c>
      <c r="N695" s="2">
        <v>45992</v>
      </c>
      <c r="O695">
        <v>2025</v>
      </c>
      <c r="P695">
        <v>4</v>
      </c>
      <c r="Q695" s="1" t="s">
        <v>33</v>
      </c>
    </row>
    <row r="696" spans="1:17" x14ac:dyDescent="0.3">
      <c r="A696" s="1" t="s">
        <v>761</v>
      </c>
      <c r="B696" s="1" t="s">
        <v>42</v>
      </c>
      <c r="C696" s="1" t="s">
        <v>76</v>
      </c>
      <c r="D696" s="1" t="s">
        <v>51</v>
      </c>
      <c r="E696" s="1" t="s">
        <v>21</v>
      </c>
      <c r="F696" s="1" t="s">
        <v>31</v>
      </c>
      <c r="G696" s="2">
        <v>45932</v>
      </c>
      <c r="H696" s="2">
        <v>45939</v>
      </c>
      <c r="I696" s="1" t="s">
        <v>23</v>
      </c>
      <c r="J696">
        <v>4</v>
      </c>
      <c r="K696">
        <v>7</v>
      </c>
      <c r="L696">
        <v>10</v>
      </c>
      <c r="M696" s="1" t="s">
        <v>24</v>
      </c>
      <c r="N696" s="2">
        <v>45931</v>
      </c>
      <c r="O696">
        <v>2025</v>
      </c>
      <c r="P696">
        <v>4</v>
      </c>
      <c r="Q696" s="1" t="s">
        <v>24</v>
      </c>
    </row>
    <row r="697" spans="1:17" x14ac:dyDescent="0.3">
      <c r="A697" s="1" t="s">
        <v>762</v>
      </c>
      <c r="B697" s="1" t="s">
        <v>26</v>
      </c>
      <c r="C697" s="1" t="s">
        <v>123</v>
      </c>
      <c r="D697" s="1" t="s">
        <v>51</v>
      </c>
      <c r="E697" s="1" t="s">
        <v>21</v>
      </c>
      <c r="F697" s="1" t="s">
        <v>22</v>
      </c>
      <c r="G697" s="2">
        <v>45942</v>
      </c>
      <c r="H697" s="2">
        <v>45952</v>
      </c>
      <c r="I697" s="1" t="s">
        <v>32</v>
      </c>
      <c r="J697">
        <v>1</v>
      </c>
      <c r="K697">
        <v>10</v>
      </c>
      <c r="L697">
        <v>10</v>
      </c>
      <c r="M697" s="1" t="s">
        <v>24</v>
      </c>
      <c r="N697" s="2">
        <v>45931</v>
      </c>
      <c r="O697">
        <v>2025</v>
      </c>
      <c r="P697">
        <v>4</v>
      </c>
      <c r="Q697" s="1" t="s">
        <v>24</v>
      </c>
    </row>
    <row r="698" spans="1:17" x14ac:dyDescent="0.3">
      <c r="A698" s="1" t="s">
        <v>763</v>
      </c>
      <c r="B698" s="1" t="s">
        <v>35</v>
      </c>
      <c r="C698" s="1" t="s">
        <v>99</v>
      </c>
      <c r="D698" s="1" t="s">
        <v>71</v>
      </c>
      <c r="E698" s="1" t="s">
        <v>21</v>
      </c>
      <c r="F698" s="1" t="s">
        <v>22</v>
      </c>
      <c r="G698" s="2">
        <v>45673</v>
      </c>
      <c r="H698" s="2">
        <v>45675</v>
      </c>
      <c r="I698" s="1" t="s">
        <v>28</v>
      </c>
      <c r="J698">
        <v>5</v>
      </c>
      <c r="K698">
        <v>2</v>
      </c>
      <c r="L698">
        <v>3</v>
      </c>
      <c r="M698" s="1" t="s">
        <v>24</v>
      </c>
      <c r="N698" s="2">
        <v>45658</v>
      </c>
      <c r="O698">
        <v>2025</v>
      </c>
      <c r="P698">
        <v>1</v>
      </c>
      <c r="Q698" s="1" t="s">
        <v>24</v>
      </c>
    </row>
    <row r="699" spans="1:17" x14ac:dyDescent="0.3">
      <c r="A699" s="1" t="s">
        <v>764</v>
      </c>
      <c r="B699" s="1" t="s">
        <v>26</v>
      </c>
      <c r="C699" s="1" t="s">
        <v>27</v>
      </c>
      <c r="D699" s="1" t="s">
        <v>20</v>
      </c>
      <c r="E699" s="1" t="s">
        <v>21</v>
      </c>
      <c r="F699" s="1" t="s">
        <v>38</v>
      </c>
      <c r="G699" s="2">
        <v>45815</v>
      </c>
      <c r="H699" s="2">
        <v>45829</v>
      </c>
      <c r="I699" s="1" t="s">
        <v>32</v>
      </c>
      <c r="J699">
        <v>5</v>
      </c>
      <c r="K699">
        <v>14</v>
      </c>
      <c r="L699">
        <v>14</v>
      </c>
      <c r="M699" s="1" t="s">
        <v>24</v>
      </c>
      <c r="N699" s="2">
        <v>45809</v>
      </c>
      <c r="O699">
        <v>2025</v>
      </c>
      <c r="P699">
        <v>2</v>
      </c>
      <c r="Q699" s="1" t="s">
        <v>24</v>
      </c>
    </row>
    <row r="700" spans="1:17" x14ac:dyDescent="0.3">
      <c r="A700" s="1" t="s">
        <v>765</v>
      </c>
      <c r="B700" s="1" t="s">
        <v>58</v>
      </c>
      <c r="C700" s="1" t="s">
        <v>70</v>
      </c>
      <c r="D700" s="1" t="s">
        <v>51</v>
      </c>
      <c r="E700" s="1" t="s">
        <v>21</v>
      </c>
      <c r="F700" s="1" t="s">
        <v>52</v>
      </c>
      <c r="G700" s="2">
        <v>45889</v>
      </c>
      <c r="H700" s="2">
        <v>45895</v>
      </c>
      <c r="I700" s="1" t="s">
        <v>28</v>
      </c>
      <c r="J700">
        <v>3</v>
      </c>
      <c r="K700">
        <v>6</v>
      </c>
      <c r="L700">
        <v>10</v>
      </c>
      <c r="M700" s="1" t="s">
        <v>24</v>
      </c>
      <c r="N700" s="2">
        <v>45870</v>
      </c>
      <c r="O700">
        <v>2025</v>
      </c>
      <c r="P700">
        <v>3</v>
      </c>
      <c r="Q700" s="1" t="s">
        <v>24</v>
      </c>
    </row>
    <row r="701" spans="1:17" x14ac:dyDescent="0.3">
      <c r="A701" s="1" t="s">
        <v>766</v>
      </c>
      <c r="B701" s="1" t="s">
        <v>42</v>
      </c>
      <c r="C701" s="1" t="s">
        <v>43</v>
      </c>
      <c r="D701" s="1" t="s">
        <v>44</v>
      </c>
      <c r="E701" s="1" t="s">
        <v>37</v>
      </c>
      <c r="F701" s="1" t="s">
        <v>31</v>
      </c>
      <c r="G701" s="2">
        <v>45705</v>
      </c>
      <c r="H701" s="2"/>
      <c r="I701" s="1" t="s">
        <v>82</v>
      </c>
      <c r="L701">
        <v>7</v>
      </c>
      <c r="M701" s="1" t="s">
        <v>40</v>
      </c>
      <c r="N701" s="2">
        <v>45689</v>
      </c>
      <c r="O701">
        <v>2025</v>
      </c>
      <c r="P701">
        <v>1</v>
      </c>
      <c r="Q701" s="1" t="s">
        <v>33</v>
      </c>
    </row>
    <row r="702" spans="1:17" x14ac:dyDescent="0.3">
      <c r="A702" s="1" t="s">
        <v>767</v>
      </c>
      <c r="B702" s="1" t="s">
        <v>42</v>
      </c>
      <c r="C702" s="1" t="s">
        <v>87</v>
      </c>
      <c r="D702" s="1" t="s">
        <v>44</v>
      </c>
      <c r="E702" s="1" t="s">
        <v>21</v>
      </c>
      <c r="F702" s="1" t="s">
        <v>22</v>
      </c>
      <c r="G702" s="2">
        <v>45832</v>
      </c>
      <c r="H702" s="2">
        <v>45836</v>
      </c>
      <c r="I702" s="1" t="s">
        <v>32</v>
      </c>
      <c r="J702">
        <v>5</v>
      </c>
      <c r="K702">
        <v>4</v>
      </c>
      <c r="L702">
        <v>7</v>
      </c>
      <c r="M702" s="1" t="s">
        <v>24</v>
      </c>
      <c r="N702" s="2">
        <v>45809</v>
      </c>
      <c r="O702">
        <v>2025</v>
      </c>
      <c r="P702">
        <v>2</v>
      </c>
      <c r="Q702" s="1" t="s">
        <v>24</v>
      </c>
    </row>
    <row r="703" spans="1:17" x14ac:dyDescent="0.3">
      <c r="A703" s="1" t="s">
        <v>768</v>
      </c>
      <c r="B703" s="1" t="s">
        <v>35</v>
      </c>
      <c r="C703" s="1" t="s">
        <v>36</v>
      </c>
      <c r="D703" s="1" t="s">
        <v>44</v>
      </c>
      <c r="E703" s="1" t="s">
        <v>21</v>
      </c>
      <c r="F703" s="1" t="s">
        <v>61</v>
      </c>
      <c r="G703" s="2">
        <v>45922</v>
      </c>
      <c r="H703" s="2">
        <v>45928</v>
      </c>
      <c r="I703" s="1" t="s">
        <v>23</v>
      </c>
      <c r="J703">
        <v>5</v>
      </c>
      <c r="K703">
        <v>6</v>
      </c>
      <c r="L703">
        <v>7</v>
      </c>
      <c r="M703" s="1" t="s">
        <v>24</v>
      </c>
      <c r="N703" s="2">
        <v>45901</v>
      </c>
      <c r="O703">
        <v>2025</v>
      </c>
      <c r="P703">
        <v>3</v>
      </c>
      <c r="Q703" s="1" t="s">
        <v>24</v>
      </c>
    </row>
    <row r="704" spans="1:17" x14ac:dyDescent="0.3">
      <c r="A704" s="1" t="s">
        <v>769</v>
      </c>
      <c r="B704" s="1" t="s">
        <v>58</v>
      </c>
      <c r="C704" s="1" t="s">
        <v>145</v>
      </c>
      <c r="D704" s="1" t="s">
        <v>44</v>
      </c>
      <c r="E704" s="1" t="s">
        <v>21</v>
      </c>
      <c r="F704" s="1" t="s">
        <v>22</v>
      </c>
      <c r="G704" s="2">
        <v>45660</v>
      </c>
      <c r="H704" s="2">
        <v>45663</v>
      </c>
      <c r="I704" s="1" t="s">
        <v>23</v>
      </c>
      <c r="J704">
        <v>5</v>
      </c>
      <c r="K704">
        <v>3</v>
      </c>
      <c r="L704">
        <v>7</v>
      </c>
      <c r="M704" s="1" t="s">
        <v>24</v>
      </c>
      <c r="N704" s="2">
        <v>45658</v>
      </c>
      <c r="O704">
        <v>2025</v>
      </c>
      <c r="P704">
        <v>1</v>
      </c>
      <c r="Q704" s="1" t="s">
        <v>24</v>
      </c>
    </row>
    <row r="705" spans="1:17" x14ac:dyDescent="0.3">
      <c r="A705" s="1" t="s">
        <v>770</v>
      </c>
      <c r="B705" s="1" t="s">
        <v>35</v>
      </c>
      <c r="C705" s="1" t="s">
        <v>50</v>
      </c>
      <c r="D705" s="1" t="s">
        <v>44</v>
      </c>
      <c r="E705" s="1" t="s">
        <v>21</v>
      </c>
      <c r="F705" s="1" t="s">
        <v>22</v>
      </c>
      <c r="G705" s="2">
        <v>45995</v>
      </c>
      <c r="H705" s="2">
        <v>46001</v>
      </c>
      <c r="I705" s="1" t="s">
        <v>32</v>
      </c>
      <c r="J705">
        <v>4</v>
      </c>
      <c r="K705">
        <v>6</v>
      </c>
      <c r="L705">
        <v>7</v>
      </c>
      <c r="M705" s="1" t="s">
        <v>24</v>
      </c>
      <c r="N705" s="2">
        <v>45992</v>
      </c>
      <c r="O705">
        <v>2025</v>
      </c>
      <c r="P705">
        <v>4</v>
      </c>
      <c r="Q705" s="1" t="s">
        <v>24</v>
      </c>
    </row>
    <row r="706" spans="1:17" x14ac:dyDescent="0.3">
      <c r="A706" s="1" t="s">
        <v>771</v>
      </c>
      <c r="B706" s="1" t="s">
        <v>18</v>
      </c>
      <c r="C706" s="1" t="s">
        <v>47</v>
      </c>
      <c r="D706" s="1" t="s">
        <v>51</v>
      </c>
      <c r="E706" s="1" t="s">
        <v>21</v>
      </c>
      <c r="F706" s="1" t="s">
        <v>31</v>
      </c>
      <c r="G706" s="2">
        <v>45799</v>
      </c>
      <c r="H706" s="2">
        <v>45809</v>
      </c>
      <c r="I706" s="1" t="s">
        <v>23</v>
      </c>
      <c r="J706">
        <v>4</v>
      </c>
      <c r="K706">
        <v>10</v>
      </c>
      <c r="L706">
        <v>10</v>
      </c>
      <c r="M706" s="1" t="s">
        <v>24</v>
      </c>
      <c r="N706" s="2">
        <v>45778</v>
      </c>
      <c r="O706">
        <v>2025</v>
      </c>
      <c r="P706">
        <v>2</v>
      </c>
      <c r="Q706" s="1" t="s">
        <v>24</v>
      </c>
    </row>
    <row r="707" spans="1:17" x14ac:dyDescent="0.3">
      <c r="A707" s="1" t="s">
        <v>772</v>
      </c>
      <c r="B707" s="1" t="s">
        <v>35</v>
      </c>
      <c r="C707" s="1" t="s">
        <v>36</v>
      </c>
      <c r="D707" s="1" t="s">
        <v>20</v>
      </c>
      <c r="E707" s="1" t="s">
        <v>21</v>
      </c>
      <c r="F707" s="1" t="s">
        <v>61</v>
      </c>
      <c r="G707" s="2">
        <v>45976</v>
      </c>
      <c r="H707" s="2">
        <v>45987</v>
      </c>
      <c r="I707" s="1" t="s">
        <v>82</v>
      </c>
      <c r="J707">
        <v>4</v>
      </c>
      <c r="K707">
        <v>11</v>
      </c>
      <c r="L707">
        <v>14</v>
      </c>
      <c r="M707" s="1" t="s">
        <v>24</v>
      </c>
      <c r="N707" s="2">
        <v>45962</v>
      </c>
      <c r="O707">
        <v>2025</v>
      </c>
      <c r="P707">
        <v>4</v>
      </c>
      <c r="Q707" s="1" t="s">
        <v>24</v>
      </c>
    </row>
    <row r="708" spans="1:17" x14ac:dyDescent="0.3">
      <c r="A708" s="1" t="s">
        <v>773</v>
      </c>
      <c r="B708" s="1" t="s">
        <v>35</v>
      </c>
      <c r="C708" s="1" t="s">
        <v>97</v>
      </c>
      <c r="D708" s="1" t="s">
        <v>51</v>
      </c>
      <c r="E708" s="1" t="s">
        <v>48</v>
      </c>
      <c r="F708" s="1" t="s">
        <v>22</v>
      </c>
      <c r="G708" s="2">
        <v>45803</v>
      </c>
      <c r="H708" s="2"/>
      <c r="I708" s="1" t="s">
        <v>28</v>
      </c>
      <c r="L708">
        <v>10</v>
      </c>
      <c r="M708" s="1" t="s">
        <v>40</v>
      </c>
      <c r="N708" s="2">
        <v>45778</v>
      </c>
      <c r="O708">
        <v>2025</v>
      </c>
      <c r="P708">
        <v>2</v>
      </c>
      <c r="Q708" s="1" t="s">
        <v>33</v>
      </c>
    </row>
    <row r="709" spans="1:17" x14ac:dyDescent="0.3">
      <c r="A709" s="1" t="s">
        <v>774</v>
      </c>
      <c r="B709" s="1" t="s">
        <v>63</v>
      </c>
      <c r="C709" s="1" t="s">
        <v>74</v>
      </c>
      <c r="D709" s="1" t="s">
        <v>51</v>
      </c>
      <c r="E709" s="1" t="s">
        <v>48</v>
      </c>
      <c r="F709" s="1" t="s">
        <v>31</v>
      </c>
      <c r="G709" s="2">
        <v>45934</v>
      </c>
      <c r="H709" s="2"/>
      <c r="I709" s="1" t="s">
        <v>23</v>
      </c>
      <c r="L709">
        <v>10</v>
      </c>
      <c r="M709" s="1" t="s">
        <v>40</v>
      </c>
      <c r="N709" s="2">
        <v>45931</v>
      </c>
      <c r="O709">
        <v>2025</v>
      </c>
      <c r="P709">
        <v>4</v>
      </c>
      <c r="Q709" s="1" t="s">
        <v>33</v>
      </c>
    </row>
    <row r="710" spans="1:17" x14ac:dyDescent="0.3">
      <c r="A710" s="1" t="s">
        <v>775</v>
      </c>
      <c r="B710" s="1" t="s">
        <v>63</v>
      </c>
      <c r="C710" s="1" t="s">
        <v>74</v>
      </c>
      <c r="D710" s="1" t="s">
        <v>51</v>
      </c>
      <c r="E710" s="1" t="s">
        <v>21</v>
      </c>
      <c r="F710" s="1" t="s">
        <v>31</v>
      </c>
      <c r="G710" s="2">
        <v>45712</v>
      </c>
      <c r="H710" s="2">
        <v>45720</v>
      </c>
      <c r="I710" s="1" t="s">
        <v>39</v>
      </c>
      <c r="J710">
        <v>2</v>
      </c>
      <c r="K710">
        <v>8</v>
      </c>
      <c r="L710">
        <v>10</v>
      </c>
      <c r="M710" s="1" t="s">
        <v>24</v>
      </c>
      <c r="N710" s="2">
        <v>45689</v>
      </c>
      <c r="O710">
        <v>2025</v>
      </c>
      <c r="P710">
        <v>1</v>
      </c>
      <c r="Q710" s="1" t="s">
        <v>24</v>
      </c>
    </row>
    <row r="711" spans="1:17" x14ac:dyDescent="0.3">
      <c r="A711" s="1" t="s">
        <v>776</v>
      </c>
      <c r="B711" s="1" t="s">
        <v>63</v>
      </c>
      <c r="C711" s="1" t="s">
        <v>89</v>
      </c>
      <c r="D711" s="1" t="s">
        <v>51</v>
      </c>
      <c r="E711" s="1" t="s">
        <v>21</v>
      </c>
      <c r="F711" s="1" t="s">
        <v>31</v>
      </c>
      <c r="G711" s="2">
        <v>45759</v>
      </c>
      <c r="H711" s="2">
        <v>45769</v>
      </c>
      <c r="I711" s="1" t="s">
        <v>82</v>
      </c>
      <c r="J711">
        <v>2</v>
      </c>
      <c r="K711">
        <v>10</v>
      </c>
      <c r="L711">
        <v>10</v>
      </c>
      <c r="M711" s="1" t="s">
        <v>24</v>
      </c>
      <c r="N711" s="2">
        <v>45748</v>
      </c>
      <c r="O711">
        <v>2025</v>
      </c>
      <c r="P711">
        <v>2</v>
      </c>
      <c r="Q711" s="1" t="s">
        <v>24</v>
      </c>
    </row>
    <row r="712" spans="1:17" x14ac:dyDescent="0.3">
      <c r="A712" s="1" t="s">
        <v>777</v>
      </c>
      <c r="B712" s="1" t="s">
        <v>63</v>
      </c>
      <c r="C712" s="1" t="s">
        <v>74</v>
      </c>
      <c r="D712" s="1" t="s">
        <v>44</v>
      </c>
      <c r="E712" s="1" t="s">
        <v>48</v>
      </c>
      <c r="F712" s="1" t="s">
        <v>38</v>
      </c>
      <c r="G712" s="2">
        <v>45897</v>
      </c>
      <c r="H712" s="2"/>
      <c r="I712" s="1" t="s">
        <v>39</v>
      </c>
      <c r="L712">
        <v>7</v>
      </c>
      <c r="M712" s="1" t="s">
        <v>40</v>
      </c>
      <c r="N712" s="2">
        <v>45870</v>
      </c>
      <c r="O712">
        <v>2025</v>
      </c>
      <c r="P712">
        <v>3</v>
      </c>
      <c r="Q712" s="1" t="s">
        <v>33</v>
      </c>
    </row>
    <row r="713" spans="1:17" x14ac:dyDescent="0.3">
      <c r="A713" s="1" t="s">
        <v>778</v>
      </c>
      <c r="B713" s="1" t="s">
        <v>35</v>
      </c>
      <c r="C713" s="1" t="s">
        <v>50</v>
      </c>
      <c r="D713" s="1" t="s">
        <v>51</v>
      </c>
      <c r="E713" s="1" t="s">
        <v>48</v>
      </c>
      <c r="F713" s="1" t="s">
        <v>22</v>
      </c>
      <c r="G713" s="2">
        <v>45731</v>
      </c>
      <c r="H713" s="2"/>
      <c r="I713" s="1" t="s">
        <v>32</v>
      </c>
      <c r="L713">
        <v>10</v>
      </c>
      <c r="M713" s="1" t="s">
        <v>40</v>
      </c>
      <c r="N713" s="2">
        <v>45717</v>
      </c>
      <c r="O713">
        <v>2025</v>
      </c>
      <c r="P713">
        <v>1</v>
      </c>
      <c r="Q713" s="1" t="s">
        <v>33</v>
      </c>
    </row>
    <row r="714" spans="1:17" x14ac:dyDescent="0.3">
      <c r="A714" s="1" t="s">
        <v>779</v>
      </c>
      <c r="B714" s="1" t="s">
        <v>35</v>
      </c>
      <c r="C714" s="1" t="s">
        <v>50</v>
      </c>
      <c r="D714" s="1" t="s">
        <v>20</v>
      </c>
      <c r="E714" s="1" t="s">
        <v>48</v>
      </c>
      <c r="F714" s="1" t="s">
        <v>52</v>
      </c>
      <c r="G714" s="2">
        <v>45827</v>
      </c>
      <c r="H714" s="2"/>
      <c r="I714" s="1" t="s">
        <v>39</v>
      </c>
      <c r="L714">
        <v>14</v>
      </c>
      <c r="M714" s="1" t="s">
        <v>40</v>
      </c>
      <c r="N714" s="2">
        <v>45809</v>
      </c>
      <c r="O714">
        <v>2025</v>
      </c>
      <c r="P714">
        <v>2</v>
      </c>
      <c r="Q714" s="1" t="s">
        <v>33</v>
      </c>
    </row>
    <row r="715" spans="1:17" x14ac:dyDescent="0.3">
      <c r="A715" s="1" t="s">
        <v>780</v>
      </c>
      <c r="B715" s="1" t="s">
        <v>58</v>
      </c>
      <c r="C715" s="1" t="s">
        <v>70</v>
      </c>
      <c r="D715" s="1" t="s">
        <v>20</v>
      </c>
      <c r="E715" s="1" t="s">
        <v>21</v>
      </c>
      <c r="F715" s="1" t="s">
        <v>52</v>
      </c>
      <c r="G715" s="2">
        <v>45903</v>
      </c>
      <c r="H715" s="2">
        <v>45913</v>
      </c>
      <c r="I715" s="1" t="s">
        <v>32</v>
      </c>
      <c r="J715">
        <v>5</v>
      </c>
      <c r="K715">
        <v>10</v>
      </c>
      <c r="L715">
        <v>14</v>
      </c>
      <c r="M715" s="1" t="s">
        <v>24</v>
      </c>
      <c r="N715" s="2">
        <v>45901</v>
      </c>
      <c r="O715">
        <v>2025</v>
      </c>
      <c r="P715">
        <v>3</v>
      </c>
      <c r="Q715" s="1" t="s">
        <v>24</v>
      </c>
    </row>
    <row r="716" spans="1:17" x14ac:dyDescent="0.3">
      <c r="A716" s="1" t="s">
        <v>781</v>
      </c>
      <c r="B716" s="1" t="s">
        <v>26</v>
      </c>
      <c r="C716" s="1" t="s">
        <v>54</v>
      </c>
      <c r="D716" s="1" t="s">
        <v>51</v>
      </c>
      <c r="E716" s="1" t="s">
        <v>21</v>
      </c>
      <c r="F716" s="1" t="s">
        <v>38</v>
      </c>
      <c r="G716" s="2">
        <v>45712</v>
      </c>
      <c r="H716" s="2">
        <v>45719</v>
      </c>
      <c r="I716" s="1" t="s">
        <v>32</v>
      </c>
      <c r="J716">
        <v>4</v>
      </c>
      <c r="K716">
        <v>7</v>
      </c>
      <c r="L716">
        <v>10</v>
      </c>
      <c r="M716" s="1" t="s">
        <v>24</v>
      </c>
      <c r="N716" s="2">
        <v>45689</v>
      </c>
      <c r="O716">
        <v>2025</v>
      </c>
      <c r="P716">
        <v>1</v>
      </c>
      <c r="Q716" s="1" t="s">
        <v>24</v>
      </c>
    </row>
    <row r="717" spans="1:17" x14ac:dyDescent="0.3">
      <c r="A717" s="1" t="s">
        <v>782</v>
      </c>
      <c r="B717" s="1" t="s">
        <v>26</v>
      </c>
      <c r="C717" s="1" t="s">
        <v>27</v>
      </c>
      <c r="D717" s="1" t="s">
        <v>51</v>
      </c>
      <c r="E717" s="1" t="s">
        <v>21</v>
      </c>
      <c r="F717" s="1" t="s">
        <v>31</v>
      </c>
      <c r="G717" s="2">
        <v>45975</v>
      </c>
      <c r="H717" s="2">
        <v>45980</v>
      </c>
      <c r="I717" s="1" t="s">
        <v>39</v>
      </c>
      <c r="J717">
        <v>4</v>
      </c>
      <c r="K717">
        <v>5</v>
      </c>
      <c r="L717">
        <v>10</v>
      </c>
      <c r="M717" s="1" t="s">
        <v>24</v>
      </c>
      <c r="N717" s="2">
        <v>45962</v>
      </c>
      <c r="O717">
        <v>2025</v>
      </c>
      <c r="P717">
        <v>4</v>
      </c>
      <c r="Q717" s="1" t="s">
        <v>24</v>
      </c>
    </row>
    <row r="718" spans="1:17" x14ac:dyDescent="0.3">
      <c r="A718" s="1" t="s">
        <v>783</v>
      </c>
      <c r="B718" s="1" t="s">
        <v>42</v>
      </c>
      <c r="C718" s="1" t="s">
        <v>43</v>
      </c>
      <c r="D718" s="1" t="s">
        <v>20</v>
      </c>
      <c r="E718" s="1" t="s">
        <v>21</v>
      </c>
      <c r="F718" s="1" t="s">
        <v>22</v>
      </c>
      <c r="G718" s="2">
        <v>45878</v>
      </c>
      <c r="H718" s="2">
        <v>45893</v>
      </c>
      <c r="I718" s="1" t="s">
        <v>32</v>
      </c>
      <c r="J718">
        <v>5</v>
      </c>
      <c r="K718">
        <v>15</v>
      </c>
      <c r="L718">
        <v>14</v>
      </c>
      <c r="M718" s="1" t="s">
        <v>33</v>
      </c>
      <c r="N718" s="2">
        <v>45870</v>
      </c>
      <c r="O718">
        <v>2025</v>
      </c>
      <c r="P718">
        <v>3</v>
      </c>
      <c r="Q718" s="1" t="s">
        <v>24</v>
      </c>
    </row>
    <row r="719" spans="1:17" x14ac:dyDescent="0.3">
      <c r="A719" s="1" t="s">
        <v>784</v>
      </c>
      <c r="B719" s="1" t="s">
        <v>26</v>
      </c>
      <c r="C719" s="1" t="s">
        <v>54</v>
      </c>
      <c r="D719" s="1" t="s">
        <v>20</v>
      </c>
      <c r="E719" s="1" t="s">
        <v>21</v>
      </c>
      <c r="F719" s="1" t="s">
        <v>38</v>
      </c>
      <c r="G719" s="2">
        <v>46022</v>
      </c>
      <c r="H719" s="2">
        <v>46034</v>
      </c>
      <c r="I719" s="1" t="s">
        <v>82</v>
      </c>
      <c r="J719">
        <v>5</v>
      </c>
      <c r="K719">
        <v>12</v>
      </c>
      <c r="L719">
        <v>14</v>
      </c>
      <c r="M719" s="1" t="s">
        <v>24</v>
      </c>
      <c r="N719" s="2">
        <v>45992</v>
      </c>
      <c r="O719">
        <v>2025</v>
      </c>
      <c r="P719">
        <v>4</v>
      </c>
      <c r="Q719" s="1" t="s">
        <v>24</v>
      </c>
    </row>
    <row r="720" spans="1:17" x14ac:dyDescent="0.3">
      <c r="A720" s="1" t="s">
        <v>785</v>
      </c>
      <c r="B720" s="1" t="s">
        <v>26</v>
      </c>
      <c r="C720" s="1" t="s">
        <v>27</v>
      </c>
      <c r="D720" s="1" t="s">
        <v>51</v>
      </c>
      <c r="E720" s="1" t="s">
        <v>21</v>
      </c>
      <c r="F720" s="1" t="s">
        <v>31</v>
      </c>
      <c r="G720" s="2">
        <v>45885</v>
      </c>
      <c r="H720" s="2">
        <v>45889</v>
      </c>
      <c r="I720" s="1" t="s">
        <v>23</v>
      </c>
      <c r="J720">
        <v>4</v>
      </c>
      <c r="K720">
        <v>4</v>
      </c>
      <c r="L720">
        <v>10</v>
      </c>
      <c r="M720" s="1" t="s">
        <v>24</v>
      </c>
      <c r="N720" s="2">
        <v>45870</v>
      </c>
      <c r="O720">
        <v>2025</v>
      </c>
      <c r="P720">
        <v>3</v>
      </c>
      <c r="Q720" s="1" t="s">
        <v>24</v>
      </c>
    </row>
    <row r="721" spans="1:17" x14ac:dyDescent="0.3">
      <c r="A721" s="1" t="s">
        <v>786</v>
      </c>
      <c r="B721" s="1" t="s">
        <v>26</v>
      </c>
      <c r="C721" s="1" t="s">
        <v>67</v>
      </c>
      <c r="D721" s="1" t="s">
        <v>51</v>
      </c>
      <c r="E721" s="1" t="s">
        <v>21</v>
      </c>
      <c r="F721" s="1" t="s">
        <v>38</v>
      </c>
      <c r="G721" s="2">
        <v>45852</v>
      </c>
      <c r="H721" s="2">
        <v>45859</v>
      </c>
      <c r="I721" s="1" t="s">
        <v>23</v>
      </c>
      <c r="J721">
        <v>4</v>
      </c>
      <c r="K721">
        <v>7</v>
      </c>
      <c r="L721">
        <v>10</v>
      </c>
      <c r="M721" s="1" t="s">
        <v>24</v>
      </c>
      <c r="N721" s="2">
        <v>45839</v>
      </c>
      <c r="O721">
        <v>2025</v>
      </c>
      <c r="P721">
        <v>3</v>
      </c>
      <c r="Q721" s="1" t="s">
        <v>24</v>
      </c>
    </row>
    <row r="722" spans="1:17" x14ac:dyDescent="0.3">
      <c r="A722" s="1" t="s">
        <v>787</v>
      </c>
      <c r="B722" s="1" t="s">
        <v>63</v>
      </c>
      <c r="C722" s="1" t="s">
        <v>64</v>
      </c>
      <c r="D722" s="1" t="s">
        <v>44</v>
      </c>
      <c r="E722" s="1" t="s">
        <v>48</v>
      </c>
      <c r="F722" s="1" t="s">
        <v>38</v>
      </c>
      <c r="G722" s="2">
        <v>45983</v>
      </c>
      <c r="H722" s="2"/>
      <c r="I722" s="1" t="s">
        <v>28</v>
      </c>
      <c r="L722">
        <v>7</v>
      </c>
      <c r="M722" s="1" t="s">
        <v>40</v>
      </c>
      <c r="N722" s="2">
        <v>45962</v>
      </c>
      <c r="O722">
        <v>2025</v>
      </c>
      <c r="P722">
        <v>4</v>
      </c>
      <c r="Q722" s="1" t="s">
        <v>33</v>
      </c>
    </row>
    <row r="723" spans="1:17" x14ac:dyDescent="0.3">
      <c r="A723" s="1" t="s">
        <v>788</v>
      </c>
      <c r="B723" s="1" t="s">
        <v>18</v>
      </c>
      <c r="C723" s="1" t="s">
        <v>47</v>
      </c>
      <c r="D723" s="1" t="s">
        <v>51</v>
      </c>
      <c r="E723" s="1" t="s">
        <v>21</v>
      </c>
      <c r="F723" s="1" t="s">
        <v>52</v>
      </c>
      <c r="G723" s="2">
        <v>45973</v>
      </c>
      <c r="H723" s="2">
        <v>45982</v>
      </c>
      <c r="I723" s="1" t="s">
        <v>32</v>
      </c>
      <c r="J723">
        <v>3</v>
      </c>
      <c r="K723">
        <v>9</v>
      </c>
      <c r="L723">
        <v>10</v>
      </c>
      <c r="M723" s="1" t="s">
        <v>24</v>
      </c>
      <c r="N723" s="2">
        <v>45962</v>
      </c>
      <c r="O723">
        <v>2025</v>
      </c>
      <c r="P723">
        <v>4</v>
      </c>
      <c r="Q723" s="1" t="s">
        <v>24</v>
      </c>
    </row>
    <row r="724" spans="1:17" x14ac:dyDescent="0.3">
      <c r="A724" s="1" t="s">
        <v>789</v>
      </c>
      <c r="B724" s="1" t="s">
        <v>26</v>
      </c>
      <c r="C724" s="1" t="s">
        <v>123</v>
      </c>
      <c r="D724" s="1" t="s">
        <v>44</v>
      </c>
      <c r="E724" s="1" t="s">
        <v>48</v>
      </c>
      <c r="F724" s="1" t="s">
        <v>38</v>
      </c>
      <c r="G724" s="2">
        <v>45834</v>
      </c>
      <c r="H724" s="2"/>
      <c r="I724" s="1" t="s">
        <v>82</v>
      </c>
      <c r="L724">
        <v>7</v>
      </c>
      <c r="M724" s="1" t="s">
        <v>40</v>
      </c>
      <c r="N724" s="2">
        <v>45809</v>
      </c>
      <c r="O724">
        <v>2025</v>
      </c>
      <c r="P724">
        <v>2</v>
      </c>
      <c r="Q724" s="1" t="s">
        <v>33</v>
      </c>
    </row>
    <row r="725" spans="1:17" x14ac:dyDescent="0.3">
      <c r="A725" s="1" t="s">
        <v>790</v>
      </c>
      <c r="B725" s="1" t="s">
        <v>42</v>
      </c>
      <c r="C725" s="1" t="s">
        <v>87</v>
      </c>
      <c r="D725" s="1" t="s">
        <v>44</v>
      </c>
      <c r="E725" s="1" t="s">
        <v>37</v>
      </c>
      <c r="F725" s="1" t="s">
        <v>52</v>
      </c>
      <c r="G725" s="2">
        <v>45689</v>
      </c>
      <c r="H725" s="2"/>
      <c r="I725" s="1" t="s">
        <v>82</v>
      </c>
      <c r="L725">
        <v>7</v>
      </c>
      <c r="M725" s="1" t="s">
        <v>40</v>
      </c>
      <c r="N725" s="2">
        <v>45689</v>
      </c>
      <c r="O725">
        <v>2025</v>
      </c>
      <c r="P725">
        <v>1</v>
      </c>
      <c r="Q725" s="1" t="s">
        <v>33</v>
      </c>
    </row>
    <row r="726" spans="1:17" x14ac:dyDescent="0.3">
      <c r="A726" s="1" t="s">
        <v>791</v>
      </c>
      <c r="B726" s="1" t="s">
        <v>42</v>
      </c>
      <c r="C726" s="1" t="s">
        <v>81</v>
      </c>
      <c r="D726" s="1" t="s">
        <v>44</v>
      </c>
      <c r="E726" s="1" t="s">
        <v>37</v>
      </c>
      <c r="F726" s="1" t="s">
        <v>38</v>
      </c>
      <c r="G726" s="2">
        <v>45841</v>
      </c>
      <c r="H726" s="2"/>
      <c r="I726" s="1" t="s">
        <v>32</v>
      </c>
      <c r="L726">
        <v>7</v>
      </c>
      <c r="M726" s="1" t="s">
        <v>40</v>
      </c>
      <c r="N726" s="2">
        <v>45839</v>
      </c>
      <c r="O726">
        <v>2025</v>
      </c>
      <c r="P726">
        <v>3</v>
      </c>
      <c r="Q726" s="1" t="s">
        <v>33</v>
      </c>
    </row>
    <row r="727" spans="1:17" x14ac:dyDescent="0.3">
      <c r="A727" s="1" t="s">
        <v>792</v>
      </c>
      <c r="B727" s="1" t="s">
        <v>42</v>
      </c>
      <c r="C727" s="1" t="s">
        <v>76</v>
      </c>
      <c r="D727" s="1" t="s">
        <v>51</v>
      </c>
      <c r="E727" s="1" t="s">
        <v>21</v>
      </c>
      <c r="F727" s="1" t="s">
        <v>31</v>
      </c>
      <c r="G727" s="2">
        <v>45978</v>
      </c>
      <c r="H727" s="2">
        <v>45985</v>
      </c>
      <c r="I727" s="1" t="s">
        <v>39</v>
      </c>
      <c r="J727">
        <v>5</v>
      </c>
      <c r="K727">
        <v>7</v>
      </c>
      <c r="L727">
        <v>10</v>
      </c>
      <c r="M727" s="1" t="s">
        <v>24</v>
      </c>
      <c r="N727" s="2">
        <v>45962</v>
      </c>
      <c r="O727">
        <v>2025</v>
      </c>
      <c r="P727">
        <v>4</v>
      </c>
      <c r="Q727" s="1" t="s">
        <v>24</v>
      </c>
    </row>
    <row r="728" spans="1:17" x14ac:dyDescent="0.3">
      <c r="A728" s="1" t="s">
        <v>793</v>
      </c>
      <c r="B728" s="1" t="s">
        <v>58</v>
      </c>
      <c r="C728" s="1" t="s">
        <v>108</v>
      </c>
      <c r="D728" s="1" t="s">
        <v>51</v>
      </c>
      <c r="E728" s="1" t="s">
        <v>21</v>
      </c>
      <c r="F728" s="1" t="s">
        <v>52</v>
      </c>
      <c r="G728" s="2">
        <v>45754</v>
      </c>
      <c r="H728" s="2">
        <v>45764</v>
      </c>
      <c r="I728" s="1" t="s">
        <v>39</v>
      </c>
      <c r="J728">
        <v>4</v>
      </c>
      <c r="K728">
        <v>10</v>
      </c>
      <c r="L728">
        <v>10</v>
      </c>
      <c r="M728" s="1" t="s">
        <v>24</v>
      </c>
      <c r="N728" s="2">
        <v>45748</v>
      </c>
      <c r="O728">
        <v>2025</v>
      </c>
      <c r="P728">
        <v>2</v>
      </c>
      <c r="Q728" s="1" t="s">
        <v>24</v>
      </c>
    </row>
    <row r="729" spans="1:17" x14ac:dyDescent="0.3">
      <c r="A729" s="1" t="s">
        <v>794</v>
      </c>
      <c r="B729" s="1" t="s">
        <v>63</v>
      </c>
      <c r="C729" s="1" t="s">
        <v>84</v>
      </c>
      <c r="D729" s="1" t="s">
        <v>71</v>
      </c>
      <c r="E729" s="1" t="s">
        <v>21</v>
      </c>
      <c r="F729" s="1" t="s">
        <v>38</v>
      </c>
      <c r="G729" s="2">
        <v>45726</v>
      </c>
      <c r="H729" s="2">
        <v>45726</v>
      </c>
      <c r="I729" s="1" t="s">
        <v>28</v>
      </c>
      <c r="J729">
        <v>2</v>
      </c>
      <c r="K729">
        <v>0</v>
      </c>
      <c r="L729">
        <v>3</v>
      </c>
      <c r="M729" s="1" t="s">
        <v>24</v>
      </c>
      <c r="N729" s="2">
        <v>45717</v>
      </c>
      <c r="O729">
        <v>2025</v>
      </c>
      <c r="P729">
        <v>1</v>
      </c>
      <c r="Q729" s="1" t="s">
        <v>24</v>
      </c>
    </row>
    <row r="730" spans="1:17" x14ac:dyDescent="0.3">
      <c r="A730" s="1" t="s">
        <v>795</v>
      </c>
      <c r="B730" s="1" t="s">
        <v>18</v>
      </c>
      <c r="C730" s="1" t="s">
        <v>30</v>
      </c>
      <c r="D730" s="1" t="s">
        <v>51</v>
      </c>
      <c r="E730" s="1" t="s">
        <v>48</v>
      </c>
      <c r="F730" s="1" t="s">
        <v>38</v>
      </c>
      <c r="G730" s="2">
        <v>45727</v>
      </c>
      <c r="H730" s="2"/>
      <c r="I730" s="1" t="s">
        <v>28</v>
      </c>
      <c r="L730">
        <v>10</v>
      </c>
      <c r="M730" s="1" t="s">
        <v>40</v>
      </c>
      <c r="N730" s="2">
        <v>45717</v>
      </c>
      <c r="O730">
        <v>2025</v>
      </c>
      <c r="P730">
        <v>1</v>
      </c>
      <c r="Q730" s="1" t="s">
        <v>33</v>
      </c>
    </row>
    <row r="731" spans="1:17" x14ac:dyDescent="0.3">
      <c r="A731" s="1" t="s">
        <v>796</v>
      </c>
      <c r="B731" s="1" t="s">
        <v>18</v>
      </c>
      <c r="C731" s="1" t="s">
        <v>30</v>
      </c>
      <c r="D731" s="1" t="s">
        <v>44</v>
      </c>
      <c r="E731" s="1" t="s">
        <v>48</v>
      </c>
      <c r="F731" s="1" t="s">
        <v>22</v>
      </c>
      <c r="G731" s="2">
        <v>46014</v>
      </c>
      <c r="H731" s="2"/>
      <c r="I731" s="1" t="s">
        <v>39</v>
      </c>
      <c r="L731">
        <v>7</v>
      </c>
      <c r="M731" s="1" t="s">
        <v>40</v>
      </c>
      <c r="N731" s="2">
        <v>45992</v>
      </c>
      <c r="O731">
        <v>2025</v>
      </c>
      <c r="P731">
        <v>4</v>
      </c>
      <c r="Q731" s="1" t="s">
        <v>33</v>
      </c>
    </row>
    <row r="732" spans="1:17" x14ac:dyDescent="0.3">
      <c r="A732" s="1" t="s">
        <v>797</v>
      </c>
      <c r="B732" s="1" t="s">
        <v>26</v>
      </c>
      <c r="C732" s="1" t="s">
        <v>54</v>
      </c>
      <c r="D732" s="1" t="s">
        <v>51</v>
      </c>
      <c r="E732" s="1" t="s">
        <v>21</v>
      </c>
      <c r="F732" s="1" t="s">
        <v>61</v>
      </c>
      <c r="G732" s="2">
        <v>45888</v>
      </c>
      <c r="H732" s="2">
        <v>45896</v>
      </c>
      <c r="I732" s="1" t="s">
        <v>39</v>
      </c>
      <c r="J732">
        <v>4</v>
      </c>
      <c r="K732">
        <v>8</v>
      </c>
      <c r="L732">
        <v>10</v>
      </c>
      <c r="M732" s="1" t="s">
        <v>24</v>
      </c>
      <c r="N732" s="2">
        <v>45870</v>
      </c>
      <c r="O732">
        <v>2025</v>
      </c>
      <c r="P732">
        <v>3</v>
      </c>
      <c r="Q732" s="1" t="s">
        <v>24</v>
      </c>
    </row>
    <row r="733" spans="1:17" x14ac:dyDescent="0.3">
      <c r="A733" s="1" t="s">
        <v>798</v>
      </c>
      <c r="B733" s="1" t="s">
        <v>26</v>
      </c>
      <c r="C733" s="1" t="s">
        <v>67</v>
      </c>
      <c r="D733" s="1" t="s">
        <v>51</v>
      </c>
      <c r="E733" s="1" t="s">
        <v>37</v>
      </c>
      <c r="F733" s="1" t="s">
        <v>22</v>
      </c>
      <c r="G733" s="2">
        <v>45779</v>
      </c>
      <c r="H733" s="2"/>
      <c r="I733" s="1" t="s">
        <v>32</v>
      </c>
      <c r="L733">
        <v>10</v>
      </c>
      <c r="M733" s="1" t="s">
        <v>40</v>
      </c>
      <c r="N733" s="2">
        <v>45778</v>
      </c>
      <c r="O733">
        <v>2025</v>
      </c>
      <c r="P733">
        <v>2</v>
      </c>
      <c r="Q733" s="1" t="s">
        <v>33</v>
      </c>
    </row>
    <row r="734" spans="1:17" x14ac:dyDescent="0.3">
      <c r="A734" s="1" t="s">
        <v>799</v>
      </c>
      <c r="B734" s="1" t="s">
        <v>58</v>
      </c>
      <c r="C734" s="1" t="s">
        <v>59</v>
      </c>
      <c r="D734" s="1" t="s">
        <v>20</v>
      </c>
      <c r="E734" s="1" t="s">
        <v>21</v>
      </c>
      <c r="F734" s="1" t="s">
        <v>22</v>
      </c>
      <c r="G734" s="2">
        <v>45905</v>
      </c>
      <c r="H734" s="2">
        <v>45919</v>
      </c>
      <c r="I734" s="1" t="s">
        <v>39</v>
      </c>
      <c r="J734">
        <v>4</v>
      </c>
      <c r="K734">
        <v>14</v>
      </c>
      <c r="L734">
        <v>14</v>
      </c>
      <c r="M734" s="1" t="s">
        <v>24</v>
      </c>
      <c r="N734" s="2">
        <v>45901</v>
      </c>
      <c r="O734">
        <v>2025</v>
      </c>
      <c r="P734">
        <v>3</v>
      </c>
      <c r="Q734" s="1" t="s">
        <v>24</v>
      </c>
    </row>
    <row r="735" spans="1:17" x14ac:dyDescent="0.3">
      <c r="A735" s="1" t="s">
        <v>800</v>
      </c>
      <c r="B735" s="1" t="s">
        <v>18</v>
      </c>
      <c r="C735" s="1" t="s">
        <v>19</v>
      </c>
      <c r="D735" s="1" t="s">
        <v>20</v>
      </c>
      <c r="E735" s="1" t="s">
        <v>21</v>
      </c>
      <c r="F735" s="1" t="s">
        <v>22</v>
      </c>
      <c r="G735" s="2">
        <v>45801</v>
      </c>
      <c r="H735" s="2">
        <v>45811</v>
      </c>
      <c r="I735" s="1" t="s">
        <v>82</v>
      </c>
      <c r="J735">
        <v>4</v>
      </c>
      <c r="K735">
        <v>10</v>
      </c>
      <c r="L735">
        <v>14</v>
      </c>
      <c r="M735" s="1" t="s">
        <v>24</v>
      </c>
      <c r="N735" s="2">
        <v>45778</v>
      </c>
      <c r="O735">
        <v>2025</v>
      </c>
      <c r="P735">
        <v>2</v>
      </c>
      <c r="Q735" s="1" t="s">
        <v>24</v>
      </c>
    </row>
    <row r="736" spans="1:17" x14ac:dyDescent="0.3">
      <c r="A736" s="1" t="s">
        <v>801</v>
      </c>
      <c r="B736" s="1" t="s">
        <v>42</v>
      </c>
      <c r="C736" s="1" t="s">
        <v>76</v>
      </c>
      <c r="D736" s="1" t="s">
        <v>51</v>
      </c>
      <c r="E736" s="1" t="s">
        <v>37</v>
      </c>
      <c r="F736" s="1" t="s">
        <v>38</v>
      </c>
      <c r="G736" s="2">
        <v>46000</v>
      </c>
      <c r="H736" s="2"/>
      <c r="I736" s="1" t="s">
        <v>82</v>
      </c>
      <c r="L736">
        <v>10</v>
      </c>
      <c r="M736" s="1" t="s">
        <v>40</v>
      </c>
      <c r="N736" s="2">
        <v>45992</v>
      </c>
      <c r="O736">
        <v>2025</v>
      </c>
      <c r="P736">
        <v>4</v>
      </c>
      <c r="Q736" s="1" t="s">
        <v>33</v>
      </c>
    </row>
    <row r="737" spans="1:17" x14ac:dyDescent="0.3">
      <c r="A737" s="1" t="s">
        <v>802</v>
      </c>
      <c r="B737" s="1" t="s">
        <v>26</v>
      </c>
      <c r="C737" s="1" t="s">
        <v>123</v>
      </c>
      <c r="D737" s="1" t="s">
        <v>51</v>
      </c>
      <c r="E737" s="1" t="s">
        <v>48</v>
      </c>
      <c r="F737" s="1" t="s">
        <v>38</v>
      </c>
      <c r="G737" s="2">
        <v>45931</v>
      </c>
      <c r="H737" s="2"/>
      <c r="I737" s="1" t="s">
        <v>39</v>
      </c>
      <c r="L737">
        <v>10</v>
      </c>
      <c r="M737" s="1" t="s">
        <v>40</v>
      </c>
      <c r="N737" s="2">
        <v>45931</v>
      </c>
      <c r="O737">
        <v>2025</v>
      </c>
      <c r="P737">
        <v>4</v>
      </c>
      <c r="Q737" s="1" t="s">
        <v>33</v>
      </c>
    </row>
    <row r="738" spans="1:17" x14ac:dyDescent="0.3">
      <c r="A738" s="1" t="s">
        <v>803</v>
      </c>
      <c r="B738" s="1" t="s">
        <v>58</v>
      </c>
      <c r="C738" s="1" t="s">
        <v>145</v>
      </c>
      <c r="D738" s="1" t="s">
        <v>51</v>
      </c>
      <c r="E738" s="1" t="s">
        <v>21</v>
      </c>
      <c r="F738" s="1" t="s">
        <v>38</v>
      </c>
      <c r="G738" s="2">
        <v>45838</v>
      </c>
      <c r="H738" s="2">
        <v>45844</v>
      </c>
      <c r="I738" s="1" t="s">
        <v>82</v>
      </c>
      <c r="J738">
        <v>3</v>
      </c>
      <c r="K738">
        <v>6</v>
      </c>
      <c r="L738">
        <v>10</v>
      </c>
      <c r="M738" s="1" t="s">
        <v>24</v>
      </c>
      <c r="N738" s="2">
        <v>45809</v>
      </c>
      <c r="O738">
        <v>2025</v>
      </c>
      <c r="P738">
        <v>2</v>
      </c>
      <c r="Q738" s="1" t="s">
        <v>24</v>
      </c>
    </row>
    <row r="739" spans="1:17" x14ac:dyDescent="0.3">
      <c r="A739" s="1" t="s">
        <v>804</v>
      </c>
      <c r="B739" s="1" t="s">
        <v>18</v>
      </c>
      <c r="C739" s="1" t="s">
        <v>56</v>
      </c>
      <c r="D739" s="1" t="s">
        <v>44</v>
      </c>
      <c r="E739" s="1" t="s">
        <v>21</v>
      </c>
      <c r="F739" s="1" t="s">
        <v>61</v>
      </c>
      <c r="G739" s="2">
        <v>45689</v>
      </c>
      <c r="H739" s="2">
        <v>45695</v>
      </c>
      <c r="I739" s="1" t="s">
        <v>82</v>
      </c>
      <c r="J739">
        <v>4</v>
      </c>
      <c r="K739">
        <v>6</v>
      </c>
      <c r="L739">
        <v>7</v>
      </c>
      <c r="M739" s="1" t="s">
        <v>24</v>
      </c>
      <c r="N739" s="2">
        <v>45689</v>
      </c>
      <c r="O739">
        <v>2025</v>
      </c>
      <c r="P739">
        <v>1</v>
      </c>
      <c r="Q739" s="1" t="s">
        <v>24</v>
      </c>
    </row>
    <row r="740" spans="1:17" x14ac:dyDescent="0.3">
      <c r="A740" s="1" t="s">
        <v>805</v>
      </c>
      <c r="B740" s="1" t="s">
        <v>42</v>
      </c>
      <c r="C740" s="1" t="s">
        <v>43</v>
      </c>
      <c r="D740" s="1" t="s">
        <v>44</v>
      </c>
      <c r="E740" s="1" t="s">
        <v>21</v>
      </c>
      <c r="F740" s="1" t="s">
        <v>22</v>
      </c>
      <c r="G740" s="2">
        <v>45804</v>
      </c>
      <c r="H740" s="2">
        <v>45808</v>
      </c>
      <c r="I740" s="1" t="s">
        <v>23</v>
      </c>
      <c r="J740">
        <v>2</v>
      </c>
      <c r="K740">
        <v>4</v>
      </c>
      <c r="L740">
        <v>7</v>
      </c>
      <c r="M740" s="1" t="s">
        <v>24</v>
      </c>
      <c r="N740" s="2">
        <v>45778</v>
      </c>
      <c r="O740">
        <v>2025</v>
      </c>
      <c r="P740">
        <v>2</v>
      </c>
      <c r="Q740" s="1" t="s">
        <v>24</v>
      </c>
    </row>
    <row r="741" spans="1:17" x14ac:dyDescent="0.3">
      <c r="A741" s="1" t="s">
        <v>806</v>
      </c>
      <c r="B741" s="1" t="s">
        <v>35</v>
      </c>
      <c r="C741" s="1" t="s">
        <v>97</v>
      </c>
      <c r="D741" s="1" t="s">
        <v>20</v>
      </c>
      <c r="E741" s="1" t="s">
        <v>21</v>
      </c>
      <c r="F741" s="1" t="s">
        <v>22</v>
      </c>
      <c r="G741" s="2">
        <v>45789</v>
      </c>
      <c r="H741" s="2">
        <v>45792</v>
      </c>
      <c r="I741" s="1" t="s">
        <v>28</v>
      </c>
      <c r="J741">
        <v>5</v>
      </c>
      <c r="K741">
        <v>3</v>
      </c>
      <c r="L741">
        <v>14</v>
      </c>
      <c r="M741" s="1" t="s">
        <v>24</v>
      </c>
      <c r="N741" s="2">
        <v>45778</v>
      </c>
      <c r="O741">
        <v>2025</v>
      </c>
      <c r="P741">
        <v>2</v>
      </c>
      <c r="Q741" s="1" t="s">
        <v>24</v>
      </c>
    </row>
    <row r="742" spans="1:17" x14ac:dyDescent="0.3">
      <c r="A742" s="1" t="s">
        <v>807</v>
      </c>
      <c r="B742" s="1" t="s">
        <v>26</v>
      </c>
      <c r="C742" s="1" t="s">
        <v>54</v>
      </c>
      <c r="D742" s="1" t="s">
        <v>51</v>
      </c>
      <c r="E742" s="1" t="s">
        <v>21</v>
      </c>
      <c r="F742" s="1" t="s">
        <v>61</v>
      </c>
      <c r="G742" s="2">
        <v>45747</v>
      </c>
      <c r="H742" s="2">
        <v>45753</v>
      </c>
      <c r="I742" s="1" t="s">
        <v>39</v>
      </c>
      <c r="J742">
        <v>5</v>
      </c>
      <c r="K742">
        <v>6</v>
      </c>
      <c r="L742">
        <v>10</v>
      </c>
      <c r="M742" s="1" t="s">
        <v>24</v>
      </c>
      <c r="N742" s="2">
        <v>45717</v>
      </c>
      <c r="O742">
        <v>2025</v>
      </c>
      <c r="P742">
        <v>1</v>
      </c>
      <c r="Q742" s="1" t="s">
        <v>24</v>
      </c>
    </row>
    <row r="743" spans="1:17" x14ac:dyDescent="0.3">
      <c r="A743" s="1" t="s">
        <v>808</v>
      </c>
      <c r="B743" s="1" t="s">
        <v>63</v>
      </c>
      <c r="C743" s="1" t="s">
        <v>74</v>
      </c>
      <c r="D743" s="1" t="s">
        <v>51</v>
      </c>
      <c r="E743" s="1" t="s">
        <v>21</v>
      </c>
      <c r="F743" s="1" t="s">
        <v>31</v>
      </c>
      <c r="G743" s="2">
        <v>45732</v>
      </c>
      <c r="H743" s="2">
        <v>45736</v>
      </c>
      <c r="I743" s="1" t="s">
        <v>39</v>
      </c>
      <c r="J743">
        <v>5</v>
      </c>
      <c r="K743">
        <v>4</v>
      </c>
      <c r="L743">
        <v>10</v>
      </c>
      <c r="M743" s="1" t="s">
        <v>24</v>
      </c>
      <c r="N743" s="2">
        <v>45717</v>
      </c>
      <c r="O743">
        <v>2025</v>
      </c>
      <c r="P743">
        <v>1</v>
      </c>
      <c r="Q743" s="1" t="s">
        <v>24</v>
      </c>
    </row>
    <row r="744" spans="1:17" x14ac:dyDescent="0.3">
      <c r="A744" s="1" t="s">
        <v>809</v>
      </c>
      <c r="B744" s="1" t="s">
        <v>63</v>
      </c>
      <c r="C744" s="1" t="s">
        <v>89</v>
      </c>
      <c r="D744" s="1" t="s">
        <v>44</v>
      </c>
      <c r="E744" s="1" t="s">
        <v>21</v>
      </c>
      <c r="F744" s="1" t="s">
        <v>38</v>
      </c>
      <c r="G744" s="2">
        <v>45953</v>
      </c>
      <c r="H744" s="2">
        <v>45959</v>
      </c>
      <c r="I744" s="1" t="s">
        <v>32</v>
      </c>
      <c r="J744">
        <v>5</v>
      </c>
      <c r="K744">
        <v>6</v>
      </c>
      <c r="L744">
        <v>7</v>
      </c>
      <c r="M744" s="1" t="s">
        <v>24</v>
      </c>
      <c r="N744" s="2">
        <v>45931</v>
      </c>
      <c r="O744">
        <v>2025</v>
      </c>
      <c r="P744">
        <v>4</v>
      </c>
      <c r="Q744" s="1" t="s">
        <v>24</v>
      </c>
    </row>
    <row r="745" spans="1:17" x14ac:dyDescent="0.3">
      <c r="A745" s="1" t="s">
        <v>810</v>
      </c>
      <c r="B745" s="1" t="s">
        <v>42</v>
      </c>
      <c r="C745" s="1" t="s">
        <v>81</v>
      </c>
      <c r="D745" s="1" t="s">
        <v>20</v>
      </c>
      <c r="E745" s="1" t="s">
        <v>21</v>
      </c>
      <c r="F745" s="1" t="s">
        <v>22</v>
      </c>
      <c r="G745" s="2">
        <v>45812</v>
      </c>
      <c r="H745" s="2">
        <v>45822</v>
      </c>
      <c r="I745" s="1" t="s">
        <v>28</v>
      </c>
      <c r="J745">
        <v>5</v>
      </c>
      <c r="K745">
        <v>10</v>
      </c>
      <c r="L745">
        <v>14</v>
      </c>
      <c r="M745" s="1" t="s">
        <v>24</v>
      </c>
      <c r="N745" s="2">
        <v>45809</v>
      </c>
      <c r="O745">
        <v>2025</v>
      </c>
      <c r="P745">
        <v>2</v>
      </c>
      <c r="Q745" s="1" t="s">
        <v>24</v>
      </c>
    </row>
    <row r="746" spans="1:17" x14ac:dyDescent="0.3">
      <c r="A746" s="1" t="s">
        <v>811</v>
      </c>
      <c r="B746" s="1" t="s">
        <v>58</v>
      </c>
      <c r="C746" s="1" t="s">
        <v>145</v>
      </c>
      <c r="D746" s="1" t="s">
        <v>51</v>
      </c>
      <c r="E746" s="1" t="s">
        <v>21</v>
      </c>
      <c r="F746" s="1" t="s">
        <v>31</v>
      </c>
      <c r="G746" s="2">
        <v>45880</v>
      </c>
      <c r="H746" s="2">
        <v>45882</v>
      </c>
      <c r="I746" s="1" t="s">
        <v>39</v>
      </c>
      <c r="J746">
        <v>3</v>
      </c>
      <c r="K746">
        <v>2</v>
      </c>
      <c r="L746">
        <v>10</v>
      </c>
      <c r="M746" s="1" t="s">
        <v>24</v>
      </c>
      <c r="N746" s="2">
        <v>45870</v>
      </c>
      <c r="O746">
        <v>2025</v>
      </c>
      <c r="P746">
        <v>3</v>
      </c>
      <c r="Q746" s="1" t="s">
        <v>24</v>
      </c>
    </row>
    <row r="747" spans="1:17" x14ac:dyDescent="0.3">
      <c r="A747" s="1" t="s">
        <v>812</v>
      </c>
      <c r="B747" s="1" t="s">
        <v>18</v>
      </c>
      <c r="C747" s="1" t="s">
        <v>56</v>
      </c>
      <c r="D747" s="1" t="s">
        <v>71</v>
      </c>
      <c r="E747" s="1" t="s">
        <v>21</v>
      </c>
      <c r="F747" s="1" t="s">
        <v>52</v>
      </c>
      <c r="G747" s="2">
        <v>45679</v>
      </c>
      <c r="H747" s="2">
        <v>45679</v>
      </c>
      <c r="I747" s="1" t="s">
        <v>39</v>
      </c>
      <c r="J747">
        <v>5</v>
      </c>
      <c r="K747">
        <v>0</v>
      </c>
      <c r="L747">
        <v>3</v>
      </c>
      <c r="M747" s="1" t="s">
        <v>24</v>
      </c>
      <c r="N747" s="2">
        <v>45658</v>
      </c>
      <c r="O747">
        <v>2025</v>
      </c>
      <c r="P747">
        <v>1</v>
      </c>
      <c r="Q747" s="1" t="s">
        <v>24</v>
      </c>
    </row>
    <row r="748" spans="1:17" x14ac:dyDescent="0.3">
      <c r="A748" s="1" t="s">
        <v>813</v>
      </c>
      <c r="B748" s="1" t="s">
        <v>26</v>
      </c>
      <c r="C748" s="1" t="s">
        <v>123</v>
      </c>
      <c r="D748" s="1" t="s">
        <v>51</v>
      </c>
      <c r="E748" s="1" t="s">
        <v>21</v>
      </c>
      <c r="F748" s="1" t="s">
        <v>31</v>
      </c>
      <c r="G748" s="2">
        <v>45708</v>
      </c>
      <c r="H748" s="2">
        <v>45714</v>
      </c>
      <c r="I748" s="1" t="s">
        <v>39</v>
      </c>
      <c r="J748">
        <v>4</v>
      </c>
      <c r="K748">
        <v>6</v>
      </c>
      <c r="L748">
        <v>10</v>
      </c>
      <c r="M748" s="1" t="s">
        <v>24</v>
      </c>
      <c r="N748" s="2">
        <v>45689</v>
      </c>
      <c r="O748">
        <v>2025</v>
      </c>
      <c r="P748">
        <v>1</v>
      </c>
      <c r="Q748" s="1" t="s">
        <v>24</v>
      </c>
    </row>
    <row r="749" spans="1:17" x14ac:dyDescent="0.3">
      <c r="A749" s="1" t="s">
        <v>814</v>
      </c>
      <c r="B749" s="1" t="s">
        <v>18</v>
      </c>
      <c r="C749" s="1" t="s">
        <v>47</v>
      </c>
      <c r="D749" s="1" t="s">
        <v>44</v>
      </c>
      <c r="E749" s="1" t="s">
        <v>21</v>
      </c>
      <c r="F749" s="1" t="s">
        <v>61</v>
      </c>
      <c r="G749" s="2">
        <v>45757</v>
      </c>
      <c r="H749" s="2">
        <v>45762</v>
      </c>
      <c r="I749" s="1" t="s">
        <v>32</v>
      </c>
      <c r="J749">
        <v>4</v>
      </c>
      <c r="K749">
        <v>5</v>
      </c>
      <c r="L749">
        <v>7</v>
      </c>
      <c r="M749" s="1" t="s">
        <v>24</v>
      </c>
      <c r="N749" s="2">
        <v>45748</v>
      </c>
      <c r="O749">
        <v>2025</v>
      </c>
      <c r="P749">
        <v>2</v>
      </c>
      <c r="Q749" s="1" t="s">
        <v>24</v>
      </c>
    </row>
    <row r="750" spans="1:17" x14ac:dyDescent="0.3">
      <c r="A750" s="1" t="s">
        <v>815</v>
      </c>
      <c r="B750" s="1" t="s">
        <v>26</v>
      </c>
      <c r="C750" s="1" t="s">
        <v>67</v>
      </c>
      <c r="D750" s="1" t="s">
        <v>51</v>
      </c>
      <c r="E750" s="1" t="s">
        <v>37</v>
      </c>
      <c r="F750" s="1" t="s">
        <v>31</v>
      </c>
      <c r="G750" s="2">
        <v>45664</v>
      </c>
      <c r="H750" s="2"/>
      <c r="I750" s="1" t="s">
        <v>23</v>
      </c>
      <c r="L750">
        <v>10</v>
      </c>
      <c r="M750" s="1" t="s">
        <v>40</v>
      </c>
      <c r="N750" s="2">
        <v>45658</v>
      </c>
      <c r="O750">
        <v>2025</v>
      </c>
      <c r="P750">
        <v>1</v>
      </c>
      <c r="Q750" s="1" t="s">
        <v>33</v>
      </c>
    </row>
    <row r="751" spans="1:17" x14ac:dyDescent="0.3">
      <c r="A751" s="1" t="s">
        <v>816</v>
      </c>
      <c r="B751" s="1" t="s">
        <v>26</v>
      </c>
      <c r="C751" s="1" t="s">
        <v>67</v>
      </c>
      <c r="D751" s="1" t="s">
        <v>51</v>
      </c>
      <c r="E751" s="1" t="s">
        <v>21</v>
      </c>
      <c r="F751" s="1" t="s">
        <v>38</v>
      </c>
      <c r="G751" s="2">
        <v>45803</v>
      </c>
      <c r="H751" s="2">
        <v>45809</v>
      </c>
      <c r="I751" s="1" t="s">
        <v>82</v>
      </c>
      <c r="J751">
        <v>3</v>
      </c>
      <c r="K751">
        <v>6</v>
      </c>
      <c r="L751">
        <v>10</v>
      </c>
      <c r="M751" s="1" t="s">
        <v>24</v>
      </c>
      <c r="N751" s="2">
        <v>45778</v>
      </c>
      <c r="O751">
        <v>2025</v>
      </c>
      <c r="P751">
        <v>2</v>
      </c>
      <c r="Q751" s="1" t="s">
        <v>24</v>
      </c>
    </row>
    <row r="752" spans="1:17" x14ac:dyDescent="0.3">
      <c r="A752" s="1" t="s">
        <v>817</v>
      </c>
      <c r="B752" s="1" t="s">
        <v>42</v>
      </c>
      <c r="C752" s="1" t="s">
        <v>81</v>
      </c>
      <c r="D752" s="1" t="s">
        <v>44</v>
      </c>
      <c r="E752" s="1" t="s">
        <v>21</v>
      </c>
      <c r="F752" s="1" t="s">
        <v>38</v>
      </c>
      <c r="G752" s="2">
        <v>45769</v>
      </c>
      <c r="H752" s="2">
        <v>45774</v>
      </c>
      <c r="I752" s="1" t="s">
        <v>23</v>
      </c>
      <c r="J752">
        <v>4</v>
      </c>
      <c r="K752">
        <v>5</v>
      </c>
      <c r="L752">
        <v>7</v>
      </c>
      <c r="M752" s="1" t="s">
        <v>24</v>
      </c>
      <c r="N752" s="2">
        <v>45748</v>
      </c>
      <c r="O752">
        <v>2025</v>
      </c>
      <c r="P752">
        <v>2</v>
      </c>
      <c r="Q752" s="1" t="s">
        <v>24</v>
      </c>
    </row>
    <row r="753" spans="1:17" x14ac:dyDescent="0.3">
      <c r="A753" s="1" t="s">
        <v>818</v>
      </c>
      <c r="B753" s="1" t="s">
        <v>26</v>
      </c>
      <c r="C753" s="1" t="s">
        <v>54</v>
      </c>
      <c r="D753" s="1" t="s">
        <v>51</v>
      </c>
      <c r="E753" s="1" t="s">
        <v>37</v>
      </c>
      <c r="F753" s="1" t="s">
        <v>22</v>
      </c>
      <c r="G753" s="2">
        <v>45989</v>
      </c>
      <c r="H753" s="2"/>
      <c r="I753" s="1" t="s">
        <v>28</v>
      </c>
      <c r="L753">
        <v>10</v>
      </c>
      <c r="M753" s="1" t="s">
        <v>40</v>
      </c>
      <c r="N753" s="2">
        <v>45962</v>
      </c>
      <c r="O753">
        <v>2025</v>
      </c>
      <c r="P753">
        <v>4</v>
      </c>
      <c r="Q753" s="1" t="s">
        <v>33</v>
      </c>
    </row>
    <row r="754" spans="1:17" x14ac:dyDescent="0.3">
      <c r="A754" s="1" t="s">
        <v>819</v>
      </c>
      <c r="B754" s="1" t="s">
        <v>42</v>
      </c>
      <c r="C754" s="1" t="s">
        <v>76</v>
      </c>
      <c r="D754" s="1" t="s">
        <v>51</v>
      </c>
      <c r="E754" s="1" t="s">
        <v>21</v>
      </c>
      <c r="F754" s="1" t="s">
        <v>52</v>
      </c>
      <c r="G754" s="2">
        <v>45696</v>
      </c>
      <c r="H754" s="2">
        <v>45705</v>
      </c>
      <c r="I754" s="1" t="s">
        <v>39</v>
      </c>
      <c r="J754">
        <v>5</v>
      </c>
      <c r="K754">
        <v>9</v>
      </c>
      <c r="L754">
        <v>10</v>
      </c>
      <c r="M754" s="1" t="s">
        <v>24</v>
      </c>
      <c r="N754" s="2">
        <v>45689</v>
      </c>
      <c r="O754">
        <v>2025</v>
      </c>
      <c r="P754">
        <v>1</v>
      </c>
      <c r="Q754" s="1" t="s">
        <v>24</v>
      </c>
    </row>
    <row r="755" spans="1:17" x14ac:dyDescent="0.3">
      <c r="A755" s="1" t="s">
        <v>820</v>
      </c>
      <c r="B755" s="1" t="s">
        <v>18</v>
      </c>
      <c r="C755" s="1" t="s">
        <v>56</v>
      </c>
      <c r="D755" s="1" t="s">
        <v>51</v>
      </c>
      <c r="E755" s="1" t="s">
        <v>37</v>
      </c>
      <c r="F755" s="1" t="s">
        <v>38</v>
      </c>
      <c r="G755" s="2">
        <v>45799</v>
      </c>
      <c r="H755" s="2"/>
      <c r="I755" s="1" t="s">
        <v>39</v>
      </c>
      <c r="L755">
        <v>10</v>
      </c>
      <c r="M755" s="1" t="s">
        <v>40</v>
      </c>
      <c r="N755" s="2">
        <v>45778</v>
      </c>
      <c r="O755">
        <v>2025</v>
      </c>
      <c r="P755">
        <v>2</v>
      </c>
      <c r="Q755" s="1" t="s">
        <v>33</v>
      </c>
    </row>
    <row r="756" spans="1:17" x14ac:dyDescent="0.3">
      <c r="A756" s="1" t="s">
        <v>821</v>
      </c>
      <c r="B756" s="1" t="s">
        <v>58</v>
      </c>
      <c r="C756" s="1" t="s">
        <v>59</v>
      </c>
      <c r="D756" s="1" t="s">
        <v>71</v>
      </c>
      <c r="E756" s="1" t="s">
        <v>21</v>
      </c>
      <c r="F756" s="1" t="s">
        <v>31</v>
      </c>
      <c r="G756" s="2">
        <v>45793</v>
      </c>
      <c r="H756" s="2">
        <v>45794</v>
      </c>
      <c r="I756" s="1" t="s">
        <v>28</v>
      </c>
      <c r="J756">
        <v>4</v>
      </c>
      <c r="K756">
        <v>1</v>
      </c>
      <c r="L756">
        <v>3</v>
      </c>
      <c r="M756" s="1" t="s">
        <v>24</v>
      </c>
      <c r="N756" s="2">
        <v>45778</v>
      </c>
      <c r="O756">
        <v>2025</v>
      </c>
      <c r="P756">
        <v>2</v>
      </c>
      <c r="Q756" s="1" t="s">
        <v>24</v>
      </c>
    </row>
    <row r="757" spans="1:17" x14ac:dyDescent="0.3">
      <c r="A757" s="1" t="s">
        <v>822</v>
      </c>
      <c r="B757" s="1" t="s">
        <v>26</v>
      </c>
      <c r="C757" s="1" t="s">
        <v>27</v>
      </c>
      <c r="D757" s="1" t="s">
        <v>20</v>
      </c>
      <c r="E757" s="1" t="s">
        <v>21</v>
      </c>
      <c r="F757" s="1" t="s">
        <v>61</v>
      </c>
      <c r="G757" s="2">
        <v>45731</v>
      </c>
      <c r="H757" s="2">
        <v>45742</v>
      </c>
      <c r="I757" s="1" t="s">
        <v>82</v>
      </c>
      <c r="J757">
        <v>5</v>
      </c>
      <c r="K757">
        <v>11</v>
      </c>
      <c r="L757">
        <v>14</v>
      </c>
      <c r="M757" s="1" t="s">
        <v>24</v>
      </c>
      <c r="N757" s="2">
        <v>45717</v>
      </c>
      <c r="O757">
        <v>2025</v>
      </c>
      <c r="P757">
        <v>1</v>
      </c>
      <c r="Q757" s="1" t="s">
        <v>24</v>
      </c>
    </row>
    <row r="758" spans="1:17" x14ac:dyDescent="0.3">
      <c r="A758" s="1" t="s">
        <v>823</v>
      </c>
      <c r="B758" s="1" t="s">
        <v>18</v>
      </c>
      <c r="C758" s="1" t="s">
        <v>19</v>
      </c>
      <c r="D758" s="1" t="s">
        <v>44</v>
      </c>
      <c r="E758" s="1" t="s">
        <v>21</v>
      </c>
      <c r="F758" s="1" t="s">
        <v>22</v>
      </c>
      <c r="G758" s="2">
        <v>45710</v>
      </c>
      <c r="H758" s="2">
        <v>45711</v>
      </c>
      <c r="I758" s="1" t="s">
        <v>32</v>
      </c>
      <c r="J758">
        <v>2</v>
      </c>
      <c r="K758">
        <v>1</v>
      </c>
      <c r="L758">
        <v>7</v>
      </c>
      <c r="M758" s="1" t="s">
        <v>24</v>
      </c>
      <c r="N758" s="2">
        <v>45689</v>
      </c>
      <c r="O758">
        <v>2025</v>
      </c>
      <c r="P758">
        <v>1</v>
      </c>
      <c r="Q758" s="1" t="s">
        <v>24</v>
      </c>
    </row>
    <row r="759" spans="1:17" x14ac:dyDescent="0.3">
      <c r="A759" s="1" t="s">
        <v>824</v>
      </c>
      <c r="B759" s="1" t="s">
        <v>58</v>
      </c>
      <c r="C759" s="1" t="s">
        <v>70</v>
      </c>
      <c r="D759" s="1" t="s">
        <v>44</v>
      </c>
      <c r="E759" s="1" t="s">
        <v>21</v>
      </c>
      <c r="F759" s="1" t="s">
        <v>31</v>
      </c>
      <c r="G759" s="2">
        <v>45985</v>
      </c>
      <c r="H759" s="2">
        <v>45986</v>
      </c>
      <c r="I759" s="1" t="s">
        <v>32</v>
      </c>
      <c r="J759">
        <v>5</v>
      </c>
      <c r="K759">
        <v>1</v>
      </c>
      <c r="L759">
        <v>7</v>
      </c>
      <c r="M759" s="1" t="s">
        <v>24</v>
      </c>
      <c r="N759" s="2">
        <v>45962</v>
      </c>
      <c r="O759">
        <v>2025</v>
      </c>
      <c r="P759">
        <v>4</v>
      </c>
      <c r="Q759" s="1" t="s">
        <v>24</v>
      </c>
    </row>
    <row r="760" spans="1:17" x14ac:dyDescent="0.3">
      <c r="A760" s="1" t="s">
        <v>825</v>
      </c>
      <c r="B760" s="1" t="s">
        <v>63</v>
      </c>
      <c r="C760" s="1" t="s">
        <v>84</v>
      </c>
      <c r="D760" s="1" t="s">
        <v>44</v>
      </c>
      <c r="E760" s="1" t="s">
        <v>21</v>
      </c>
      <c r="F760" s="1" t="s">
        <v>31</v>
      </c>
      <c r="G760" s="2">
        <v>45921</v>
      </c>
      <c r="H760" s="2">
        <v>45927</v>
      </c>
      <c r="I760" s="1" t="s">
        <v>39</v>
      </c>
      <c r="J760">
        <v>5</v>
      </c>
      <c r="K760">
        <v>6</v>
      </c>
      <c r="L760">
        <v>7</v>
      </c>
      <c r="M760" s="1" t="s">
        <v>24</v>
      </c>
      <c r="N760" s="2">
        <v>45901</v>
      </c>
      <c r="O760">
        <v>2025</v>
      </c>
      <c r="P760">
        <v>3</v>
      </c>
      <c r="Q760" s="1" t="s">
        <v>24</v>
      </c>
    </row>
    <row r="761" spans="1:17" x14ac:dyDescent="0.3">
      <c r="A761" s="1" t="s">
        <v>826</v>
      </c>
      <c r="B761" s="1" t="s">
        <v>58</v>
      </c>
      <c r="C761" s="1" t="s">
        <v>145</v>
      </c>
      <c r="D761" s="1" t="s">
        <v>44</v>
      </c>
      <c r="E761" s="1" t="s">
        <v>37</v>
      </c>
      <c r="F761" s="1" t="s">
        <v>22</v>
      </c>
      <c r="G761" s="2">
        <v>45693</v>
      </c>
      <c r="H761" s="2"/>
      <c r="I761" s="1" t="s">
        <v>28</v>
      </c>
      <c r="L761">
        <v>7</v>
      </c>
      <c r="M761" s="1" t="s">
        <v>40</v>
      </c>
      <c r="N761" s="2">
        <v>45689</v>
      </c>
      <c r="O761">
        <v>2025</v>
      </c>
      <c r="P761">
        <v>1</v>
      </c>
      <c r="Q761" s="1" t="s">
        <v>33</v>
      </c>
    </row>
    <row r="762" spans="1:17" x14ac:dyDescent="0.3">
      <c r="A762" s="1" t="s">
        <v>827</v>
      </c>
      <c r="B762" s="1" t="s">
        <v>42</v>
      </c>
      <c r="C762" s="1" t="s">
        <v>87</v>
      </c>
      <c r="D762" s="1" t="s">
        <v>71</v>
      </c>
      <c r="E762" s="1" t="s">
        <v>37</v>
      </c>
      <c r="F762" s="1" t="s">
        <v>38</v>
      </c>
      <c r="G762" s="2">
        <v>45904</v>
      </c>
      <c r="H762" s="2"/>
      <c r="I762" s="1" t="s">
        <v>82</v>
      </c>
      <c r="L762">
        <v>3</v>
      </c>
      <c r="M762" s="1" t="s">
        <v>40</v>
      </c>
      <c r="N762" s="2">
        <v>45901</v>
      </c>
      <c r="O762">
        <v>2025</v>
      </c>
      <c r="P762">
        <v>3</v>
      </c>
      <c r="Q762" s="1" t="s">
        <v>33</v>
      </c>
    </row>
    <row r="763" spans="1:17" x14ac:dyDescent="0.3">
      <c r="A763" s="1" t="s">
        <v>828</v>
      </c>
      <c r="B763" s="1" t="s">
        <v>26</v>
      </c>
      <c r="C763" s="1" t="s">
        <v>123</v>
      </c>
      <c r="D763" s="1" t="s">
        <v>51</v>
      </c>
      <c r="E763" s="1" t="s">
        <v>21</v>
      </c>
      <c r="F763" s="1" t="s">
        <v>52</v>
      </c>
      <c r="G763" s="2">
        <v>45686</v>
      </c>
      <c r="H763" s="2">
        <v>45689</v>
      </c>
      <c r="I763" s="1" t="s">
        <v>23</v>
      </c>
      <c r="J763">
        <v>4</v>
      </c>
      <c r="K763">
        <v>3</v>
      </c>
      <c r="L763">
        <v>10</v>
      </c>
      <c r="M763" s="1" t="s">
        <v>24</v>
      </c>
      <c r="N763" s="2">
        <v>45658</v>
      </c>
      <c r="O763">
        <v>2025</v>
      </c>
      <c r="P763">
        <v>1</v>
      </c>
      <c r="Q763" s="1" t="s">
        <v>24</v>
      </c>
    </row>
    <row r="764" spans="1:17" x14ac:dyDescent="0.3">
      <c r="A764" s="1" t="s">
        <v>829</v>
      </c>
      <c r="B764" s="1" t="s">
        <v>58</v>
      </c>
      <c r="C764" s="1" t="s">
        <v>59</v>
      </c>
      <c r="D764" s="1" t="s">
        <v>51</v>
      </c>
      <c r="E764" s="1" t="s">
        <v>21</v>
      </c>
      <c r="F764" s="1" t="s">
        <v>52</v>
      </c>
      <c r="G764" s="2">
        <v>45678</v>
      </c>
      <c r="H764" s="2">
        <v>45686</v>
      </c>
      <c r="I764" s="1" t="s">
        <v>39</v>
      </c>
      <c r="J764">
        <v>5</v>
      </c>
      <c r="K764">
        <v>8</v>
      </c>
      <c r="L764">
        <v>10</v>
      </c>
      <c r="M764" s="1" t="s">
        <v>24</v>
      </c>
      <c r="N764" s="2">
        <v>45658</v>
      </c>
      <c r="O764">
        <v>2025</v>
      </c>
      <c r="P764">
        <v>1</v>
      </c>
      <c r="Q764" s="1" t="s">
        <v>24</v>
      </c>
    </row>
    <row r="765" spans="1:17" x14ac:dyDescent="0.3">
      <c r="A765" s="1" t="s">
        <v>830</v>
      </c>
      <c r="B765" s="1" t="s">
        <v>42</v>
      </c>
      <c r="C765" s="1" t="s">
        <v>43</v>
      </c>
      <c r="D765" s="1" t="s">
        <v>51</v>
      </c>
      <c r="E765" s="1" t="s">
        <v>48</v>
      </c>
      <c r="F765" s="1" t="s">
        <v>61</v>
      </c>
      <c r="G765" s="2">
        <v>45882</v>
      </c>
      <c r="H765" s="2"/>
      <c r="I765" s="1" t="s">
        <v>28</v>
      </c>
      <c r="L765">
        <v>10</v>
      </c>
      <c r="M765" s="1" t="s">
        <v>40</v>
      </c>
      <c r="N765" s="2">
        <v>45870</v>
      </c>
      <c r="O765">
        <v>2025</v>
      </c>
      <c r="P765">
        <v>3</v>
      </c>
      <c r="Q765" s="1" t="s">
        <v>33</v>
      </c>
    </row>
    <row r="766" spans="1:17" x14ac:dyDescent="0.3">
      <c r="A766" s="1" t="s">
        <v>831</v>
      </c>
      <c r="B766" s="1" t="s">
        <v>42</v>
      </c>
      <c r="C766" s="1" t="s">
        <v>76</v>
      </c>
      <c r="D766" s="1" t="s">
        <v>20</v>
      </c>
      <c r="E766" s="1" t="s">
        <v>48</v>
      </c>
      <c r="F766" s="1" t="s">
        <v>31</v>
      </c>
      <c r="G766" s="2">
        <v>45780</v>
      </c>
      <c r="H766" s="2"/>
      <c r="I766" s="1" t="s">
        <v>39</v>
      </c>
      <c r="L766">
        <v>14</v>
      </c>
      <c r="M766" s="1" t="s">
        <v>40</v>
      </c>
      <c r="N766" s="2">
        <v>45778</v>
      </c>
      <c r="O766">
        <v>2025</v>
      </c>
      <c r="P766">
        <v>2</v>
      </c>
      <c r="Q766" s="1" t="s">
        <v>33</v>
      </c>
    </row>
    <row r="767" spans="1:17" x14ac:dyDescent="0.3">
      <c r="A767" s="1" t="s">
        <v>832</v>
      </c>
      <c r="B767" s="1" t="s">
        <v>42</v>
      </c>
      <c r="C767" s="1" t="s">
        <v>43</v>
      </c>
      <c r="D767" s="1" t="s">
        <v>51</v>
      </c>
      <c r="E767" s="1" t="s">
        <v>48</v>
      </c>
      <c r="F767" s="1" t="s">
        <v>38</v>
      </c>
      <c r="G767" s="2">
        <v>45888</v>
      </c>
      <c r="H767" s="2"/>
      <c r="I767" s="1" t="s">
        <v>23</v>
      </c>
      <c r="L767">
        <v>10</v>
      </c>
      <c r="M767" s="1" t="s">
        <v>40</v>
      </c>
      <c r="N767" s="2">
        <v>45870</v>
      </c>
      <c r="O767">
        <v>2025</v>
      </c>
      <c r="P767">
        <v>3</v>
      </c>
      <c r="Q767" s="1" t="s">
        <v>33</v>
      </c>
    </row>
    <row r="768" spans="1:17" x14ac:dyDescent="0.3">
      <c r="A768" s="1" t="s">
        <v>833</v>
      </c>
      <c r="B768" s="1" t="s">
        <v>35</v>
      </c>
      <c r="C768" s="1" t="s">
        <v>99</v>
      </c>
      <c r="D768" s="1" t="s">
        <v>51</v>
      </c>
      <c r="E768" s="1" t="s">
        <v>21</v>
      </c>
      <c r="F768" s="1" t="s">
        <v>22</v>
      </c>
      <c r="G768" s="2">
        <v>45865</v>
      </c>
      <c r="H768" s="2">
        <v>45868</v>
      </c>
      <c r="I768" s="1" t="s">
        <v>39</v>
      </c>
      <c r="J768">
        <v>3</v>
      </c>
      <c r="K768">
        <v>3</v>
      </c>
      <c r="L768">
        <v>10</v>
      </c>
      <c r="M768" s="1" t="s">
        <v>24</v>
      </c>
      <c r="N768" s="2">
        <v>45839</v>
      </c>
      <c r="O768">
        <v>2025</v>
      </c>
      <c r="P768">
        <v>3</v>
      </c>
      <c r="Q768" s="1" t="s">
        <v>24</v>
      </c>
    </row>
    <row r="769" spans="1:17" x14ac:dyDescent="0.3">
      <c r="A769" s="1" t="s">
        <v>834</v>
      </c>
      <c r="B769" s="1" t="s">
        <v>18</v>
      </c>
      <c r="C769" s="1" t="s">
        <v>47</v>
      </c>
      <c r="D769" s="1" t="s">
        <v>44</v>
      </c>
      <c r="E769" s="1" t="s">
        <v>21</v>
      </c>
      <c r="F769" s="1" t="s">
        <v>31</v>
      </c>
      <c r="G769" s="2">
        <v>45694</v>
      </c>
      <c r="H769" s="2">
        <v>45695</v>
      </c>
      <c r="I769" s="1" t="s">
        <v>23</v>
      </c>
      <c r="J769">
        <v>5</v>
      </c>
      <c r="K769">
        <v>1</v>
      </c>
      <c r="L769">
        <v>7</v>
      </c>
      <c r="M769" s="1" t="s">
        <v>24</v>
      </c>
      <c r="N769" s="2">
        <v>45689</v>
      </c>
      <c r="O769">
        <v>2025</v>
      </c>
      <c r="P769">
        <v>1</v>
      </c>
      <c r="Q769" s="1" t="s">
        <v>24</v>
      </c>
    </row>
    <row r="770" spans="1:17" x14ac:dyDescent="0.3">
      <c r="A770" s="1" t="s">
        <v>835</v>
      </c>
      <c r="B770" s="1" t="s">
        <v>58</v>
      </c>
      <c r="C770" s="1" t="s">
        <v>70</v>
      </c>
      <c r="D770" s="1" t="s">
        <v>20</v>
      </c>
      <c r="E770" s="1" t="s">
        <v>21</v>
      </c>
      <c r="F770" s="1" t="s">
        <v>52</v>
      </c>
      <c r="G770" s="2">
        <v>45665</v>
      </c>
      <c r="H770" s="2">
        <v>45670</v>
      </c>
      <c r="I770" s="1" t="s">
        <v>23</v>
      </c>
      <c r="J770">
        <v>4</v>
      </c>
      <c r="K770">
        <v>5</v>
      </c>
      <c r="L770">
        <v>14</v>
      </c>
      <c r="M770" s="1" t="s">
        <v>24</v>
      </c>
      <c r="N770" s="2">
        <v>45658</v>
      </c>
      <c r="O770">
        <v>2025</v>
      </c>
      <c r="P770">
        <v>1</v>
      </c>
      <c r="Q770" s="1" t="s">
        <v>24</v>
      </c>
    </row>
    <row r="771" spans="1:17" x14ac:dyDescent="0.3">
      <c r="A771" s="1" t="s">
        <v>836</v>
      </c>
      <c r="B771" s="1" t="s">
        <v>58</v>
      </c>
      <c r="C771" s="1" t="s">
        <v>108</v>
      </c>
      <c r="D771" s="1" t="s">
        <v>44</v>
      </c>
      <c r="E771" s="1" t="s">
        <v>21</v>
      </c>
      <c r="F771" s="1" t="s">
        <v>22</v>
      </c>
      <c r="G771" s="2">
        <v>45712</v>
      </c>
      <c r="H771" s="2">
        <v>45713</v>
      </c>
      <c r="I771" s="1" t="s">
        <v>28</v>
      </c>
      <c r="J771">
        <v>4</v>
      </c>
      <c r="K771">
        <v>1</v>
      </c>
      <c r="L771">
        <v>7</v>
      </c>
      <c r="M771" s="1" t="s">
        <v>24</v>
      </c>
      <c r="N771" s="2">
        <v>45689</v>
      </c>
      <c r="O771">
        <v>2025</v>
      </c>
      <c r="P771">
        <v>1</v>
      </c>
      <c r="Q771" s="1" t="s">
        <v>24</v>
      </c>
    </row>
    <row r="772" spans="1:17" x14ac:dyDescent="0.3">
      <c r="A772" s="1" t="s">
        <v>837</v>
      </c>
      <c r="B772" s="1" t="s">
        <v>42</v>
      </c>
      <c r="C772" s="1" t="s">
        <v>76</v>
      </c>
      <c r="D772" s="1" t="s">
        <v>51</v>
      </c>
      <c r="E772" s="1" t="s">
        <v>37</v>
      </c>
      <c r="F772" s="1" t="s">
        <v>31</v>
      </c>
      <c r="G772" s="2">
        <v>46005</v>
      </c>
      <c r="H772" s="2"/>
      <c r="I772" s="1" t="s">
        <v>32</v>
      </c>
      <c r="L772">
        <v>10</v>
      </c>
      <c r="M772" s="1" t="s">
        <v>40</v>
      </c>
      <c r="N772" s="2">
        <v>45992</v>
      </c>
      <c r="O772">
        <v>2025</v>
      </c>
      <c r="P772">
        <v>4</v>
      </c>
      <c r="Q772" s="1" t="s">
        <v>33</v>
      </c>
    </row>
    <row r="773" spans="1:17" x14ac:dyDescent="0.3">
      <c r="A773" s="1" t="s">
        <v>838</v>
      </c>
      <c r="B773" s="1" t="s">
        <v>42</v>
      </c>
      <c r="C773" s="1" t="s">
        <v>76</v>
      </c>
      <c r="D773" s="1" t="s">
        <v>51</v>
      </c>
      <c r="E773" s="1" t="s">
        <v>48</v>
      </c>
      <c r="F773" s="1" t="s">
        <v>38</v>
      </c>
      <c r="G773" s="2">
        <v>45767</v>
      </c>
      <c r="H773" s="2"/>
      <c r="I773" s="1" t="s">
        <v>82</v>
      </c>
      <c r="L773">
        <v>10</v>
      </c>
      <c r="M773" s="1" t="s">
        <v>40</v>
      </c>
      <c r="N773" s="2">
        <v>45748</v>
      </c>
      <c r="O773">
        <v>2025</v>
      </c>
      <c r="P773">
        <v>2</v>
      </c>
      <c r="Q773" s="1" t="s">
        <v>33</v>
      </c>
    </row>
    <row r="774" spans="1:17" x14ac:dyDescent="0.3">
      <c r="A774" s="1" t="s">
        <v>839</v>
      </c>
      <c r="B774" s="1" t="s">
        <v>63</v>
      </c>
      <c r="C774" s="1" t="s">
        <v>84</v>
      </c>
      <c r="D774" s="1" t="s">
        <v>20</v>
      </c>
      <c r="E774" s="1" t="s">
        <v>21</v>
      </c>
      <c r="F774" s="1" t="s">
        <v>22</v>
      </c>
      <c r="G774" s="2">
        <v>45870</v>
      </c>
      <c r="H774" s="2">
        <v>45875</v>
      </c>
      <c r="I774" s="1" t="s">
        <v>28</v>
      </c>
      <c r="J774">
        <v>5</v>
      </c>
      <c r="K774">
        <v>5</v>
      </c>
      <c r="L774">
        <v>14</v>
      </c>
      <c r="M774" s="1" t="s">
        <v>24</v>
      </c>
      <c r="N774" s="2">
        <v>45870</v>
      </c>
      <c r="O774">
        <v>2025</v>
      </c>
      <c r="P774">
        <v>3</v>
      </c>
      <c r="Q774" s="1" t="s">
        <v>24</v>
      </c>
    </row>
    <row r="775" spans="1:17" x14ac:dyDescent="0.3">
      <c r="A775" s="1" t="s">
        <v>840</v>
      </c>
      <c r="B775" s="1" t="s">
        <v>58</v>
      </c>
      <c r="C775" s="1" t="s">
        <v>108</v>
      </c>
      <c r="D775" s="1" t="s">
        <v>44</v>
      </c>
      <c r="E775" s="1" t="s">
        <v>21</v>
      </c>
      <c r="F775" s="1" t="s">
        <v>22</v>
      </c>
      <c r="G775" s="2">
        <v>45709</v>
      </c>
      <c r="H775" s="2">
        <v>45716</v>
      </c>
      <c r="I775" s="1" t="s">
        <v>39</v>
      </c>
      <c r="J775">
        <v>5</v>
      </c>
      <c r="K775">
        <v>7</v>
      </c>
      <c r="L775">
        <v>7</v>
      </c>
      <c r="M775" s="1" t="s">
        <v>24</v>
      </c>
      <c r="N775" s="2">
        <v>45689</v>
      </c>
      <c r="O775">
        <v>2025</v>
      </c>
      <c r="P775">
        <v>1</v>
      </c>
      <c r="Q775" s="1" t="s">
        <v>24</v>
      </c>
    </row>
    <row r="776" spans="1:17" x14ac:dyDescent="0.3">
      <c r="A776" s="1" t="s">
        <v>841</v>
      </c>
      <c r="B776" s="1" t="s">
        <v>63</v>
      </c>
      <c r="C776" s="1" t="s">
        <v>74</v>
      </c>
      <c r="D776" s="1" t="s">
        <v>44</v>
      </c>
      <c r="E776" s="1" t="s">
        <v>21</v>
      </c>
      <c r="F776" s="1" t="s">
        <v>22</v>
      </c>
      <c r="G776" s="2">
        <v>45661</v>
      </c>
      <c r="H776" s="2">
        <v>45663</v>
      </c>
      <c r="I776" s="1" t="s">
        <v>32</v>
      </c>
      <c r="J776">
        <v>5</v>
      </c>
      <c r="K776">
        <v>2</v>
      </c>
      <c r="L776">
        <v>7</v>
      </c>
      <c r="M776" s="1" t="s">
        <v>24</v>
      </c>
      <c r="N776" s="2">
        <v>45658</v>
      </c>
      <c r="O776">
        <v>2025</v>
      </c>
      <c r="P776">
        <v>1</v>
      </c>
      <c r="Q776" s="1" t="s">
        <v>24</v>
      </c>
    </row>
    <row r="777" spans="1:17" x14ac:dyDescent="0.3">
      <c r="A777" s="1" t="s">
        <v>842</v>
      </c>
      <c r="B777" s="1" t="s">
        <v>58</v>
      </c>
      <c r="C777" s="1" t="s">
        <v>145</v>
      </c>
      <c r="D777" s="1" t="s">
        <v>51</v>
      </c>
      <c r="E777" s="1" t="s">
        <v>21</v>
      </c>
      <c r="F777" s="1" t="s">
        <v>31</v>
      </c>
      <c r="G777" s="2">
        <v>45985</v>
      </c>
      <c r="H777" s="2">
        <v>45991</v>
      </c>
      <c r="I777" s="1" t="s">
        <v>28</v>
      </c>
      <c r="J777">
        <v>4</v>
      </c>
      <c r="K777">
        <v>6</v>
      </c>
      <c r="L777">
        <v>10</v>
      </c>
      <c r="M777" s="1" t="s">
        <v>24</v>
      </c>
      <c r="N777" s="2">
        <v>45962</v>
      </c>
      <c r="O777">
        <v>2025</v>
      </c>
      <c r="P777">
        <v>4</v>
      </c>
      <c r="Q777" s="1" t="s">
        <v>24</v>
      </c>
    </row>
    <row r="778" spans="1:17" x14ac:dyDescent="0.3">
      <c r="A778" s="1" t="s">
        <v>843</v>
      </c>
      <c r="B778" s="1" t="s">
        <v>63</v>
      </c>
      <c r="C778" s="1" t="s">
        <v>74</v>
      </c>
      <c r="D778" s="1" t="s">
        <v>51</v>
      </c>
      <c r="E778" s="1" t="s">
        <v>21</v>
      </c>
      <c r="F778" s="1" t="s">
        <v>52</v>
      </c>
      <c r="G778" s="2">
        <v>45971</v>
      </c>
      <c r="H778" s="2">
        <v>45974</v>
      </c>
      <c r="I778" s="1" t="s">
        <v>32</v>
      </c>
      <c r="J778">
        <v>4</v>
      </c>
      <c r="K778">
        <v>3</v>
      </c>
      <c r="L778">
        <v>10</v>
      </c>
      <c r="M778" s="1" t="s">
        <v>24</v>
      </c>
      <c r="N778" s="2">
        <v>45962</v>
      </c>
      <c r="O778">
        <v>2025</v>
      </c>
      <c r="P778">
        <v>4</v>
      </c>
      <c r="Q778" s="1" t="s">
        <v>24</v>
      </c>
    </row>
    <row r="779" spans="1:17" x14ac:dyDescent="0.3">
      <c r="A779" s="1" t="s">
        <v>844</v>
      </c>
      <c r="B779" s="1" t="s">
        <v>58</v>
      </c>
      <c r="C779" s="1" t="s">
        <v>70</v>
      </c>
      <c r="D779" s="1" t="s">
        <v>51</v>
      </c>
      <c r="E779" s="1" t="s">
        <v>21</v>
      </c>
      <c r="F779" s="1" t="s">
        <v>22</v>
      </c>
      <c r="G779" s="2">
        <v>45929</v>
      </c>
      <c r="H779" s="2">
        <v>45932</v>
      </c>
      <c r="I779" s="1" t="s">
        <v>82</v>
      </c>
      <c r="J779">
        <v>4</v>
      </c>
      <c r="K779">
        <v>3</v>
      </c>
      <c r="L779">
        <v>10</v>
      </c>
      <c r="M779" s="1" t="s">
        <v>24</v>
      </c>
      <c r="N779" s="2">
        <v>45901</v>
      </c>
      <c r="O779">
        <v>2025</v>
      </c>
      <c r="P779">
        <v>3</v>
      </c>
      <c r="Q779" s="1" t="s">
        <v>24</v>
      </c>
    </row>
    <row r="780" spans="1:17" x14ac:dyDescent="0.3">
      <c r="A780" s="1" t="s">
        <v>845</v>
      </c>
      <c r="B780" s="1" t="s">
        <v>63</v>
      </c>
      <c r="C780" s="1" t="s">
        <v>89</v>
      </c>
      <c r="D780" s="1" t="s">
        <v>44</v>
      </c>
      <c r="E780" s="1" t="s">
        <v>21</v>
      </c>
      <c r="F780" s="1" t="s">
        <v>61</v>
      </c>
      <c r="G780" s="2">
        <v>45799</v>
      </c>
      <c r="H780" s="2">
        <v>45800</v>
      </c>
      <c r="I780" s="1" t="s">
        <v>39</v>
      </c>
      <c r="J780">
        <v>3</v>
      </c>
      <c r="K780">
        <v>1</v>
      </c>
      <c r="L780">
        <v>7</v>
      </c>
      <c r="M780" s="1" t="s">
        <v>24</v>
      </c>
      <c r="N780" s="2">
        <v>45778</v>
      </c>
      <c r="O780">
        <v>2025</v>
      </c>
      <c r="P780">
        <v>2</v>
      </c>
      <c r="Q780" s="1" t="s">
        <v>24</v>
      </c>
    </row>
    <row r="781" spans="1:17" x14ac:dyDescent="0.3">
      <c r="A781" s="1" t="s">
        <v>846</v>
      </c>
      <c r="B781" s="1" t="s">
        <v>58</v>
      </c>
      <c r="C781" s="1" t="s">
        <v>108</v>
      </c>
      <c r="D781" s="1" t="s">
        <v>20</v>
      </c>
      <c r="E781" s="1" t="s">
        <v>48</v>
      </c>
      <c r="F781" s="1" t="s">
        <v>52</v>
      </c>
      <c r="G781" s="2">
        <v>45685</v>
      </c>
      <c r="H781" s="2"/>
      <c r="I781" s="1" t="s">
        <v>32</v>
      </c>
      <c r="L781">
        <v>14</v>
      </c>
      <c r="M781" s="1" t="s">
        <v>40</v>
      </c>
      <c r="N781" s="2">
        <v>45658</v>
      </c>
      <c r="O781">
        <v>2025</v>
      </c>
      <c r="P781">
        <v>1</v>
      </c>
      <c r="Q781" s="1" t="s">
        <v>33</v>
      </c>
    </row>
    <row r="782" spans="1:17" x14ac:dyDescent="0.3">
      <c r="A782" s="1" t="s">
        <v>847</v>
      </c>
      <c r="B782" s="1" t="s">
        <v>63</v>
      </c>
      <c r="C782" s="1" t="s">
        <v>89</v>
      </c>
      <c r="D782" s="1" t="s">
        <v>51</v>
      </c>
      <c r="E782" s="1" t="s">
        <v>21</v>
      </c>
      <c r="F782" s="1" t="s">
        <v>38</v>
      </c>
      <c r="G782" s="2">
        <v>45890</v>
      </c>
      <c r="H782" s="2">
        <v>45892</v>
      </c>
      <c r="I782" s="1" t="s">
        <v>82</v>
      </c>
      <c r="J782">
        <v>2</v>
      </c>
      <c r="K782">
        <v>2</v>
      </c>
      <c r="L782">
        <v>10</v>
      </c>
      <c r="M782" s="1" t="s">
        <v>24</v>
      </c>
      <c r="N782" s="2">
        <v>45870</v>
      </c>
      <c r="O782">
        <v>2025</v>
      </c>
      <c r="P782">
        <v>3</v>
      </c>
      <c r="Q782" s="1" t="s">
        <v>24</v>
      </c>
    </row>
    <row r="783" spans="1:17" x14ac:dyDescent="0.3">
      <c r="A783" s="1" t="s">
        <v>848</v>
      </c>
      <c r="B783" s="1" t="s">
        <v>63</v>
      </c>
      <c r="C783" s="1" t="s">
        <v>64</v>
      </c>
      <c r="D783" s="1" t="s">
        <v>44</v>
      </c>
      <c r="E783" s="1" t="s">
        <v>21</v>
      </c>
      <c r="F783" s="1" t="s">
        <v>31</v>
      </c>
      <c r="G783" s="2">
        <v>45717</v>
      </c>
      <c r="H783" s="2">
        <v>45718</v>
      </c>
      <c r="I783" s="1" t="s">
        <v>82</v>
      </c>
      <c r="J783">
        <v>5</v>
      </c>
      <c r="K783">
        <v>1</v>
      </c>
      <c r="L783">
        <v>7</v>
      </c>
      <c r="M783" s="1" t="s">
        <v>24</v>
      </c>
      <c r="N783" s="2">
        <v>45717</v>
      </c>
      <c r="O783">
        <v>2025</v>
      </c>
      <c r="P783">
        <v>1</v>
      </c>
      <c r="Q783" s="1" t="s">
        <v>24</v>
      </c>
    </row>
    <row r="784" spans="1:17" x14ac:dyDescent="0.3">
      <c r="A784" s="1" t="s">
        <v>849</v>
      </c>
      <c r="B784" s="1" t="s">
        <v>26</v>
      </c>
      <c r="C784" s="1" t="s">
        <v>123</v>
      </c>
      <c r="D784" s="1" t="s">
        <v>51</v>
      </c>
      <c r="E784" s="1" t="s">
        <v>37</v>
      </c>
      <c r="F784" s="1" t="s">
        <v>61</v>
      </c>
      <c r="G784" s="2">
        <v>45824</v>
      </c>
      <c r="H784" s="2"/>
      <c r="I784" s="1" t="s">
        <v>23</v>
      </c>
      <c r="L784">
        <v>10</v>
      </c>
      <c r="M784" s="1" t="s">
        <v>40</v>
      </c>
      <c r="N784" s="2">
        <v>45809</v>
      </c>
      <c r="O784">
        <v>2025</v>
      </c>
      <c r="P784">
        <v>2</v>
      </c>
      <c r="Q784" s="1" t="s">
        <v>33</v>
      </c>
    </row>
    <row r="785" spans="1:17" x14ac:dyDescent="0.3">
      <c r="A785" s="1" t="s">
        <v>850</v>
      </c>
      <c r="B785" s="1" t="s">
        <v>35</v>
      </c>
      <c r="C785" s="1" t="s">
        <v>36</v>
      </c>
      <c r="D785" s="1" t="s">
        <v>20</v>
      </c>
      <c r="E785" s="1" t="s">
        <v>21</v>
      </c>
      <c r="F785" s="1" t="s">
        <v>38</v>
      </c>
      <c r="G785" s="2">
        <v>45760</v>
      </c>
      <c r="H785" s="2">
        <v>45769</v>
      </c>
      <c r="I785" s="1" t="s">
        <v>39</v>
      </c>
      <c r="J785">
        <v>5</v>
      </c>
      <c r="K785">
        <v>9</v>
      </c>
      <c r="L785">
        <v>14</v>
      </c>
      <c r="M785" s="1" t="s">
        <v>24</v>
      </c>
      <c r="N785" s="2">
        <v>45748</v>
      </c>
      <c r="O785">
        <v>2025</v>
      </c>
      <c r="P785">
        <v>2</v>
      </c>
      <c r="Q785" s="1" t="s">
        <v>24</v>
      </c>
    </row>
    <row r="786" spans="1:17" x14ac:dyDescent="0.3">
      <c r="A786" s="1" t="s">
        <v>851</v>
      </c>
      <c r="B786" s="1" t="s">
        <v>26</v>
      </c>
      <c r="C786" s="1" t="s">
        <v>27</v>
      </c>
      <c r="D786" s="1" t="s">
        <v>20</v>
      </c>
      <c r="E786" s="1" t="s">
        <v>21</v>
      </c>
      <c r="F786" s="1" t="s">
        <v>31</v>
      </c>
      <c r="G786" s="2">
        <v>45768</v>
      </c>
      <c r="H786" s="2">
        <v>45780</v>
      </c>
      <c r="I786" s="1" t="s">
        <v>32</v>
      </c>
      <c r="J786">
        <v>4</v>
      </c>
      <c r="K786">
        <v>12</v>
      </c>
      <c r="L786">
        <v>14</v>
      </c>
      <c r="M786" s="1" t="s">
        <v>24</v>
      </c>
      <c r="N786" s="2">
        <v>45748</v>
      </c>
      <c r="O786">
        <v>2025</v>
      </c>
      <c r="P786">
        <v>2</v>
      </c>
      <c r="Q786" s="1" t="s">
        <v>24</v>
      </c>
    </row>
    <row r="787" spans="1:17" x14ac:dyDescent="0.3">
      <c r="A787" s="1" t="s">
        <v>852</v>
      </c>
      <c r="B787" s="1" t="s">
        <v>63</v>
      </c>
      <c r="C787" s="1" t="s">
        <v>89</v>
      </c>
      <c r="D787" s="1" t="s">
        <v>44</v>
      </c>
      <c r="E787" s="1" t="s">
        <v>21</v>
      </c>
      <c r="F787" s="1" t="s">
        <v>38</v>
      </c>
      <c r="G787" s="2">
        <v>45796</v>
      </c>
      <c r="H787" s="2">
        <v>45798</v>
      </c>
      <c r="I787" s="1" t="s">
        <v>82</v>
      </c>
      <c r="J787">
        <v>4</v>
      </c>
      <c r="K787">
        <v>2</v>
      </c>
      <c r="L787">
        <v>7</v>
      </c>
      <c r="M787" s="1" t="s">
        <v>24</v>
      </c>
      <c r="N787" s="2">
        <v>45778</v>
      </c>
      <c r="O787">
        <v>2025</v>
      </c>
      <c r="P787">
        <v>2</v>
      </c>
      <c r="Q787" s="1" t="s">
        <v>24</v>
      </c>
    </row>
    <row r="788" spans="1:17" x14ac:dyDescent="0.3">
      <c r="A788" s="1" t="s">
        <v>853</v>
      </c>
      <c r="B788" s="1" t="s">
        <v>42</v>
      </c>
      <c r="C788" s="1" t="s">
        <v>43</v>
      </c>
      <c r="D788" s="1" t="s">
        <v>20</v>
      </c>
      <c r="E788" s="1" t="s">
        <v>37</v>
      </c>
      <c r="F788" s="1" t="s">
        <v>31</v>
      </c>
      <c r="G788" s="2">
        <v>45892</v>
      </c>
      <c r="H788" s="2"/>
      <c r="I788" s="1" t="s">
        <v>28</v>
      </c>
      <c r="L788">
        <v>14</v>
      </c>
      <c r="M788" s="1" t="s">
        <v>40</v>
      </c>
      <c r="N788" s="2">
        <v>45870</v>
      </c>
      <c r="O788">
        <v>2025</v>
      </c>
      <c r="P788">
        <v>3</v>
      </c>
      <c r="Q788" s="1" t="s">
        <v>33</v>
      </c>
    </row>
    <row r="789" spans="1:17" x14ac:dyDescent="0.3">
      <c r="A789" s="1" t="s">
        <v>854</v>
      </c>
      <c r="B789" s="1" t="s">
        <v>35</v>
      </c>
      <c r="C789" s="1" t="s">
        <v>36</v>
      </c>
      <c r="D789" s="1" t="s">
        <v>44</v>
      </c>
      <c r="E789" s="1" t="s">
        <v>21</v>
      </c>
      <c r="F789" s="1" t="s">
        <v>22</v>
      </c>
      <c r="G789" s="2">
        <v>45984</v>
      </c>
      <c r="H789" s="2">
        <v>45989</v>
      </c>
      <c r="I789" s="1" t="s">
        <v>82</v>
      </c>
      <c r="J789">
        <v>5</v>
      </c>
      <c r="K789">
        <v>5</v>
      </c>
      <c r="L789">
        <v>7</v>
      </c>
      <c r="M789" s="1" t="s">
        <v>24</v>
      </c>
      <c r="N789" s="2">
        <v>45962</v>
      </c>
      <c r="O789">
        <v>2025</v>
      </c>
      <c r="P789">
        <v>4</v>
      </c>
      <c r="Q789" s="1" t="s">
        <v>24</v>
      </c>
    </row>
    <row r="790" spans="1:17" x14ac:dyDescent="0.3">
      <c r="A790" s="1" t="s">
        <v>855</v>
      </c>
      <c r="B790" s="1" t="s">
        <v>63</v>
      </c>
      <c r="C790" s="1" t="s">
        <v>74</v>
      </c>
      <c r="D790" s="1" t="s">
        <v>51</v>
      </c>
      <c r="E790" s="1" t="s">
        <v>21</v>
      </c>
      <c r="F790" s="1" t="s">
        <v>52</v>
      </c>
      <c r="G790" s="2">
        <v>45768</v>
      </c>
      <c r="H790" s="2">
        <v>45777</v>
      </c>
      <c r="I790" s="1" t="s">
        <v>23</v>
      </c>
      <c r="J790">
        <v>5</v>
      </c>
      <c r="K790">
        <v>9</v>
      </c>
      <c r="L790">
        <v>10</v>
      </c>
      <c r="M790" s="1" t="s">
        <v>24</v>
      </c>
      <c r="N790" s="2">
        <v>45748</v>
      </c>
      <c r="O790">
        <v>2025</v>
      </c>
      <c r="P790">
        <v>2</v>
      </c>
      <c r="Q790" s="1" t="s">
        <v>24</v>
      </c>
    </row>
    <row r="791" spans="1:17" x14ac:dyDescent="0.3">
      <c r="A791" s="1" t="s">
        <v>856</v>
      </c>
      <c r="B791" s="1" t="s">
        <v>18</v>
      </c>
      <c r="C791" s="1" t="s">
        <v>30</v>
      </c>
      <c r="D791" s="1" t="s">
        <v>44</v>
      </c>
      <c r="E791" s="1" t="s">
        <v>21</v>
      </c>
      <c r="F791" s="1" t="s">
        <v>22</v>
      </c>
      <c r="G791" s="2">
        <v>45825</v>
      </c>
      <c r="H791" s="2">
        <v>45829</v>
      </c>
      <c r="I791" s="1" t="s">
        <v>28</v>
      </c>
      <c r="J791">
        <v>4</v>
      </c>
      <c r="K791">
        <v>4</v>
      </c>
      <c r="L791">
        <v>7</v>
      </c>
      <c r="M791" s="1" t="s">
        <v>24</v>
      </c>
      <c r="N791" s="2">
        <v>45809</v>
      </c>
      <c r="O791">
        <v>2025</v>
      </c>
      <c r="P791">
        <v>2</v>
      </c>
      <c r="Q791" s="1" t="s">
        <v>24</v>
      </c>
    </row>
    <row r="792" spans="1:17" x14ac:dyDescent="0.3">
      <c r="A792" s="1" t="s">
        <v>857</v>
      </c>
      <c r="B792" s="1" t="s">
        <v>26</v>
      </c>
      <c r="C792" s="1" t="s">
        <v>67</v>
      </c>
      <c r="D792" s="1" t="s">
        <v>51</v>
      </c>
      <c r="E792" s="1" t="s">
        <v>21</v>
      </c>
      <c r="F792" s="1" t="s">
        <v>22</v>
      </c>
      <c r="G792" s="2">
        <v>45898</v>
      </c>
      <c r="H792" s="2">
        <v>45908</v>
      </c>
      <c r="I792" s="1" t="s">
        <v>39</v>
      </c>
      <c r="J792">
        <v>1</v>
      </c>
      <c r="K792">
        <v>10</v>
      </c>
      <c r="L792">
        <v>10</v>
      </c>
      <c r="M792" s="1" t="s">
        <v>24</v>
      </c>
      <c r="N792" s="2">
        <v>45870</v>
      </c>
      <c r="O792">
        <v>2025</v>
      </c>
      <c r="P792">
        <v>3</v>
      </c>
      <c r="Q792" s="1" t="s">
        <v>24</v>
      </c>
    </row>
    <row r="793" spans="1:17" x14ac:dyDescent="0.3">
      <c r="A793" s="1" t="s">
        <v>858</v>
      </c>
      <c r="B793" s="1" t="s">
        <v>58</v>
      </c>
      <c r="C793" s="1" t="s">
        <v>70</v>
      </c>
      <c r="D793" s="1" t="s">
        <v>51</v>
      </c>
      <c r="E793" s="1" t="s">
        <v>21</v>
      </c>
      <c r="F793" s="1" t="s">
        <v>31</v>
      </c>
      <c r="G793" s="2">
        <v>45943</v>
      </c>
      <c r="H793" s="2">
        <v>45945</v>
      </c>
      <c r="I793" s="1" t="s">
        <v>28</v>
      </c>
      <c r="J793">
        <v>5</v>
      </c>
      <c r="K793">
        <v>2</v>
      </c>
      <c r="L793">
        <v>10</v>
      </c>
      <c r="M793" s="1" t="s">
        <v>24</v>
      </c>
      <c r="N793" s="2">
        <v>45931</v>
      </c>
      <c r="O793">
        <v>2025</v>
      </c>
      <c r="P793">
        <v>4</v>
      </c>
      <c r="Q793" s="1" t="s">
        <v>24</v>
      </c>
    </row>
    <row r="794" spans="1:17" x14ac:dyDescent="0.3">
      <c r="A794" s="1" t="s">
        <v>859</v>
      </c>
      <c r="B794" s="1" t="s">
        <v>63</v>
      </c>
      <c r="C794" s="1" t="s">
        <v>84</v>
      </c>
      <c r="D794" s="1" t="s">
        <v>51</v>
      </c>
      <c r="E794" s="1" t="s">
        <v>21</v>
      </c>
      <c r="F794" s="1" t="s">
        <v>52</v>
      </c>
      <c r="G794" s="2">
        <v>45704</v>
      </c>
      <c r="H794" s="2">
        <v>45706</v>
      </c>
      <c r="I794" s="1" t="s">
        <v>28</v>
      </c>
      <c r="J794">
        <v>4</v>
      </c>
      <c r="K794">
        <v>2</v>
      </c>
      <c r="L794">
        <v>10</v>
      </c>
      <c r="M794" s="1" t="s">
        <v>24</v>
      </c>
      <c r="N794" s="2">
        <v>45689</v>
      </c>
      <c r="O794">
        <v>2025</v>
      </c>
      <c r="P794">
        <v>1</v>
      </c>
      <c r="Q794" s="1" t="s">
        <v>24</v>
      </c>
    </row>
    <row r="795" spans="1:17" x14ac:dyDescent="0.3">
      <c r="A795" s="1" t="s">
        <v>860</v>
      </c>
      <c r="B795" s="1" t="s">
        <v>18</v>
      </c>
      <c r="C795" s="1" t="s">
        <v>30</v>
      </c>
      <c r="D795" s="1" t="s">
        <v>44</v>
      </c>
      <c r="E795" s="1" t="s">
        <v>37</v>
      </c>
      <c r="F795" s="1" t="s">
        <v>31</v>
      </c>
      <c r="G795" s="2">
        <v>45670</v>
      </c>
      <c r="H795" s="2"/>
      <c r="I795" s="1" t="s">
        <v>39</v>
      </c>
      <c r="L795">
        <v>7</v>
      </c>
      <c r="M795" s="1" t="s">
        <v>40</v>
      </c>
      <c r="N795" s="2">
        <v>45658</v>
      </c>
      <c r="O795">
        <v>2025</v>
      </c>
      <c r="P795">
        <v>1</v>
      </c>
      <c r="Q795" s="1" t="s">
        <v>33</v>
      </c>
    </row>
    <row r="796" spans="1:17" x14ac:dyDescent="0.3">
      <c r="A796" s="1" t="s">
        <v>861</v>
      </c>
      <c r="B796" s="1" t="s">
        <v>63</v>
      </c>
      <c r="C796" s="1" t="s">
        <v>89</v>
      </c>
      <c r="D796" s="1" t="s">
        <v>20</v>
      </c>
      <c r="E796" s="1" t="s">
        <v>48</v>
      </c>
      <c r="F796" s="1" t="s">
        <v>31</v>
      </c>
      <c r="G796" s="2">
        <v>45978</v>
      </c>
      <c r="H796" s="2"/>
      <c r="I796" s="1" t="s">
        <v>23</v>
      </c>
      <c r="L796">
        <v>14</v>
      </c>
      <c r="M796" s="1" t="s">
        <v>40</v>
      </c>
      <c r="N796" s="2">
        <v>45962</v>
      </c>
      <c r="O796">
        <v>2025</v>
      </c>
      <c r="P796">
        <v>4</v>
      </c>
      <c r="Q796" s="1" t="s">
        <v>33</v>
      </c>
    </row>
    <row r="797" spans="1:17" x14ac:dyDescent="0.3">
      <c r="A797" s="1" t="s">
        <v>862</v>
      </c>
      <c r="B797" s="1" t="s">
        <v>18</v>
      </c>
      <c r="C797" s="1" t="s">
        <v>19</v>
      </c>
      <c r="D797" s="1" t="s">
        <v>51</v>
      </c>
      <c r="E797" s="1" t="s">
        <v>21</v>
      </c>
      <c r="F797" s="1" t="s">
        <v>52</v>
      </c>
      <c r="G797" s="2">
        <v>45929</v>
      </c>
      <c r="H797" s="2">
        <v>45931</v>
      </c>
      <c r="I797" s="1" t="s">
        <v>82</v>
      </c>
      <c r="J797">
        <v>4</v>
      </c>
      <c r="K797">
        <v>2</v>
      </c>
      <c r="L797">
        <v>10</v>
      </c>
      <c r="M797" s="1" t="s">
        <v>24</v>
      </c>
      <c r="N797" s="2">
        <v>45901</v>
      </c>
      <c r="O797">
        <v>2025</v>
      </c>
      <c r="P797">
        <v>3</v>
      </c>
      <c r="Q797" s="1" t="s">
        <v>24</v>
      </c>
    </row>
    <row r="798" spans="1:17" x14ac:dyDescent="0.3">
      <c r="A798" s="1" t="s">
        <v>863</v>
      </c>
      <c r="B798" s="1" t="s">
        <v>26</v>
      </c>
      <c r="C798" s="1" t="s">
        <v>54</v>
      </c>
      <c r="D798" s="1" t="s">
        <v>44</v>
      </c>
      <c r="E798" s="1" t="s">
        <v>21</v>
      </c>
      <c r="F798" s="1" t="s">
        <v>22</v>
      </c>
      <c r="G798" s="2">
        <v>45829</v>
      </c>
      <c r="H798" s="2">
        <v>45835</v>
      </c>
      <c r="I798" s="1" t="s">
        <v>32</v>
      </c>
      <c r="J798">
        <v>5</v>
      </c>
      <c r="K798">
        <v>6</v>
      </c>
      <c r="L798">
        <v>7</v>
      </c>
      <c r="M798" s="1" t="s">
        <v>24</v>
      </c>
      <c r="N798" s="2">
        <v>45809</v>
      </c>
      <c r="O798">
        <v>2025</v>
      </c>
      <c r="P798">
        <v>2</v>
      </c>
      <c r="Q798" s="1" t="s">
        <v>24</v>
      </c>
    </row>
    <row r="799" spans="1:17" x14ac:dyDescent="0.3">
      <c r="A799" s="1" t="s">
        <v>864</v>
      </c>
      <c r="B799" s="1" t="s">
        <v>42</v>
      </c>
      <c r="C799" s="1" t="s">
        <v>81</v>
      </c>
      <c r="D799" s="1" t="s">
        <v>51</v>
      </c>
      <c r="E799" s="1" t="s">
        <v>21</v>
      </c>
      <c r="F799" s="1" t="s">
        <v>22</v>
      </c>
      <c r="G799" s="2">
        <v>45678</v>
      </c>
      <c r="H799" s="2">
        <v>45685</v>
      </c>
      <c r="I799" s="1" t="s">
        <v>23</v>
      </c>
      <c r="J799">
        <v>4</v>
      </c>
      <c r="K799">
        <v>7</v>
      </c>
      <c r="L799">
        <v>10</v>
      </c>
      <c r="M799" s="1" t="s">
        <v>24</v>
      </c>
      <c r="N799" s="2">
        <v>45658</v>
      </c>
      <c r="O799">
        <v>2025</v>
      </c>
      <c r="P799">
        <v>1</v>
      </c>
      <c r="Q799" s="1" t="s">
        <v>24</v>
      </c>
    </row>
    <row r="800" spans="1:17" x14ac:dyDescent="0.3">
      <c r="A800" s="1" t="s">
        <v>865</v>
      </c>
      <c r="B800" s="1" t="s">
        <v>26</v>
      </c>
      <c r="C800" s="1" t="s">
        <v>54</v>
      </c>
      <c r="D800" s="1" t="s">
        <v>20</v>
      </c>
      <c r="E800" s="1" t="s">
        <v>21</v>
      </c>
      <c r="F800" s="1" t="s">
        <v>22</v>
      </c>
      <c r="G800" s="2">
        <v>45934</v>
      </c>
      <c r="H800" s="2">
        <v>45938</v>
      </c>
      <c r="I800" s="1" t="s">
        <v>28</v>
      </c>
      <c r="J800">
        <v>4</v>
      </c>
      <c r="K800">
        <v>4</v>
      </c>
      <c r="L800">
        <v>14</v>
      </c>
      <c r="M800" s="1" t="s">
        <v>24</v>
      </c>
      <c r="N800" s="2">
        <v>45931</v>
      </c>
      <c r="O800">
        <v>2025</v>
      </c>
      <c r="P800">
        <v>4</v>
      </c>
      <c r="Q800" s="1" t="s">
        <v>24</v>
      </c>
    </row>
    <row r="801" spans="1:17" x14ac:dyDescent="0.3">
      <c r="A801" s="1" t="s">
        <v>866</v>
      </c>
      <c r="B801" s="1" t="s">
        <v>18</v>
      </c>
      <c r="C801" s="1" t="s">
        <v>47</v>
      </c>
      <c r="D801" s="1" t="s">
        <v>51</v>
      </c>
      <c r="E801" s="1" t="s">
        <v>48</v>
      </c>
      <c r="F801" s="1" t="s">
        <v>31</v>
      </c>
      <c r="G801" s="2">
        <v>45915</v>
      </c>
      <c r="H801" s="2"/>
      <c r="I801" s="1" t="s">
        <v>32</v>
      </c>
      <c r="L801">
        <v>10</v>
      </c>
      <c r="M801" s="1" t="s">
        <v>40</v>
      </c>
      <c r="N801" s="2">
        <v>45901</v>
      </c>
      <c r="O801">
        <v>2025</v>
      </c>
      <c r="P801">
        <v>3</v>
      </c>
      <c r="Q801" s="1" t="s">
        <v>33</v>
      </c>
    </row>
    <row r="802" spans="1:17" x14ac:dyDescent="0.3">
      <c r="A802" s="1" t="s">
        <v>867</v>
      </c>
      <c r="B802" s="1" t="s">
        <v>42</v>
      </c>
      <c r="C802" s="1" t="s">
        <v>81</v>
      </c>
      <c r="D802" s="1" t="s">
        <v>51</v>
      </c>
      <c r="E802" s="1" t="s">
        <v>21</v>
      </c>
      <c r="F802" s="1" t="s">
        <v>31</v>
      </c>
      <c r="G802" s="2">
        <v>45914</v>
      </c>
      <c r="H802" s="2">
        <v>45924</v>
      </c>
      <c r="I802" s="1" t="s">
        <v>82</v>
      </c>
      <c r="J802">
        <v>5</v>
      </c>
      <c r="K802">
        <v>10</v>
      </c>
      <c r="L802">
        <v>10</v>
      </c>
      <c r="M802" s="1" t="s">
        <v>24</v>
      </c>
      <c r="N802" s="2">
        <v>45901</v>
      </c>
      <c r="O802">
        <v>2025</v>
      </c>
      <c r="P802">
        <v>3</v>
      </c>
      <c r="Q802" s="1" t="s">
        <v>24</v>
      </c>
    </row>
    <row r="803" spans="1:17" x14ac:dyDescent="0.3">
      <c r="A803" s="1" t="s">
        <v>868</v>
      </c>
      <c r="B803" s="1" t="s">
        <v>18</v>
      </c>
      <c r="C803" s="1" t="s">
        <v>56</v>
      </c>
      <c r="D803" s="1" t="s">
        <v>51</v>
      </c>
      <c r="E803" s="1" t="s">
        <v>21</v>
      </c>
      <c r="F803" s="1" t="s">
        <v>31</v>
      </c>
      <c r="G803" s="2">
        <v>46002</v>
      </c>
      <c r="H803" s="2">
        <v>46005</v>
      </c>
      <c r="I803" s="1" t="s">
        <v>23</v>
      </c>
      <c r="J803">
        <v>3</v>
      </c>
      <c r="K803">
        <v>3</v>
      </c>
      <c r="L803">
        <v>10</v>
      </c>
      <c r="M803" s="1" t="s">
        <v>24</v>
      </c>
      <c r="N803" s="2">
        <v>45992</v>
      </c>
      <c r="O803">
        <v>2025</v>
      </c>
      <c r="P803">
        <v>4</v>
      </c>
      <c r="Q803" s="1" t="s">
        <v>24</v>
      </c>
    </row>
    <row r="804" spans="1:17" x14ac:dyDescent="0.3">
      <c r="A804" s="1" t="s">
        <v>869</v>
      </c>
      <c r="B804" s="1" t="s">
        <v>42</v>
      </c>
      <c r="C804" s="1" t="s">
        <v>87</v>
      </c>
      <c r="D804" s="1" t="s">
        <v>44</v>
      </c>
      <c r="E804" s="1" t="s">
        <v>21</v>
      </c>
      <c r="F804" s="1" t="s">
        <v>38</v>
      </c>
      <c r="G804" s="2">
        <v>45697</v>
      </c>
      <c r="H804" s="2">
        <v>45698</v>
      </c>
      <c r="I804" s="1" t="s">
        <v>28</v>
      </c>
      <c r="J804">
        <v>3</v>
      </c>
      <c r="K804">
        <v>1</v>
      </c>
      <c r="L804">
        <v>7</v>
      </c>
      <c r="M804" s="1" t="s">
        <v>24</v>
      </c>
      <c r="N804" s="2">
        <v>45689</v>
      </c>
      <c r="O804">
        <v>2025</v>
      </c>
      <c r="P804">
        <v>1</v>
      </c>
      <c r="Q804" s="1" t="s">
        <v>24</v>
      </c>
    </row>
    <row r="805" spans="1:17" x14ac:dyDescent="0.3">
      <c r="A805" s="1" t="s">
        <v>870</v>
      </c>
      <c r="B805" s="1" t="s">
        <v>58</v>
      </c>
      <c r="C805" s="1" t="s">
        <v>108</v>
      </c>
      <c r="D805" s="1" t="s">
        <v>44</v>
      </c>
      <c r="E805" s="1" t="s">
        <v>21</v>
      </c>
      <c r="F805" s="1" t="s">
        <v>22</v>
      </c>
      <c r="G805" s="2">
        <v>45979</v>
      </c>
      <c r="H805" s="2">
        <v>45980</v>
      </c>
      <c r="I805" s="1" t="s">
        <v>28</v>
      </c>
      <c r="J805">
        <v>4</v>
      </c>
      <c r="K805">
        <v>1</v>
      </c>
      <c r="L805">
        <v>7</v>
      </c>
      <c r="M805" s="1" t="s">
        <v>24</v>
      </c>
      <c r="N805" s="2">
        <v>45962</v>
      </c>
      <c r="O805">
        <v>2025</v>
      </c>
      <c r="P805">
        <v>4</v>
      </c>
      <c r="Q805" s="1" t="s">
        <v>24</v>
      </c>
    </row>
    <row r="806" spans="1:17" x14ac:dyDescent="0.3">
      <c r="A806" s="1" t="s">
        <v>871</v>
      </c>
      <c r="B806" s="1" t="s">
        <v>58</v>
      </c>
      <c r="C806" s="1" t="s">
        <v>59</v>
      </c>
      <c r="D806" s="1" t="s">
        <v>51</v>
      </c>
      <c r="E806" s="1" t="s">
        <v>21</v>
      </c>
      <c r="F806" s="1" t="s">
        <v>38</v>
      </c>
      <c r="G806" s="2">
        <v>45668</v>
      </c>
      <c r="H806" s="2">
        <v>45674</v>
      </c>
      <c r="I806" s="1" t="s">
        <v>28</v>
      </c>
      <c r="J806">
        <v>3</v>
      </c>
      <c r="K806">
        <v>6</v>
      </c>
      <c r="L806">
        <v>10</v>
      </c>
      <c r="M806" s="1" t="s">
        <v>24</v>
      </c>
      <c r="N806" s="2">
        <v>45658</v>
      </c>
      <c r="O806">
        <v>2025</v>
      </c>
      <c r="P806">
        <v>1</v>
      </c>
      <c r="Q806" s="1" t="s">
        <v>24</v>
      </c>
    </row>
    <row r="807" spans="1:17" x14ac:dyDescent="0.3">
      <c r="A807" s="1" t="s">
        <v>872</v>
      </c>
      <c r="B807" s="1" t="s">
        <v>26</v>
      </c>
      <c r="C807" s="1" t="s">
        <v>123</v>
      </c>
      <c r="D807" s="1" t="s">
        <v>51</v>
      </c>
      <c r="E807" s="1" t="s">
        <v>21</v>
      </c>
      <c r="F807" s="1" t="s">
        <v>22</v>
      </c>
      <c r="G807" s="2">
        <v>45988</v>
      </c>
      <c r="H807" s="2">
        <v>45995</v>
      </c>
      <c r="I807" s="1" t="s">
        <v>82</v>
      </c>
      <c r="J807">
        <v>4</v>
      </c>
      <c r="K807">
        <v>7</v>
      </c>
      <c r="L807">
        <v>10</v>
      </c>
      <c r="M807" s="1" t="s">
        <v>24</v>
      </c>
      <c r="N807" s="2">
        <v>45962</v>
      </c>
      <c r="O807">
        <v>2025</v>
      </c>
      <c r="P807">
        <v>4</v>
      </c>
      <c r="Q807" s="1" t="s">
        <v>24</v>
      </c>
    </row>
    <row r="808" spans="1:17" x14ac:dyDescent="0.3">
      <c r="A808" s="1" t="s">
        <v>873</v>
      </c>
      <c r="B808" s="1" t="s">
        <v>58</v>
      </c>
      <c r="C808" s="1" t="s">
        <v>145</v>
      </c>
      <c r="D808" s="1" t="s">
        <v>51</v>
      </c>
      <c r="E808" s="1" t="s">
        <v>21</v>
      </c>
      <c r="F808" s="1" t="s">
        <v>61</v>
      </c>
      <c r="G808" s="2">
        <v>45814</v>
      </c>
      <c r="H808" s="2">
        <v>45818</v>
      </c>
      <c r="I808" s="1" t="s">
        <v>39</v>
      </c>
      <c r="J808">
        <v>5</v>
      </c>
      <c r="K808">
        <v>4</v>
      </c>
      <c r="L808">
        <v>10</v>
      </c>
      <c r="M808" s="1" t="s">
        <v>24</v>
      </c>
      <c r="N808" s="2">
        <v>45809</v>
      </c>
      <c r="O808">
        <v>2025</v>
      </c>
      <c r="P808">
        <v>2</v>
      </c>
      <c r="Q808" s="1" t="s">
        <v>24</v>
      </c>
    </row>
    <row r="809" spans="1:17" x14ac:dyDescent="0.3">
      <c r="A809" s="1" t="s">
        <v>874</v>
      </c>
      <c r="B809" s="1" t="s">
        <v>35</v>
      </c>
      <c r="C809" s="1" t="s">
        <v>97</v>
      </c>
      <c r="D809" s="1" t="s">
        <v>44</v>
      </c>
      <c r="E809" s="1" t="s">
        <v>21</v>
      </c>
      <c r="F809" s="1" t="s">
        <v>61</v>
      </c>
      <c r="G809" s="2">
        <v>45838</v>
      </c>
      <c r="H809" s="2">
        <v>45841</v>
      </c>
      <c r="I809" s="1" t="s">
        <v>82</v>
      </c>
      <c r="J809">
        <v>4</v>
      </c>
      <c r="K809">
        <v>3</v>
      </c>
      <c r="L809">
        <v>7</v>
      </c>
      <c r="M809" s="1" t="s">
        <v>24</v>
      </c>
      <c r="N809" s="2">
        <v>45809</v>
      </c>
      <c r="O809">
        <v>2025</v>
      </c>
      <c r="P809">
        <v>2</v>
      </c>
      <c r="Q809" s="1" t="s">
        <v>24</v>
      </c>
    </row>
    <row r="810" spans="1:17" x14ac:dyDescent="0.3">
      <c r="A810" s="1" t="s">
        <v>875</v>
      </c>
      <c r="B810" s="1" t="s">
        <v>63</v>
      </c>
      <c r="C810" s="1" t="s">
        <v>84</v>
      </c>
      <c r="D810" s="1" t="s">
        <v>20</v>
      </c>
      <c r="E810" s="1" t="s">
        <v>21</v>
      </c>
      <c r="F810" s="1" t="s">
        <v>61</v>
      </c>
      <c r="G810" s="2">
        <v>46020</v>
      </c>
      <c r="H810" s="2">
        <v>46034</v>
      </c>
      <c r="I810" s="1" t="s">
        <v>28</v>
      </c>
      <c r="J810">
        <v>5</v>
      </c>
      <c r="K810">
        <v>14</v>
      </c>
      <c r="L810">
        <v>14</v>
      </c>
      <c r="M810" s="1" t="s">
        <v>24</v>
      </c>
      <c r="N810" s="2">
        <v>45992</v>
      </c>
      <c r="O810">
        <v>2025</v>
      </c>
      <c r="P810">
        <v>4</v>
      </c>
      <c r="Q810" s="1" t="s">
        <v>24</v>
      </c>
    </row>
    <row r="811" spans="1:17" x14ac:dyDescent="0.3">
      <c r="A811" s="1" t="s">
        <v>876</v>
      </c>
      <c r="B811" s="1" t="s">
        <v>63</v>
      </c>
      <c r="C811" s="1" t="s">
        <v>74</v>
      </c>
      <c r="D811" s="1" t="s">
        <v>20</v>
      </c>
      <c r="E811" s="1" t="s">
        <v>21</v>
      </c>
      <c r="F811" s="1" t="s">
        <v>61</v>
      </c>
      <c r="G811" s="2">
        <v>45722</v>
      </c>
      <c r="H811" s="2">
        <v>45732</v>
      </c>
      <c r="I811" s="1" t="s">
        <v>28</v>
      </c>
      <c r="J811">
        <v>3</v>
      </c>
      <c r="K811">
        <v>10</v>
      </c>
      <c r="L811">
        <v>14</v>
      </c>
      <c r="M811" s="1" t="s">
        <v>24</v>
      </c>
      <c r="N811" s="2">
        <v>45717</v>
      </c>
      <c r="O811">
        <v>2025</v>
      </c>
      <c r="P811">
        <v>1</v>
      </c>
      <c r="Q811" s="1" t="s">
        <v>24</v>
      </c>
    </row>
    <row r="812" spans="1:17" x14ac:dyDescent="0.3">
      <c r="A812" s="1" t="s">
        <v>877</v>
      </c>
      <c r="B812" s="1" t="s">
        <v>26</v>
      </c>
      <c r="C812" s="1" t="s">
        <v>67</v>
      </c>
      <c r="D812" s="1" t="s">
        <v>51</v>
      </c>
      <c r="E812" s="1" t="s">
        <v>48</v>
      </c>
      <c r="F812" s="1" t="s">
        <v>52</v>
      </c>
      <c r="G812" s="2">
        <v>45733</v>
      </c>
      <c r="H812" s="2"/>
      <c r="I812" s="1" t="s">
        <v>39</v>
      </c>
      <c r="L812">
        <v>10</v>
      </c>
      <c r="M812" s="1" t="s">
        <v>40</v>
      </c>
      <c r="N812" s="2">
        <v>45717</v>
      </c>
      <c r="O812">
        <v>2025</v>
      </c>
      <c r="P812">
        <v>1</v>
      </c>
      <c r="Q812" s="1" t="s">
        <v>33</v>
      </c>
    </row>
    <row r="813" spans="1:17" x14ac:dyDescent="0.3">
      <c r="A813" s="1" t="s">
        <v>878</v>
      </c>
      <c r="B813" s="1" t="s">
        <v>26</v>
      </c>
      <c r="C813" s="1" t="s">
        <v>54</v>
      </c>
      <c r="D813" s="1" t="s">
        <v>51</v>
      </c>
      <c r="E813" s="1" t="s">
        <v>21</v>
      </c>
      <c r="F813" s="1" t="s">
        <v>61</v>
      </c>
      <c r="G813" s="2">
        <v>45670</v>
      </c>
      <c r="H813" s="2">
        <v>45678</v>
      </c>
      <c r="I813" s="1" t="s">
        <v>39</v>
      </c>
      <c r="J813">
        <v>5</v>
      </c>
      <c r="K813">
        <v>8</v>
      </c>
      <c r="L813">
        <v>10</v>
      </c>
      <c r="M813" s="1" t="s">
        <v>24</v>
      </c>
      <c r="N813" s="2">
        <v>45658</v>
      </c>
      <c r="O813">
        <v>2025</v>
      </c>
      <c r="P813">
        <v>1</v>
      </c>
      <c r="Q813" s="1" t="s">
        <v>24</v>
      </c>
    </row>
    <row r="814" spans="1:17" x14ac:dyDescent="0.3">
      <c r="A814" s="1" t="s">
        <v>879</v>
      </c>
      <c r="B814" s="1" t="s">
        <v>35</v>
      </c>
      <c r="C814" s="1" t="s">
        <v>36</v>
      </c>
      <c r="D814" s="1" t="s">
        <v>20</v>
      </c>
      <c r="E814" s="1" t="s">
        <v>21</v>
      </c>
      <c r="F814" s="1" t="s">
        <v>52</v>
      </c>
      <c r="G814" s="2">
        <v>45917</v>
      </c>
      <c r="H814" s="2">
        <v>45925</v>
      </c>
      <c r="I814" s="1" t="s">
        <v>39</v>
      </c>
      <c r="J814">
        <v>4</v>
      </c>
      <c r="K814">
        <v>8</v>
      </c>
      <c r="L814">
        <v>14</v>
      </c>
      <c r="M814" s="1" t="s">
        <v>24</v>
      </c>
      <c r="N814" s="2">
        <v>45901</v>
      </c>
      <c r="O814">
        <v>2025</v>
      </c>
      <c r="P814">
        <v>3</v>
      </c>
      <c r="Q814" s="1" t="s">
        <v>24</v>
      </c>
    </row>
    <row r="815" spans="1:17" x14ac:dyDescent="0.3">
      <c r="A815" s="1" t="s">
        <v>880</v>
      </c>
      <c r="B815" s="1" t="s">
        <v>35</v>
      </c>
      <c r="C815" s="1" t="s">
        <v>36</v>
      </c>
      <c r="D815" s="1" t="s">
        <v>44</v>
      </c>
      <c r="E815" s="1" t="s">
        <v>21</v>
      </c>
      <c r="F815" s="1" t="s">
        <v>31</v>
      </c>
      <c r="G815" s="2">
        <v>45884</v>
      </c>
      <c r="H815" s="2">
        <v>45887</v>
      </c>
      <c r="I815" s="1" t="s">
        <v>23</v>
      </c>
      <c r="J815">
        <v>5</v>
      </c>
      <c r="K815">
        <v>3</v>
      </c>
      <c r="L815">
        <v>7</v>
      </c>
      <c r="M815" s="1" t="s">
        <v>24</v>
      </c>
      <c r="N815" s="2">
        <v>45870</v>
      </c>
      <c r="O815">
        <v>2025</v>
      </c>
      <c r="P815">
        <v>3</v>
      </c>
      <c r="Q815" s="1" t="s">
        <v>24</v>
      </c>
    </row>
    <row r="816" spans="1:17" x14ac:dyDescent="0.3">
      <c r="A816" s="1" t="s">
        <v>881</v>
      </c>
      <c r="B816" s="1" t="s">
        <v>63</v>
      </c>
      <c r="C816" s="1" t="s">
        <v>74</v>
      </c>
      <c r="D816" s="1" t="s">
        <v>51</v>
      </c>
      <c r="E816" s="1" t="s">
        <v>21</v>
      </c>
      <c r="F816" s="1" t="s">
        <v>52</v>
      </c>
      <c r="G816" s="2">
        <v>45770</v>
      </c>
      <c r="H816" s="2">
        <v>45779</v>
      </c>
      <c r="I816" s="1" t="s">
        <v>23</v>
      </c>
      <c r="J816">
        <v>4</v>
      </c>
      <c r="K816">
        <v>9</v>
      </c>
      <c r="L816">
        <v>10</v>
      </c>
      <c r="M816" s="1" t="s">
        <v>24</v>
      </c>
      <c r="N816" s="2">
        <v>45748</v>
      </c>
      <c r="O816">
        <v>2025</v>
      </c>
      <c r="P816">
        <v>2</v>
      </c>
      <c r="Q816" s="1" t="s">
        <v>24</v>
      </c>
    </row>
    <row r="817" spans="1:17" x14ac:dyDescent="0.3">
      <c r="A817" s="1" t="s">
        <v>882</v>
      </c>
      <c r="B817" s="1" t="s">
        <v>26</v>
      </c>
      <c r="C817" s="1" t="s">
        <v>54</v>
      </c>
      <c r="D817" s="1" t="s">
        <v>51</v>
      </c>
      <c r="E817" s="1" t="s">
        <v>21</v>
      </c>
      <c r="F817" s="1" t="s">
        <v>22</v>
      </c>
      <c r="G817" s="2">
        <v>45800</v>
      </c>
      <c r="H817" s="2">
        <v>45805</v>
      </c>
      <c r="I817" s="1" t="s">
        <v>39</v>
      </c>
      <c r="J817">
        <v>1</v>
      </c>
      <c r="K817">
        <v>5</v>
      </c>
      <c r="L817">
        <v>10</v>
      </c>
      <c r="M817" s="1" t="s">
        <v>24</v>
      </c>
      <c r="N817" s="2">
        <v>45778</v>
      </c>
      <c r="O817">
        <v>2025</v>
      </c>
      <c r="P817">
        <v>2</v>
      </c>
      <c r="Q817" s="1" t="s">
        <v>24</v>
      </c>
    </row>
    <row r="818" spans="1:17" x14ac:dyDescent="0.3">
      <c r="A818" s="1" t="s">
        <v>883</v>
      </c>
      <c r="B818" s="1" t="s">
        <v>18</v>
      </c>
      <c r="C818" s="1" t="s">
        <v>19</v>
      </c>
      <c r="D818" s="1" t="s">
        <v>71</v>
      </c>
      <c r="E818" s="1" t="s">
        <v>21</v>
      </c>
      <c r="F818" s="1" t="s">
        <v>22</v>
      </c>
      <c r="G818" s="2">
        <v>45909</v>
      </c>
      <c r="H818" s="2">
        <v>45911</v>
      </c>
      <c r="I818" s="1" t="s">
        <v>23</v>
      </c>
      <c r="J818">
        <v>4</v>
      </c>
      <c r="K818">
        <v>2</v>
      </c>
      <c r="L818">
        <v>3</v>
      </c>
      <c r="M818" s="1" t="s">
        <v>24</v>
      </c>
      <c r="N818" s="2">
        <v>45901</v>
      </c>
      <c r="O818">
        <v>2025</v>
      </c>
      <c r="P818">
        <v>3</v>
      </c>
      <c r="Q818" s="1" t="s">
        <v>24</v>
      </c>
    </row>
    <row r="819" spans="1:17" x14ac:dyDescent="0.3">
      <c r="A819" s="1" t="s">
        <v>884</v>
      </c>
      <c r="B819" s="1" t="s">
        <v>18</v>
      </c>
      <c r="C819" s="1" t="s">
        <v>56</v>
      </c>
      <c r="D819" s="1" t="s">
        <v>51</v>
      </c>
      <c r="E819" s="1" t="s">
        <v>21</v>
      </c>
      <c r="F819" s="1" t="s">
        <v>38</v>
      </c>
      <c r="G819" s="2">
        <v>45876</v>
      </c>
      <c r="H819" s="2">
        <v>45883</v>
      </c>
      <c r="I819" s="1" t="s">
        <v>32</v>
      </c>
      <c r="J819">
        <v>4</v>
      </c>
      <c r="K819">
        <v>7</v>
      </c>
      <c r="L819">
        <v>10</v>
      </c>
      <c r="M819" s="1" t="s">
        <v>24</v>
      </c>
      <c r="N819" s="2">
        <v>45870</v>
      </c>
      <c r="O819">
        <v>2025</v>
      </c>
      <c r="P819">
        <v>3</v>
      </c>
      <c r="Q819" s="1" t="s">
        <v>24</v>
      </c>
    </row>
    <row r="820" spans="1:17" x14ac:dyDescent="0.3">
      <c r="A820" s="1" t="s">
        <v>885</v>
      </c>
      <c r="B820" s="1" t="s">
        <v>35</v>
      </c>
      <c r="C820" s="1" t="s">
        <v>97</v>
      </c>
      <c r="D820" s="1" t="s">
        <v>51</v>
      </c>
      <c r="E820" s="1" t="s">
        <v>21</v>
      </c>
      <c r="F820" s="1" t="s">
        <v>31</v>
      </c>
      <c r="G820" s="2">
        <v>45945</v>
      </c>
      <c r="H820" s="2">
        <v>45948</v>
      </c>
      <c r="I820" s="1" t="s">
        <v>39</v>
      </c>
      <c r="J820">
        <v>3</v>
      </c>
      <c r="K820">
        <v>3</v>
      </c>
      <c r="L820">
        <v>10</v>
      </c>
      <c r="M820" s="1" t="s">
        <v>24</v>
      </c>
      <c r="N820" s="2">
        <v>45931</v>
      </c>
      <c r="O820">
        <v>2025</v>
      </c>
      <c r="P820">
        <v>4</v>
      </c>
      <c r="Q820" s="1" t="s">
        <v>24</v>
      </c>
    </row>
    <row r="821" spans="1:17" x14ac:dyDescent="0.3">
      <c r="A821" s="1" t="s">
        <v>886</v>
      </c>
      <c r="B821" s="1" t="s">
        <v>58</v>
      </c>
      <c r="C821" s="1" t="s">
        <v>59</v>
      </c>
      <c r="D821" s="1" t="s">
        <v>20</v>
      </c>
      <c r="E821" s="1" t="s">
        <v>21</v>
      </c>
      <c r="F821" s="1" t="s">
        <v>61</v>
      </c>
      <c r="G821" s="2">
        <v>45875</v>
      </c>
      <c r="H821" s="2">
        <v>45889</v>
      </c>
      <c r="I821" s="1" t="s">
        <v>82</v>
      </c>
      <c r="J821">
        <v>5</v>
      </c>
      <c r="K821">
        <v>14</v>
      </c>
      <c r="L821">
        <v>14</v>
      </c>
      <c r="M821" s="1" t="s">
        <v>24</v>
      </c>
      <c r="N821" s="2">
        <v>45870</v>
      </c>
      <c r="O821">
        <v>2025</v>
      </c>
      <c r="P821">
        <v>3</v>
      </c>
      <c r="Q821" s="1" t="s">
        <v>24</v>
      </c>
    </row>
    <row r="822" spans="1:17" x14ac:dyDescent="0.3">
      <c r="A822" s="1" t="s">
        <v>887</v>
      </c>
      <c r="B822" s="1" t="s">
        <v>26</v>
      </c>
      <c r="C822" s="1" t="s">
        <v>67</v>
      </c>
      <c r="D822" s="1" t="s">
        <v>20</v>
      </c>
      <c r="E822" s="1" t="s">
        <v>21</v>
      </c>
      <c r="F822" s="1" t="s">
        <v>22</v>
      </c>
      <c r="G822" s="2">
        <v>45926</v>
      </c>
      <c r="H822" s="2">
        <v>45934</v>
      </c>
      <c r="I822" s="1" t="s">
        <v>39</v>
      </c>
      <c r="J822">
        <v>2</v>
      </c>
      <c r="K822">
        <v>8</v>
      </c>
      <c r="L822">
        <v>14</v>
      </c>
      <c r="M822" s="1" t="s">
        <v>24</v>
      </c>
      <c r="N822" s="2">
        <v>45901</v>
      </c>
      <c r="O822">
        <v>2025</v>
      </c>
      <c r="P822">
        <v>3</v>
      </c>
      <c r="Q822" s="1" t="s">
        <v>24</v>
      </c>
    </row>
    <row r="823" spans="1:17" x14ac:dyDescent="0.3">
      <c r="A823" s="1" t="s">
        <v>888</v>
      </c>
      <c r="B823" s="1" t="s">
        <v>42</v>
      </c>
      <c r="C823" s="1" t="s">
        <v>81</v>
      </c>
      <c r="D823" s="1" t="s">
        <v>51</v>
      </c>
      <c r="E823" s="1" t="s">
        <v>48</v>
      </c>
      <c r="F823" s="1" t="s">
        <v>61</v>
      </c>
      <c r="G823" s="2">
        <v>45870</v>
      </c>
      <c r="H823" s="2"/>
      <c r="I823" s="1" t="s">
        <v>82</v>
      </c>
      <c r="L823">
        <v>10</v>
      </c>
      <c r="M823" s="1" t="s">
        <v>40</v>
      </c>
      <c r="N823" s="2">
        <v>45870</v>
      </c>
      <c r="O823">
        <v>2025</v>
      </c>
      <c r="P823">
        <v>3</v>
      </c>
      <c r="Q823" s="1" t="s">
        <v>33</v>
      </c>
    </row>
    <row r="824" spans="1:17" x14ac:dyDescent="0.3">
      <c r="A824" s="1" t="s">
        <v>889</v>
      </c>
      <c r="B824" s="1" t="s">
        <v>58</v>
      </c>
      <c r="C824" s="1" t="s">
        <v>108</v>
      </c>
      <c r="D824" s="1" t="s">
        <v>20</v>
      </c>
      <c r="E824" s="1" t="s">
        <v>37</v>
      </c>
      <c r="F824" s="1" t="s">
        <v>22</v>
      </c>
      <c r="G824" s="2">
        <v>45806</v>
      </c>
      <c r="H824" s="2"/>
      <c r="I824" s="1" t="s">
        <v>39</v>
      </c>
      <c r="L824">
        <v>14</v>
      </c>
      <c r="M824" s="1" t="s">
        <v>40</v>
      </c>
      <c r="N824" s="2">
        <v>45778</v>
      </c>
      <c r="O824">
        <v>2025</v>
      </c>
      <c r="P824">
        <v>2</v>
      </c>
      <c r="Q824" s="1" t="s">
        <v>33</v>
      </c>
    </row>
    <row r="825" spans="1:17" x14ac:dyDescent="0.3">
      <c r="A825" s="1" t="s">
        <v>890</v>
      </c>
      <c r="B825" s="1" t="s">
        <v>42</v>
      </c>
      <c r="C825" s="1" t="s">
        <v>43</v>
      </c>
      <c r="D825" s="1" t="s">
        <v>44</v>
      </c>
      <c r="E825" s="1" t="s">
        <v>21</v>
      </c>
      <c r="F825" s="1" t="s">
        <v>38</v>
      </c>
      <c r="G825" s="2">
        <v>45944</v>
      </c>
      <c r="H825" s="2">
        <v>45950</v>
      </c>
      <c r="I825" s="1" t="s">
        <v>23</v>
      </c>
      <c r="J825">
        <v>4</v>
      </c>
      <c r="K825">
        <v>6</v>
      </c>
      <c r="L825">
        <v>7</v>
      </c>
      <c r="M825" s="1" t="s">
        <v>24</v>
      </c>
      <c r="N825" s="2">
        <v>45931</v>
      </c>
      <c r="O825">
        <v>2025</v>
      </c>
      <c r="P825">
        <v>4</v>
      </c>
      <c r="Q825" s="1" t="s">
        <v>24</v>
      </c>
    </row>
    <row r="826" spans="1:17" x14ac:dyDescent="0.3">
      <c r="A826" s="1" t="s">
        <v>891</v>
      </c>
      <c r="B826" s="1" t="s">
        <v>63</v>
      </c>
      <c r="C826" s="1" t="s">
        <v>84</v>
      </c>
      <c r="D826" s="1" t="s">
        <v>51</v>
      </c>
      <c r="E826" s="1" t="s">
        <v>21</v>
      </c>
      <c r="F826" s="1" t="s">
        <v>52</v>
      </c>
      <c r="G826" s="2">
        <v>45983</v>
      </c>
      <c r="H826" s="2">
        <v>45992</v>
      </c>
      <c r="I826" s="1" t="s">
        <v>39</v>
      </c>
      <c r="J826">
        <v>3</v>
      </c>
      <c r="K826">
        <v>9</v>
      </c>
      <c r="L826">
        <v>10</v>
      </c>
      <c r="M826" s="1" t="s">
        <v>24</v>
      </c>
      <c r="N826" s="2">
        <v>45962</v>
      </c>
      <c r="O826">
        <v>2025</v>
      </c>
      <c r="P826">
        <v>4</v>
      </c>
      <c r="Q826" s="1" t="s">
        <v>24</v>
      </c>
    </row>
    <row r="827" spans="1:17" x14ac:dyDescent="0.3">
      <c r="A827" s="1" t="s">
        <v>892</v>
      </c>
      <c r="B827" s="1" t="s">
        <v>63</v>
      </c>
      <c r="C827" s="1" t="s">
        <v>89</v>
      </c>
      <c r="D827" s="1" t="s">
        <v>44</v>
      </c>
      <c r="E827" s="1" t="s">
        <v>21</v>
      </c>
      <c r="F827" s="1" t="s">
        <v>31</v>
      </c>
      <c r="G827" s="2">
        <v>45672</v>
      </c>
      <c r="H827" s="2">
        <v>45673</v>
      </c>
      <c r="I827" s="1" t="s">
        <v>23</v>
      </c>
      <c r="J827">
        <v>5</v>
      </c>
      <c r="K827">
        <v>1</v>
      </c>
      <c r="L827">
        <v>7</v>
      </c>
      <c r="M827" s="1" t="s">
        <v>24</v>
      </c>
      <c r="N827" s="2">
        <v>45658</v>
      </c>
      <c r="O827">
        <v>2025</v>
      </c>
      <c r="P827">
        <v>1</v>
      </c>
      <c r="Q827" s="1" t="s">
        <v>24</v>
      </c>
    </row>
    <row r="828" spans="1:17" x14ac:dyDescent="0.3">
      <c r="A828" s="1" t="s">
        <v>893</v>
      </c>
      <c r="B828" s="1" t="s">
        <v>26</v>
      </c>
      <c r="C828" s="1" t="s">
        <v>123</v>
      </c>
      <c r="D828" s="1" t="s">
        <v>51</v>
      </c>
      <c r="E828" s="1" t="s">
        <v>21</v>
      </c>
      <c r="F828" s="1" t="s">
        <v>38</v>
      </c>
      <c r="G828" s="2">
        <v>45790</v>
      </c>
      <c r="H828" s="2">
        <v>45799</v>
      </c>
      <c r="I828" s="1" t="s">
        <v>32</v>
      </c>
      <c r="J828">
        <v>5</v>
      </c>
      <c r="K828">
        <v>9</v>
      </c>
      <c r="L828">
        <v>10</v>
      </c>
      <c r="M828" s="1" t="s">
        <v>24</v>
      </c>
      <c r="N828" s="2">
        <v>45778</v>
      </c>
      <c r="O828">
        <v>2025</v>
      </c>
      <c r="P828">
        <v>2</v>
      </c>
      <c r="Q828" s="1" t="s">
        <v>24</v>
      </c>
    </row>
    <row r="829" spans="1:17" x14ac:dyDescent="0.3">
      <c r="A829" s="1" t="s">
        <v>894</v>
      </c>
      <c r="B829" s="1" t="s">
        <v>26</v>
      </c>
      <c r="C829" s="1" t="s">
        <v>67</v>
      </c>
      <c r="D829" s="1" t="s">
        <v>44</v>
      </c>
      <c r="E829" s="1" t="s">
        <v>21</v>
      </c>
      <c r="F829" s="1" t="s">
        <v>61</v>
      </c>
      <c r="G829" s="2">
        <v>45687</v>
      </c>
      <c r="H829" s="2">
        <v>45689</v>
      </c>
      <c r="I829" s="1" t="s">
        <v>32</v>
      </c>
      <c r="J829">
        <v>4</v>
      </c>
      <c r="K829">
        <v>2</v>
      </c>
      <c r="L829">
        <v>7</v>
      </c>
      <c r="M829" s="1" t="s">
        <v>24</v>
      </c>
      <c r="N829" s="2">
        <v>45658</v>
      </c>
      <c r="O829">
        <v>2025</v>
      </c>
      <c r="P829">
        <v>1</v>
      </c>
      <c r="Q829" s="1" t="s">
        <v>24</v>
      </c>
    </row>
    <row r="830" spans="1:17" x14ac:dyDescent="0.3">
      <c r="A830" s="1" t="s">
        <v>895</v>
      </c>
      <c r="B830" s="1" t="s">
        <v>63</v>
      </c>
      <c r="C830" s="1" t="s">
        <v>74</v>
      </c>
      <c r="D830" s="1" t="s">
        <v>51</v>
      </c>
      <c r="E830" s="1" t="s">
        <v>21</v>
      </c>
      <c r="F830" s="1" t="s">
        <v>22</v>
      </c>
      <c r="G830" s="2">
        <v>45840</v>
      </c>
      <c r="H830" s="2">
        <v>45842</v>
      </c>
      <c r="I830" s="1" t="s">
        <v>23</v>
      </c>
      <c r="J830">
        <v>3</v>
      </c>
      <c r="K830">
        <v>2</v>
      </c>
      <c r="L830">
        <v>10</v>
      </c>
      <c r="M830" s="1" t="s">
        <v>24</v>
      </c>
      <c r="N830" s="2">
        <v>45839</v>
      </c>
      <c r="O830">
        <v>2025</v>
      </c>
      <c r="P830">
        <v>3</v>
      </c>
      <c r="Q830" s="1" t="s">
        <v>24</v>
      </c>
    </row>
    <row r="831" spans="1:17" x14ac:dyDescent="0.3">
      <c r="A831" s="1" t="s">
        <v>896</v>
      </c>
      <c r="B831" s="1" t="s">
        <v>26</v>
      </c>
      <c r="C831" s="1" t="s">
        <v>54</v>
      </c>
      <c r="D831" s="1" t="s">
        <v>44</v>
      </c>
      <c r="E831" s="1" t="s">
        <v>21</v>
      </c>
      <c r="F831" s="1" t="s">
        <v>22</v>
      </c>
      <c r="G831" s="2">
        <v>45706</v>
      </c>
      <c r="H831" s="2">
        <v>45711</v>
      </c>
      <c r="I831" s="1" t="s">
        <v>32</v>
      </c>
      <c r="J831">
        <v>5</v>
      </c>
      <c r="K831">
        <v>5</v>
      </c>
      <c r="L831">
        <v>7</v>
      </c>
      <c r="M831" s="1" t="s">
        <v>24</v>
      </c>
      <c r="N831" s="2">
        <v>45689</v>
      </c>
      <c r="O831">
        <v>2025</v>
      </c>
      <c r="P831">
        <v>1</v>
      </c>
      <c r="Q831" s="1" t="s">
        <v>24</v>
      </c>
    </row>
    <row r="832" spans="1:17" x14ac:dyDescent="0.3">
      <c r="A832" s="1" t="s">
        <v>897</v>
      </c>
      <c r="B832" s="1" t="s">
        <v>35</v>
      </c>
      <c r="C832" s="1" t="s">
        <v>97</v>
      </c>
      <c r="D832" s="1" t="s">
        <v>51</v>
      </c>
      <c r="E832" s="1" t="s">
        <v>21</v>
      </c>
      <c r="F832" s="1" t="s">
        <v>52</v>
      </c>
      <c r="G832" s="2">
        <v>45843</v>
      </c>
      <c r="H832" s="2">
        <v>45846</v>
      </c>
      <c r="I832" s="1" t="s">
        <v>28</v>
      </c>
      <c r="J832">
        <v>4</v>
      </c>
      <c r="K832">
        <v>3</v>
      </c>
      <c r="L832">
        <v>10</v>
      </c>
      <c r="M832" s="1" t="s">
        <v>24</v>
      </c>
      <c r="N832" s="2">
        <v>45839</v>
      </c>
      <c r="O832">
        <v>2025</v>
      </c>
      <c r="P832">
        <v>3</v>
      </c>
      <c r="Q832" s="1" t="s">
        <v>24</v>
      </c>
    </row>
    <row r="833" spans="1:17" x14ac:dyDescent="0.3">
      <c r="A833" s="1" t="s">
        <v>898</v>
      </c>
      <c r="B833" s="1" t="s">
        <v>42</v>
      </c>
      <c r="C833" s="1" t="s">
        <v>76</v>
      </c>
      <c r="D833" s="1" t="s">
        <v>51</v>
      </c>
      <c r="E833" s="1" t="s">
        <v>21</v>
      </c>
      <c r="F833" s="1" t="s">
        <v>61</v>
      </c>
      <c r="G833" s="2">
        <v>45906</v>
      </c>
      <c r="H833" s="2">
        <v>45914</v>
      </c>
      <c r="I833" s="1" t="s">
        <v>23</v>
      </c>
      <c r="J833">
        <v>4</v>
      </c>
      <c r="K833">
        <v>8</v>
      </c>
      <c r="L833">
        <v>10</v>
      </c>
      <c r="M833" s="1" t="s">
        <v>24</v>
      </c>
      <c r="N833" s="2">
        <v>45901</v>
      </c>
      <c r="O833">
        <v>2025</v>
      </c>
      <c r="P833">
        <v>3</v>
      </c>
      <c r="Q833" s="1" t="s">
        <v>24</v>
      </c>
    </row>
    <row r="834" spans="1:17" x14ac:dyDescent="0.3">
      <c r="A834" s="1" t="s">
        <v>899</v>
      </c>
      <c r="B834" s="1" t="s">
        <v>63</v>
      </c>
      <c r="C834" s="1" t="s">
        <v>64</v>
      </c>
      <c r="D834" s="1" t="s">
        <v>51</v>
      </c>
      <c r="E834" s="1" t="s">
        <v>37</v>
      </c>
      <c r="F834" s="1" t="s">
        <v>22</v>
      </c>
      <c r="G834" s="2">
        <v>45944</v>
      </c>
      <c r="H834" s="2"/>
      <c r="I834" s="1" t="s">
        <v>82</v>
      </c>
      <c r="L834">
        <v>10</v>
      </c>
      <c r="M834" s="1" t="s">
        <v>40</v>
      </c>
      <c r="N834" s="2">
        <v>45931</v>
      </c>
      <c r="O834">
        <v>2025</v>
      </c>
      <c r="P834">
        <v>4</v>
      </c>
      <c r="Q834" s="1" t="s">
        <v>33</v>
      </c>
    </row>
    <row r="835" spans="1:17" x14ac:dyDescent="0.3">
      <c r="A835" s="1" t="s">
        <v>900</v>
      </c>
      <c r="B835" s="1" t="s">
        <v>26</v>
      </c>
      <c r="C835" s="1" t="s">
        <v>67</v>
      </c>
      <c r="D835" s="1" t="s">
        <v>51</v>
      </c>
      <c r="E835" s="1" t="s">
        <v>48</v>
      </c>
      <c r="F835" s="1" t="s">
        <v>61</v>
      </c>
      <c r="G835" s="2">
        <v>45717</v>
      </c>
      <c r="H835" s="2"/>
      <c r="I835" s="1" t="s">
        <v>23</v>
      </c>
      <c r="L835">
        <v>10</v>
      </c>
      <c r="M835" s="1" t="s">
        <v>40</v>
      </c>
      <c r="N835" s="2">
        <v>45717</v>
      </c>
      <c r="O835">
        <v>2025</v>
      </c>
      <c r="P835">
        <v>1</v>
      </c>
      <c r="Q835" s="1" t="s">
        <v>33</v>
      </c>
    </row>
    <row r="836" spans="1:17" x14ac:dyDescent="0.3">
      <c r="A836" s="1" t="s">
        <v>901</v>
      </c>
      <c r="B836" s="1" t="s">
        <v>58</v>
      </c>
      <c r="C836" s="1" t="s">
        <v>59</v>
      </c>
      <c r="D836" s="1" t="s">
        <v>51</v>
      </c>
      <c r="E836" s="1" t="s">
        <v>21</v>
      </c>
      <c r="F836" s="1" t="s">
        <v>52</v>
      </c>
      <c r="G836" s="2">
        <v>45884</v>
      </c>
      <c r="H836" s="2">
        <v>45894</v>
      </c>
      <c r="I836" s="1" t="s">
        <v>28</v>
      </c>
      <c r="J836">
        <v>5</v>
      </c>
      <c r="K836">
        <v>10</v>
      </c>
      <c r="L836">
        <v>10</v>
      </c>
      <c r="M836" s="1" t="s">
        <v>24</v>
      </c>
      <c r="N836" s="2">
        <v>45870</v>
      </c>
      <c r="O836">
        <v>2025</v>
      </c>
      <c r="P836">
        <v>3</v>
      </c>
      <c r="Q836" s="1" t="s">
        <v>24</v>
      </c>
    </row>
    <row r="837" spans="1:17" x14ac:dyDescent="0.3">
      <c r="A837" s="1" t="s">
        <v>902</v>
      </c>
      <c r="B837" s="1" t="s">
        <v>18</v>
      </c>
      <c r="C837" s="1" t="s">
        <v>56</v>
      </c>
      <c r="D837" s="1" t="s">
        <v>20</v>
      </c>
      <c r="E837" s="1" t="s">
        <v>37</v>
      </c>
      <c r="F837" s="1" t="s">
        <v>61</v>
      </c>
      <c r="G837" s="2">
        <v>45771</v>
      </c>
      <c r="H837" s="2"/>
      <c r="I837" s="1" t="s">
        <v>28</v>
      </c>
      <c r="L837">
        <v>14</v>
      </c>
      <c r="M837" s="1" t="s">
        <v>40</v>
      </c>
      <c r="N837" s="2">
        <v>45748</v>
      </c>
      <c r="O837">
        <v>2025</v>
      </c>
      <c r="P837">
        <v>2</v>
      </c>
      <c r="Q837" s="1" t="s">
        <v>33</v>
      </c>
    </row>
    <row r="838" spans="1:17" x14ac:dyDescent="0.3">
      <c r="A838" s="1" t="s">
        <v>903</v>
      </c>
      <c r="B838" s="1" t="s">
        <v>18</v>
      </c>
      <c r="C838" s="1" t="s">
        <v>47</v>
      </c>
      <c r="D838" s="1" t="s">
        <v>51</v>
      </c>
      <c r="E838" s="1" t="s">
        <v>21</v>
      </c>
      <c r="F838" s="1" t="s">
        <v>38</v>
      </c>
      <c r="G838" s="2">
        <v>45698</v>
      </c>
      <c r="H838" s="2">
        <v>45706</v>
      </c>
      <c r="I838" s="1" t="s">
        <v>23</v>
      </c>
      <c r="J838">
        <v>5</v>
      </c>
      <c r="K838">
        <v>8</v>
      </c>
      <c r="L838">
        <v>10</v>
      </c>
      <c r="M838" s="1" t="s">
        <v>24</v>
      </c>
      <c r="N838" s="2">
        <v>45689</v>
      </c>
      <c r="O838">
        <v>2025</v>
      </c>
      <c r="P838">
        <v>1</v>
      </c>
      <c r="Q838" s="1" t="s">
        <v>24</v>
      </c>
    </row>
    <row r="839" spans="1:17" x14ac:dyDescent="0.3">
      <c r="A839" s="1" t="s">
        <v>904</v>
      </c>
      <c r="B839" s="1" t="s">
        <v>42</v>
      </c>
      <c r="C839" s="1" t="s">
        <v>87</v>
      </c>
      <c r="D839" s="1" t="s">
        <v>44</v>
      </c>
      <c r="E839" s="1" t="s">
        <v>21</v>
      </c>
      <c r="F839" s="1" t="s">
        <v>22</v>
      </c>
      <c r="G839" s="2">
        <v>45713</v>
      </c>
      <c r="H839" s="2">
        <v>45714</v>
      </c>
      <c r="I839" s="1" t="s">
        <v>82</v>
      </c>
      <c r="J839">
        <v>5</v>
      </c>
      <c r="K839">
        <v>1</v>
      </c>
      <c r="L839">
        <v>7</v>
      </c>
      <c r="M839" s="1" t="s">
        <v>24</v>
      </c>
      <c r="N839" s="2">
        <v>45689</v>
      </c>
      <c r="O839">
        <v>2025</v>
      </c>
      <c r="P839">
        <v>1</v>
      </c>
      <c r="Q839" s="1" t="s">
        <v>24</v>
      </c>
    </row>
    <row r="840" spans="1:17" x14ac:dyDescent="0.3">
      <c r="A840" s="1" t="s">
        <v>905</v>
      </c>
      <c r="B840" s="1" t="s">
        <v>42</v>
      </c>
      <c r="C840" s="1" t="s">
        <v>87</v>
      </c>
      <c r="D840" s="1" t="s">
        <v>20</v>
      </c>
      <c r="E840" s="1" t="s">
        <v>21</v>
      </c>
      <c r="F840" s="1" t="s">
        <v>38</v>
      </c>
      <c r="G840" s="2">
        <v>45691</v>
      </c>
      <c r="H840" s="2">
        <v>45698</v>
      </c>
      <c r="I840" s="1" t="s">
        <v>23</v>
      </c>
      <c r="J840">
        <v>5</v>
      </c>
      <c r="K840">
        <v>7</v>
      </c>
      <c r="L840">
        <v>14</v>
      </c>
      <c r="M840" s="1" t="s">
        <v>24</v>
      </c>
      <c r="N840" s="2">
        <v>45689</v>
      </c>
      <c r="O840">
        <v>2025</v>
      </c>
      <c r="P840">
        <v>1</v>
      </c>
      <c r="Q840" s="1" t="s">
        <v>24</v>
      </c>
    </row>
    <row r="841" spans="1:17" x14ac:dyDescent="0.3">
      <c r="A841" s="1" t="s">
        <v>906</v>
      </c>
      <c r="B841" s="1" t="s">
        <v>26</v>
      </c>
      <c r="C841" s="1" t="s">
        <v>54</v>
      </c>
      <c r="D841" s="1" t="s">
        <v>51</v>
      </c>
      <c r="E841" s="1" t="s">
        <v>21</v>
      </c>
      <c r="F841" s="1" t="s">
        <v>61</v>
      </c>
      <c r="G841" s="2">
        <v>46001</v>
      </c>
      <c r="H841" s="2">
        <v>46008</v>
      </c>
      <c r="I841" s="1" t="s">
        <v>32</v>
      </c>
      <c r="J841">
        <v>1</v>
      </c>
      <c r="K841">
        <v>7</v>
      </c>
      <c r="L841">
        <v>10</v>
      </c>
      <c r="M841" s="1" t="s">
        <v>24</v>
      </c>
      <c r="N841" s="2">
        <v>45992</v>
      </c>
      <c r="O841">
        <v>2025</v>
      </c>
      <c r="P841">
        <v>4</v>
      </c>
      <c r="Q841" s="1" t="s">
        <v>24</v>
      </c>
    </row>
    <row r="842" spans="1:17" x14ac:dyDescent="0.3">
      <c r="A842" s="1" t="s">
        <v>907</v>
      </c>
      <c r="B842" s="1" t="s">
        <v>26</v>
      </c>
      <c r="C842" s="1" t="s">
        <v>123</v>
      </c>
      <c r="D842" s="1" t="s">
        <v>51</v>
      </c>
      <c r="E842" s="1" t="s">
        <v>37</v>
      </c>
      <c r="F842" s="1" t="s">
        <v>61</v>
      </c>
      <c r="G842" s="2">
        <v>45971</v>
      </c>
      <c r="H842" s="2"/>
      <c r="I842" s="1" t="s">
        <v>82</v>
      </c>
      <c r="L842">
        <v>10</v>
      </c>
      <c r="M842" s="1" t="s">
        <v>40</v>
      </c>
      <c r="N842" s="2">
        <v>45962</v>
      </c>
      <c r="O842">
        <v>2025</v>
      </c>
      <c r="P842">
        <v>4</v>
      </c>
      <c r="Q842" s="1" t="s">
        <v>33</v>
      </c>
    </row>
    <row r="843" spans="1:17" x14ac:dyDescent="0.3">
      <c r="A843" s="1" t="s">
        <v>908</v>
      </c>
      <c r="B843" s="1" t="s">
        <v>26</v>
      </c>
      <c r="C843" s="1" t="s">
        <v>67</v>
      </c>
      <c r="D843" s="1" t="s">
        <v>20</v>
      </c>
      <c r="E843" s="1" t="s">
        <v>21</v>
      </c>
      <c r="F843" s="1" t="s">
        <v>61</v>
      </c>
      <c r="G843" s="2">
        <v>45665</v>
      </c>
      <c r="H843" s="2">
        <v>45676</v>
      </c>
      <c r="I843" s="1" t="s">
        <v>32</v>
      </c>
      <c r="J843">
        <v>3</v>
      </c>
      <c r="K843">
        <v>11</v>
      </c>
      <c r="L843">
        <v>14</v>
      </c>
      <c r="M843" s="1" t="s">
        <v>24</v>
      </c>
      <c r="N843" s="2">
        <v>45658</v>
      </c>
      <c r="O843">
        <v>2025</v>
      </c>
      <c r="P843">
        <v>1</v>
      </c>
      <c r="Q843" s="1" t="s">
        <v>24</v>
      </c>
    </row>
    <row r="844" spans="1:17" x14ac:dyDescent="0.3">
      <c r="A844" s="1" t="s">
        <v>909</v>
      </c>
      <c r="B844" s="1" t="s">
        <v>63</v>
      </c>
      <c r="C844" s="1" t="s">
        <v>74</v>
      </c>
      <c r="D844" s="1" t="s">
        <v>71</v>
      </c>
      <c r="E844" s="1" t="s">
        <v>21</v>
      </c>
      <c r="F844" s="1" t="s">
        <v>22</v>
      </c>
      <c r="G844" s="2">
        <v>45767</v>
      </c>
      <c r="H844" s="2">
        <v>45770</v>
      </c>
      <c r="I844" s="1" t="s">
        <v>28</v>
      </c>
      <c r="J844">
        <v>4</v>
      </c>
      <c r="K844">
        <v>3</v>
      </c>
      <c r="L844">
        <v>3</v>
      </c>
      <c r="M844" s="1" t="s">
        <v>24</v>
      </c>
      <c r="N844" s="2">
        <v>45748</v>
      </c>
      <c r="O844">
        <v>2025</v>
      </c>
      <c r="P844">
        <v>2</v>
      </c>
      <c r="Q844" s="1" t="s">
        <v>24</v>
      </c>
    </row>
    <row r="845" spans="1:17" x14ac:dyDescent="0.3">
      <c r="A845" s="1" t="s">
        <v>910</v>
      </c>
      <c r="B845" s="1" t="s">
        <v>58</v>
      </c>
      <c r="C845" s="1" t="s">
        <v>70</v>
      </c>
      <c r="D845" s="1" t="s">
        <v>20</v>
      </c>
      <c r="E845" s="1" t="s">
        <v>21</v>
      </c>
      <c r="F845" s="1" t="s">
        <v>61</v>
      </c>
      <c r="G845" s="2">
        <v>45852</v>
      </c>
      <c r="H845" s="2">
        <v>45861</v>
      </c>
      <c r="I845" s="1" t="s">
        <v>39</v>
      </c>
      <c r="J845">
        <v>3</v>
      </c>
      <c r="K845">
        <v>9</v>
      </c>
      <c r="L845">
        <v>14</v>
      </c>
      <c r="M845" s="1" t="s">
        <v>24</v>
      </c>
      <c r="N845" s="2">
        <v>45839</v>
      </c>
      <c r="O845">
        <v>2025</v>
      </c>
      <c r="P845">
        <v>3</v>
      </c>
      <c r="Q845" s="1" t="s">
        <v>24</v>
      </c>
    </row>
    <row r="846" spans="1:17" x14ac:dyDescent="0.3">
      <c r="A846" s="1" t="s">
        <v>911</v>
      </c>
      <c r="B846" s="1" t="s">
        <v>42</v>
      </c>
      <c r="C846" s="1" t="s">
        <v>43</v>
      </c>
      <c r="D846" s="1" t="s">
        <v>20</v>
      </c>
      <c r="E846" s="1" t="s">
        <v>21</v>
      </c>
      <c r="F846" s="1" t="s">
        <v>52</v>
      </c>
      <c r="G846" s="2">
        <v>45727</v>
      </c>
      <c r="H846" s="2">
        <v>45737</v>
      </c>
      <c r="I846" s="1" t="s">
        <v>82</v>
      </c>
      <c r="J846">
        <v>5</v>
      </c>
      <c r="K846">
        <v>10</v>
      </c>
      <c r="L846">
        <v>14</v>
      </c>
      <c r="M846" s="1" t="s">
        <v>24</v>
      </c>
      <c r="N846" s="2">
        <v>45717</v>
      </c>
      <c r="O846">
        <v>2025</v>
      </c>
      <c r="P846">
        <v>1</v>
      </c>
      <c r="Q846" s="1" t="s">
        <v>24</v>
      </c>
    </row>
    <row r="847" spans="1:17" x14ac:dyDescent="0.3">
      <c r="A847" s="1" t="s">
        <v>912</v>
      </c>
      <c r="B847" s="1" t="s">
        <v>18</v>
      </c>
      <c r="C847" s="1" t="s">
        <v>19</v>
      </c>
      <c r="D847" s="1" t="s">
        <v>20</v>
      </c>
      <c r="E847" s="1" t="s">
        <v>21</v>
      </c>
      <c r="F847" s="1" t="s">
        <v>52</v>
      </c>
      <c r="G847" s="2">
        <v>45855</v>
      </c>
      <c r="H847" s="2">
        <v>45862</v>
      </c>
      <c r="I847" s="1" t="s">
        <v>39</v>
      </c>
      <c r="J847">
        <v>4</v>
      </c>
      <c r="K847">
        <v>7</v>
      </c>
      <c r="L847">
        <v>14</v>
      </c>
      <c r="M847" s="1" t="s">
        <v>24</v>
      </c>
      <c r="N847" s="2">
        <v>45839</v>
      </c>
      <c r="O847">
        <v>2025</v>
      </c>
      <c r="P847">
        <v>3</v>
      </c>
      <c r="Q847" s="1" t="s">
        <v>24</v>
      </c>
    </row>
    <row r="848" spans="1:17" x14ac:dyDescent="0.3">
      <c r="A848" s="1" t="s">
        <v>913</v>
      </c>
      <c r="B848" s="1" t="s">
        <v>63</v>
      </c>
      <c r="C848" s="1" t="s">
        <v>89</v>
      </c>
      <c r="D848" s="1" t="s">
        <v>51</v>
      </c>
      <c r="E848" s="1" t="s">
        <v>37</v>
      </c>
      <c r="F848" s="1" t="s">
        <v>38</v>
      </c>
      <c r="G848" s="2">
        <v>45754</v>
      </c>
      <c r="H848" s="2"/>
      <c r="I848" s="1" t="s">
        <v>39</v>
      </c>
      <c r="L848">
        <v>10</v>
      </c>
      <c r="M848" s="1" t="s">
        <v>40</v>
      </c>
      <c r="N848" s="2">
        <v>45748</v>
      </c>
      <c r="O848">
        <v>2025</v>
      </c>
      <c r="P848">
        <v>2</v>
      </c>
      <c r="Q848" s="1" t="s">
        <v>33</v>
      </c>
    </row>
    <row r="849" spans="1:17" x14ac:dyDescent="0.3">
      <c r="A849" s="1" t="s">
        <v>914</v>
      </c>
      <c r="B849" s="1" t="s">
        <v>18</v>
      </c>
      <c r="C849" s="1" t="s">
        <v>56</v>
      </c>
      <c r="D849" s="1" t="s">
        <v>20</v>
      </c>
      <c r="E849" s="1" t="s">
        <v>48</v>
      </c>
      <c r="F849" s="1" t="s">
        <v>38</v>
      </c>
      <c r="G849" s="2">
        <v>45909</v>
      </c>
      <c r="H849" s="2"/>
      <c r="I849" s="1" t="s">
        <v>39</v>
      </c>
      <c r="L849">
        <v>14</v>
      </c>
      <c r="M849" s="1" t="s">
        <v>40</v>
      </c>
      <c r="N849" s="2">
        <v>45901</v>
      </c>
      <c r="O849">
        <v>2025</v>
      </c>
      <c r="P849">
        <v>3</v>
      </c>
      <c r="Q849" s="1" t="s">
        <v>33</v>
      </c>
    </row>
    <row r="850" spans="1:17" x14ac:dyDescent="0.3">
      <c r="A850" s="1" t="s">
        <v>915</v>
      </c>
      <c r="B850" s="1" t="s">
        <v>58</v>
      </c>
      <c r="C850" s="1" t="s">
        <v>70</v>
      </c>
      <c r="D850" s="1" t="s">
        <v>20</v>
      </c>
      <c r="E850" s="1" t="s">
        <v>21</v>
      </c>
      <c r="F850" s="1" t="s">
        <v>61</v>
      </c>
      <c r="G850" s="2">
        <v>46013</v>
      </c>
      <c r="H850" s="2">
        <v>46025</v>
      </c>
      <c r="I850" s="1" t="s">
        <v>23</v>
      </c>
      <c r="J850">
        <v>5</v>
      </c>
      <c r="K850">
        <v>12</v>
      </c>
      <c r="L850">
        <v>14</v>
      </c>
      <c r="M850" s="1" t="s">
        <v>24</v>
      </c>
      <c r="N850" s="2">
        <v>45992</v>
      </c>
      <c r="O850">
        <v>2025</v>
      </c>
      <c r="P850">
        <v>4</v>
      </c>
      <c r="Q850" s="1" t="s">
        <v>24</v>
      </c>
    </row>
    <row r="851" spans="1:17" x14ac:dyDescent="0.3">
      <c r="A851" s="1" t="s">
        <v>916</v>
      </c>
      <c r="B851" s="1" t="s">
        <v>35</v>
      </c>
      <c r="C851" s="1" t="s">
        <v>36</v>
      </c>
      <c r="D851" s="1" t="s">
        <v>51</v>
      </c>
      <c r="E851" s="1" t="s">
        <v>21</v>
      </c>
      <c r="F851" s="1" t="s">
        <v>31</v>
      </c>
      <c r="G851" s="2">
        <v>45864</v>
      </c>
      <c r="H851" s="2">
        <v>45867</v>
      </c>
      <c r="I851" s="1" t="s">
        <v>39</v>
      </c>
      <c r="J851">
        <v>3</v>
      </c>
      <c r="K851">
        <v>3</v>
      </c>
      <c r="L851">
        <v>10</v>
      </c>
      <c r="M851" s="1" t="s">
        <v>24</v>
      </c>
      <c r="N851" s="2">
        <v>45839</v>
      </c>
      <c r="O851">
        <v>2025</v>
      </c>
      <c r="P851">
        <v>3</v>
      </c>
      <c r="Q851" s="1" t="s">
        <v>24</v>
      </c>
    </row>
    <row r="852" spans="1:17" x14ac:dyDescent="0.3">
      <c r="A852" s="1" t="s">
        <v>917</v>
      </c>
      <c r="B852" s="1" t="s">
        <v>35</v>
      </c>
      <c r="C852" s="1" t="s">
        <v>97</v>
      </c>
      <c r="D852" s="1" t="s">
        <v>44</v>
      </c>
      <c r="E852" s="1" t="s">
        <v>37</v>
      </c>
      <c r="F852" s="1" t="s">
        <v>52</v>
      </c>
      <c r="G852" s="2">
        <v>45862</v>
      </c>
      <c r="H852" s="2"/>
      <c r="I852" s="1" t="s">
        <v>39</v>
      </c>
      <c r="L852">
        <v>7</v>
      </c>
      <c r="M852" s="1" t="s">
        <v>40</v>
      </c>
      <c r="N852" s="2">
        <v>45839</v>
      </c>
      <c r="O852">
        <v>2025</v>
      </c>
      <c r="P852">
        <v>3</v>
      </c>
      <c r="Q852" s="1" t="s">
        <v>33</v>
      </c>
    </row>
    <row r="853" spans="1:17" x14ac:dyDescent="0.3">
      <c r="A853" s="1" t="s">
        <v>918</v>
      </c>
      <c r="B853" s="1" t="s">
        <v>18</v>
      </c>
      <c r="C853" s="1" t="s">
        <v>30</v>
      </c>
      <c r="D853" s="1" t="s">
        <v>71</v>
      </c>
      <c r="E853" s="1" t="s">
        <v>21</v>
      </c>
      <c r="F853" s="1" t="s">
        <v>52</v>
      </c>
      <c r="G853" s="2">
        <v>45733</v>
      </c>
      <c r="H853" s="2">
        <v>45736</v>
      </c>
      <c r="I853" s="1" t="s">
        <v>39</v>
      </c>
      <c r="J853">
        <v>2</v>
      </c>
      <c r="K853">
        <v>3</v>
      </c>
      <c r="L853">
        <v>3</v>
      </c>
      <c r="M853" s="1" t="s">
        <v>24</v>
      </c>
      <c r="N853" s="2">
        <v>45717</v>
      </c>
      <c r="O853">
        <v>2025</v>
      </c>
      <c r="P853">
        <v>1</v>
      </c>
      <c r="Q853" s="1" t="s">
        <v>24</v>
      </c>
    </row>
    <row r="854" spans="1:17" x14ac:dyDescent="0.3">
      <c r="A854" s="1" t="s">
        <v>919</v>
      </c>
      <c r="B854" s="1" t="s">
        <v>58</v>
      </c>
      <c r="C854" s="1" t="s">
        <v>108</v>
      </c>
      <c r="D854" s="1" t="s">
        <v>51</v>
      </c>
      <c r="E854" s="1" t="s">
        <v>21</v>
      </c>
      <c r="F854" s="1" t="s">
        <v>31</v>
      </c>
      <c r="G854" s="2">
        <v>45708</v>
      </c>
      <c r="H854" s="2">
        <v>45710</v>
      </c>
      <c r="I854" s="1" t="s">
        <v>23</v>
      </c>
      <c r="J854">
        <v>5</v>
      </c>
      <c r="K854">
        <v>2</v>
      </c>
      <c r="L854">
        <v>10</v>
      </c>
      <c r="M854" s="1" t="s">
        <v>24</v>
      </c>
      <c r="N854" s="2">
        <v>45689</v>
      </c>
      <c r="O854">
        <v>2025</v>
      </c>
      <c r="P854">
        <v>1</v>
      </c>
      <c r="Q854" s="1" t="s">
        <v>24</v>
      </c>
    </row>
    <row r="855" spans="1:17" x14ac:dyDescent="0.3">
      <c r="A855" s="1" t="s">
        <v>920</v>
      </c>
      <c r="B855" s="1" t="s">
        <v>63</v>
      </c>
      <c r="C855" s="1" t="s">
        <v>89</v>
      </c>
      <c r="D855" s="1" t="s">
        <v>51</v>
      </c>
      <c r="E855" s="1" t="s">
        <v>21</v>
      </c>
      <c r="F855" s="1" t="s">
        <v>22</v>
      </c>
      <c r="G855" s="2">
        <v>45813</v>
      </c>
      <c r="H855" s="2">
        <v>45816</v>
      </c>
      <c r="I855" s="1" t="s">
        <v>39</v>
      </c>
      <c r="J855">
        <v>5</v>
      </c>
      <c r="K855">
        <v>3</v>
      </c>
      <c r="L855">
        <v>10</v>
      </c>
      <c r="M855" s="1" t="s">
        <v>24</v>
      </c>
      <c r="N855" s="2">
        <v>45809</v>
      </c>
      <c r="O855">
        <v>2025</v>
      </c>
      <c r="P855">
        <v>2</v>
      </c>
      <c r="Q855" s="1" t="s">
        <v>24</v>
      </c>
    </row>
    <row r="856" spans="1:17" x14ac:dyDescent="0.3">
      <c r="A856" s="1" t="s">
        <v>921</v>
      </c>
      <c r="B856" s="1" t="s">
        <v>58</v>
      </c>
      <c r="C856" s="1" t="s">
        <v>108</v>
      </c>
      <c r="D856" s="1" t="s">
        <v>51</v>
      </c>
      <c r="E856" s="1" t="s">
        <v>21</v>
      </c>
      <c r="F856" s="1" t="s">
        <v>22</v>
      </c>
      <c r="G856" s="2">
        <v>45916</v>
      </c>
      <c r="H856" s="2">
        <v>45922</v>
      </c>
      <c r="I856" s="1" t="s">
        <v>82</v>
      </c>
      <c r="J856">
        <v>4</v>
      </c>
      <c r="K856">
        <v>6</v>
      </c>
      <c r="L856">
        <v>10</v>
      </c>
      <c r="M856" s="1" t="s">
        <v>24</v>
      </c>
      <c r="N856" s="2">
        <v>45901</v>
      </c>
      <c r="O856">
        <v>2025</v>
      </c>
      <c r="P856">
        <v>3</v>
      </c>
      <c r="Q856" s="1" t="s">
        <v>24</v>
      </c>
    </row>
    <row r="857" spans="1:17" x14ac:dyDescent="0.3">
      <c r="A857" s="1" t="s">
        <v>922</v>
      </c>
      <c r="B857" s="1" t="s">
        <v>42</v>
      </c>
      <c r="C857" s="1" t="s">
        <v>81</v>
      </c>
      <c r="D857" s="1" t="s">
        <v>71</v>
      </c>
      <c r="E857" s="1" t="s">
        <v>48</v>
      </c>
      <c r="F857" s="1" t="s">
        <v>31</v>
      </c>
      <c r="G857" s="2">
        <v>45718</v>
      </c>
      <c r="H857" s="2"/>
      <c r="I857" s="1" t="s">
        <v>39</v>
      </c>
      <c r="L857">
        <v>3</v>
      </c>
      <c r="M857" s="1" t="s">
        <v>40</v>
      </c>
      <c r="N857" s="2">
        <v>45717</v>
      </c>
      <c r="O857">
        <v>2025</v>
      </c>
      <c r="P857">
        <v>1</v>
      </c>
      <c r="Q857" s="1" t="s">
        <v>33</v>
      </c>
    </row>
    <row r="858" spans="1:17" x14ac:dyDescent="0.3">
      <c r="A858" s="1" t="s">
        <v>923</v>
      </c>
      <c r="B858" s="1" t="s">
        <v>35</v>
      </c>
      <c r="C858" s="1" t="s">
        <v>50</v>
      </c>
      <c r="D858" s="1" t="s">
        <v>51</v>
      </c>
      <c r="E858" s="1" t="s">
        <v>21</v>
      </c>
      <c r="F858" s="1" t="s">
        <v>52</v>
      </c>
      <c r="G858" s="2">
        <v>45748</v>
      </c>
      <c r="H858" s="2">
        <v>45758</v>
      </c>
      <c r="I858" s="1" t="s">
        <v>28</v>
      </c>
      <c r="J858">
        <v>4</v>
      </c>
      <c r="K858">
        <v>10</v>
      </c>
      <c r="L858">
        <v>10</v>
      </c>
      <c r="M858" s="1" t="s">
        <v>24</v>
      </c>
      <c r="N858" s="2">
        <v>45748</v>
      </c>
      <c r="O858">
        <v>2025</v>
      </c>
      <c r="P858">
        <v>2</v>
      </c>
      <c r="Q858" s="1" t="s">
        <v>24</v>
      </c>
    </row>
    <row r="859" spans="1:17" x14ac:dyDescent="0.3">
      <c r="A859" s="1" t="s">
        <v>924</v>
      </c>
      <c r="B859" s="1" t="s">
        <v>58</v>
      </c>
      <c r="C859" s="1" t="s">
        <v>145</v>
      </c>
      <c r="D859" s="1" t="s">
        <v>20</v>
      </c>
      <c r="E859" s="1" t="s">
        <v>21</v>
      </c>
      <c r="F859" s="1" t="s">
        <v>31</v>
      </c>
      <c r="G859" s="2">
        <v>45907</v>
      </c>
      <c r="H859" s="2">
        <v>45922</v>
      </c>
      <c r="I859" s="1" t="s">
        <v>82</v>
      </c>
      <c r="J859">
        <v>2</v>
      </c>
      <c r="K859">
        <v>15</v>
      </c>
      <c r="L859">
        <v>14</v>
      </c>
      <c r="M859" s="1" t="s">
        <v>33</v>
      </c>
      <c r="N859" s="2">
        <v>45901</v>
      </c>
      <c r="O859">
        <v>2025</v>
      </c>
      <c r="P859">
        <v>3</v>
      </c>
      <c r="Q859" s="1" t="s">
        <v>24</v>
      </c>
    </row>
    <row r="860" spans="1:17" x14ac:dyDescent="0.3">
      <c r="A860" s="1" t="s">
        <v>925</v>
      </c>
      <c r="B860" s="1" t="s">
        <v>18</v>
      </c>
      <c r="C860" s="1" t="s">
        <v>30</v>
      </c>
      <c r="D860" s="1" t="s">
        <v>51</v>
      </c>
      <c r="E860" s="1" t="s">
        <v>37</v>
      </c>
      <c r="F860" s="1" t="s">
        <v>38</v>
      </c>
      <c r="G860" s="2">
        <v>45917</v>
      </c>
      <c r="H860" s="2"/>
      <c r="I860" s="1" t="s">
        <v>39</v>
      </c>
      <c r="L860">
        <v>10</v>
      </c>
      <c r="M860" s="1" t="s">
        <v>40</v>
      </c>
      <c r="N860" s="2">
        <v>45901</v>
      </c>
      <c r="O860">
        <v>2025</v>
      </c>
      <c r="P860">
        <v>3</v>
      </c>
      <c r="Q860" s="1" t="s">
        <v>33</v>
      </c>
    </row>
    <row r="861" spans="1:17" x14ac:dyDescent="0.3">
      <c r="A861" s="1" t="s">
        <v>926</v>
      </c>
      <c r="B861" s="1" t="s">
        <v>35</v>
      </c>
      <c r="C861" s="1" t="s">
        <v>50</v>
      </c>
      <c r="D861" s="1" t="s">
        <v>51</v>
      </c>
      <c r="E861" s="1" t="s">
        <v>21</v>
      </c>
      <c r="F861" s="1" t="s">
        <v>52</v>
      </c>
      <c r="G861" s="2">
        <v>46004</v>
      </c>
      <c r="H861" s="2">
        <v>46011</v>
      </c>
      <c r="I861" s="1" t="s">
        <v>32</v>
      </c>
      <c r="J861">
        <v>5</v>
      </c>
      <c r="K861">
        <v>7</v>
      </c>
      <c r="L861">
        <v>10</v>
      </c>
      <c r="M861" s="1" t="s">
        <v>24</v>
      </c>
      <c r="N861" s="2">
        <v>45992</v>
      </c>
      <c r="O861">
        <v>2025</v>
      </c>
      <c r="P861">
        <v>4</v>
      </c>
      <c r="Q861" s="1" t="s">
        <v>24</v>
      </c>
    </row>
    <row r="862" spans="1:17" x14ac:dyDescent="0.3">
      <c r="A862" s="1" t="s">
        <v>927</v>
      </c>
      <c r="B862" s="1" t="s">
        <v>42</v>
      </c>
      <c r="C862" s="1" t="s">
        <v>81</v>
      </c>
      <c r="D862" s="1" t="s">
        <v>51</v>
      </c>
      <c r="E862" s="1" t="s">
        <v>21</v>
      </c>
      <c r="F862" s="1" t="s">
        <v>22</v>
      </c>
      <c r="G862" s="2">
        <v>45845</v>
      </c>
      <c r="H862" s="2">
        <v>45852</v>
      </c>
      <c r="I862" s="1" t="s">
        <v>23</v>
      </c>
      <c r="J862">
        <v>5</v>
      </c>
      <c r="K862">
        <v>7</v>
      </c>
      <c r="L862">
        <v>10</v>
      </c>
      <c r="M862" s="1" t="s">
        <v>24</v>
      </c>
      <c r="N862" s="2">
        <v>45839</v>
      </c>
      <c r="O862">
        <v>2025</v>
      </c>
      <c r="P862">
        <v>3</v>
      </c>
      <c r="Q862" s="1" t="s">
        <v>24</v>
      </c>
    </row>
    <row r="863" spans="1:17" x14ac:dyDescent="0.3">
      <c r="A863" s="1" t="s">
        <v>928</v>
      </c>
      <c r="B863" s="1" t="s">
        <v>18</v>
      </c>
      <c r="C863" s="1" t="s">
        <v>56</v>
      </c>
      <c r="D863" s="1" t="s">
        <v>51</v>
      </c>
      <c r="E863" s="1" t="s">
        <v>21</v>
      </c>
      <c r="F863" s="1" t="s">
        <v>61</v>
      </c>
      <c r="G863" s="2">
        <v>45840</v>
      </c>
      <c r="H863" s="2">
        <v>45848</v>
      </c>
      <c r="I863" s="1" t="s">
        <v>28</v>
      </c>
      <c r="J863">
        <v>4</v>
      </c>
      <c r="K863">
        <v>8</v>
      </c>
      <c r="L863">
        <v>10</v>
      </c>
      <c r="M863" s="1" t="s">
        <v>24</v>
      </c>
      <c r="N863" s="2">
        <v>45839</v>
      </c>
      <c r="O863">
        <v>2025</v>
      </c>
      <c r="P863">
        <v>3</v>
      </c>
      <c r="Q863" s="1" t="s">
        <v>24</v>
      </c>
    </row>
    <row r="864" spans="1:17" x14ac:dyDescent="0.3">
      <c r="A864" s="1" t="s">
        <v>929</v>
      </c>
      <c r="B864" s="1" t="s">
        <v>63</v>
      </c>
      <c r="C864" s="1" t="s">
        <v>84</v>
      </c>
      <c r="D864" s="1" t="s">
        <v>51</v>
      </c>
      <c r="E864" s="1" t="s">
        <v>48</v>
      </c>
      <c r="F864" s="1" t="s">
        <v>52</v>
      </c>
      <c r="G864" s="2">
        <v>45691</v>
      </c>
      <c r="H864" s="2"/>
      <c r="I864" s="1" t="s">
        <v>23</v>
      </c>
      <c r="L864">
        <v>10</v>
      </c>
      <c r="M864" s="1" t="s">
        <v>40</v>
      </c>
      <c r="N864" s="2">
        <v>45689</v>
      </c>
      <c r="O864">
        <v>2025</v>
      </c>
      <c r="P864">
        <v>1</v>
      </c>
      <c r="Q864" s="1" t="s">
        <v>33</v>
      </c>
    </row>
    <row r="865" spans="1:17" x14ac:dyDescent="0.3">
      <c r="A865" s="1" t="s">
        <v>930</v>
      </c>
      <c r="B865" s="1" t="s">
        <v>35</v>
      </c>
      <c r="C865" s="1" t="s">
        <v>36</v>
      </c>
      <c r="D865" s="1" t="s">
        <v>20</v>
      </c>
      <c r="E865" s="1" t="s">
        <v>21</v>
      </c>
      <c r="F865" s="1" t="s">
        <v>22</v>
      </c>
      <c r="G865" s="2">
        <v>45893</v>
      </c>
      <c r="H865" s="2">
        <v>45906</v>
      </c>
      <c r="I865" s="1" t="s">
        <v>82</v>
      </c>
      <c r="J865">
        <v>5</v>
      </c>
      <c r="K865">
        <v>13</v>
      </c>
      <c r="L865">
        <v>14</v>
      </c>
      <c r="M865" s="1" t="s">
        <v>24</v>
      </c>
      <c r="N865" s="2">
        <v>45870</v>
      </c>
      <c r="O865">
        <v>2025</v>
      </c>
      <c r="P865">
        <v>3</v>
      </c>
      <c r="Q865" s="1" t="s">
        <v>24</v>
      </c>
    </row>
    <row r="866" spans="1:17" x14ac:dyDescent="0.3">
      <c r="A866" s="1" t="s">
        <v>931</v>
      </c>
      <c r="B866" s="1" t="s">
        <v>58</v>
      </c>
      <c r="C866" s="1" t="s">
        <v>59</v>
      </c>
      <c r="D866" s="1" t="s">
        <v>20</v>
      </c>
      <c r="E866" s="1" t="s">
        <v>21</v>
      </c>
      <c r="F866" s="1" t="s">
        <v>31</v>
      </c>
      <c r="G866" s="2">
        <v>45669</v>
      </c>
      <c r="H866" s="2">
        <v>45677</v>
      </c>
      <c r="I866" s="1" t="s">
        <v>32</v>
      </c>
      <c r="J866">
        <v>4</v>
      </c>
      <c r="K866">
        <v>8</v>
      </c>
      <c r="L866">
        <v>14</v>
      </c>
      <c r="M866" s="1" t="s">
        <v>24</v>
      </c>
      <c r="N866" s="2">
        <v>45658</v>
      </c>
      <c r="O866">
        <v>2025</v>
      </c>
      <c r="P866">
        <v>1</v>
      </c>
      <c r="Q866" s="1" t="s">
        <v>24</v>
      </c>
    </row>
    <row r="867" spans="1:17" x14ac:dyDescent="0.3">
      <c r="A867" s="1" t="s">
        <v>932</v>
      </c>
      <c r="B867" s="1" t="s">
        <v>26</v>
      </c>
      <c r="C867" s="1" t="s">
        <v>67</v>
      </c>
      <c r="D867" s="1" t="s">
        <v>44</v>
      </c>
      <c r="E867" s="1" t="s">
        <v>21</v>
      </c>
      <c r="F867" s="1" t="s">
        <v>22</v>
      </c>
      <c r="G867" s="2">
        <v>46003</v>
      </c>
      <c r="H867" s="2">
        <v>46005</v>
      </c>
      <c r="I867" s="1" t="s">
        <v>32</v>
      </c>
      <c r="J867">
        <v>4</v>
      </c>
      <c r="K867">
        <v>2</v>
      </c>
      <c r="L867">
        <v>7</v>
      </c>
      <c r="M867" s="1" t="s">
        <v>24</v>
      </c>
      <c r="N867" s="2">
        <v>45992</v>
      </c>
      <c r="O867">
        <v>2025</v>
      </c>
      <c r="P867">
        <v>4</v>
      </c>
      <c r="Q867" s="1" t="s">
        <v>24</v>
      </c>
    </row>
    <row r="868" spans="1:17" x14ac:dyDescent="0.3">
      <c r="A868" s="1" t="s">
        <v>933</v>
      </c>
      <c r="B868" s="1" t="s">
        <v>63</v>
      </c>
      <c r="C868" s="1" t="s">
        <v>84</v>
      </c>
      <c r="D868" s="1" t="s">
        <v>51</v>
      </c>
      <c r="E868" s="1" t="s">
        <v>21</v>
      </c>
      <c r="F868" s="1" t="s">
        <v>22</v>
      </c>
      <c r="G868" s="2">
        <v>45912</v>
      </c>
      <c r="H868" s="2">
        <v>45915</v>
      </c>
      <c r="I868" s="1" t="s">
        <v>28</v>
      </c>
      <c r="J868">
        <v>5</v>
      </c>
      <c r="K868">
        <v>3</v>
      </c>
      <c r="L868">
        <v>10</v>
      </c>
      <c r="M868" s="1" t="s">
        <v>24</v>
      </c>
      <c r="N868" s="2">
        <v>45901</v>
      </c>
      <c r="O868">
        <v>2025</v>
      </c>
      <c r="P868">
        <v>3</v>
      </c>
      <c r="Q868" s="1" t="s">
        <v>24</v>
      </c>
    </row>
    <row r="869" spans="1:17" x14ac:dyDescent="0.3">
      <c r="A869" s="1" t="s">
        <v>934</v>
      </c>
      <c r="B869" s="1" t="s">
        <v>35</v>
      </c>
      <c r="C869" s="1" t="s">
        <v>97</v>
      </c>
      <c r="D869" s="1" t="s">
        <v>20</v>
      </c>
      <c r="E869" s="1" t="s">
        <v>48</v>
      </c>
      <c r="F869" s="1" t="s">
        <v>61</v>
      </c>
      <c r="G869" s="2">
        <v>45863</v>
      </c>
      <c r="H869" s="2"/>
      <c r="I869" s="1" t="s">
        <v>82</v>
      </c>
      <c r="L869">
        <v>14</v>
      </c>
      <c r="M869" s="1" t="s">
        <v>40</v>
      </c>
      <c r="N869" s="2">
        <v>45839</v>
      </c>
      <c r="O869">
        <v>2025</v>
      </c>
      <c r="P869">
        <v>3</v>
      </c>
      <c r="Q869" s="1" t="s">
        <v>33</v>
      </c>
    </row>
    <row r="870" spans="1:17" x14ac:dyDescent="0.3">
      <c r="A870" s="1" t="s">
        <v>935</v>
      </c>
      <c r="B870" s="1" t="s">
        <v>18</v>
      </c>
      <c r="C870" s="1" t="s">
        <v>19</v>
      </c>
      <c r="D870" s="1" t="s">
        <v>44</v>
      </c>
      <c r="E870" s="1" t="s">
        <v>21</v>
      </c>
      <c r="F870" s="1" t="s">
        <v>22</v>
      </c>
      <c r="G870" s="2">
        <v>45961</v>
      </c>
      <c r="H870" s="2">
        <v>45964</v>
      </c>
      <c r="I870" s="1" t="s">
        <v>82</v>
      </c>
      <c r="J870">
        <v>3</v>
      </c>
      <c r="K870">
        <v>3</v>
      </c>
      <c r="L870">
        <v>7</v>
      </c>
      <c r="M870" s="1" t="s">
        <v>24</v>
      </c>
      <c r="N870" s="2">
        <v>45931</v>
      </c>
      <c r="O870">
        <v>2025</v>
      </c>
      <c r="P870">
        <v>4</v>
      </c>
      <c r="Q870" s="1" t="s">
        <v>24</v>
      </c>
    </row>
    <row r="871" spans="1:17" x14ac:dyDescent="0.3">
      <c r="A871" s="1" t="s">
        <v>936</v>
      </c>
      <c r="B871" s="1" t="s">
        <v>58</v>
      </c>
      <c r="C871" s="1" t="s">
        <v>145</v>
      </c>
      <c r="D871" s="1" t="s">
        <v>20</v>
      </c>
      <c r="E871" s="1" t="s">
        <v>37</v>
      </c>
      <c r="F871" s="1" t="s">
        <v>52</v>
      </c>
      <c r="G871" s="2">
        <v>45991</v>
      </c>
      <c r="H871" s="2"/>
      <c r="I871" s="1" t="s">
        <v>82</v>
      </c>
      <c r="L871">
        <v>14</v>
      </c>
      <c r="M871" s="1" t="s">
        <v>40</v>
      </c>
      <c r="N871" s="2">
        <v>45962</v>
      </c>
      <c r="O871">
        <v>2025</v>
      </c>
      <c r="P871">
        <v>4</v>
      </c>
      <c r="Q871" s="1" t="s">
        <v>33</v>
      </c>
    </row>
    <row r="872" spans="1:17" x14ac:dyDescent="0.3">
      <c r="A872" s="1" t="s">
        <v>937</v>
      </c>
      <c r="B872" s="1" t="s">
        <v>35</v>
      </c>
      <c r="C872" s="1" t="s">
        <v>50</v>
      </c>
      <c r="D872" s="1" t="s">
        <v>51</v>
      </c>
      <c r="E872" s="1" t="s">
        <v>21</v>
      </c>
      <c r="F872" s="1" t="s">
        <v>22</v>
      </c>
      <c r="G872" s="2">
        <v>45870</v>
      </c>
      <c r="H872" s="2">
        <v>45878</v>
      </c>
      <c r="I872" s="1" t="s">
        <v>39</v>
      </c>
      <c r="J872">
        <v>3</v>
      </c>
      <c r="K872">
        <v>8</v>
      </c>
      <c r="L872">
        <v>10</v>
      </c>
      <c r="M872" s="1" t="s">
        <v>24</v>
      </c>
      <c r="N872" s="2">
        <v>45870</v>
      </c>
      <c r="O872">
        <v>2025</v>
      </c>
      <c r="P872">
        <v>3</v>
      </c>
      <c r="Q872" s="1" t="s">
        <v>24</v>
      </c>
    </row>
    <row r="873" spans="1:17" x14ac:dyDescent="0.3">
      <c r="A873" s="1" t="s">
        <v>938</v>
      </c>
      <c r="B873" s="1" t="s">
        <v>18</v>
      </c>
      <c r="C873" s="1" t="s">
        <v>47</v>
      </c>
      <c r="D873" s="1" t="s">
        <v>44</v>
      </c>
      <c r="E873" s="1" t="s">
        <v>21</v>
      </c>
      <c r="F873" s="1" t="s">
        <v>31</v>
      </c>
      <c r="G873" s="2">
        <v>45922</v>
      </c>
      <c r="H873" s="2">
        <v>45929</v>
      </c>
      <c r="I873" s="1" t="s">
        <v>28</v>
      </c>
      <c r="J873">
        <v>3</v>
      </c>
      <c r="K873">
        <v>7</v>
      </c>
      <c r="L873">
        <v>7</v>
      </c>
      <c r="M873" s="1" t="s">
        <v>24</v>
      </c>
      <c r="N873" s="2">
        <v>45901</v>
      </c>
      <c r="O873">
        <v>2025</v>
      </c>
      <c r="P873">
        <v>3</v>
      </c>
      <c r="Q873" s="1" t="s">
        <v>24</v>
      </c>
    </row>
    <row r="874" spans="1:17" x14ac:dyDescent="0.3">
      <c r="A874" s="1" t="s">
        <v>939</v>
      </c>
      <c r="B874" s="1" t="s">
        <v>18</v>
      </c>
      <c r="C874" s="1" t="s">
        <v>30</v>
      </c>
      <c r="D874" s="1" t="s">
        <v>51</v>
      </c>
      <c r="E874" s="1" t="s">
        <v>21</v>
      </c>
      <c r="F874" s="1" t="s">
        <v>38</v>
      </c>
      <c r="G874" s="2">
        <v>45972</v>
      </c>
      <c r="H874" s="2">
        <v>45980</v>
      </c>
      <c r="I874" s="1" t="s">
        <v>82</v>
      </c>
      <c r="J874">
        <v>5</v>
      </c>
      <c r="K874">
        <v>8</v>
      </c>
      <c r="L874">
        <v>10</v>
      </c>
      <c r="M874" s="1" t="s">
        <v>24</v>
      </c>
      <c r="N874" s="2">
        <v>45962</v>
      </c>
      <c r="O874">
        <v>2025</v>
      </c>
      <c r="P874">
        <v>4</v>
      </c>
      <c r="Q874" s="1" t="s">
        <v>24</v>
      </c>
    </row>
    <row r="875" spans="1:17" x14ac:dyDescent="0.3">
      <c r="A875" s="1" t="s">
        <v>940</v>
      </c>
      <c r="B875" s="1" t="s">
        <v>63</v>
      </c>
      <c r="C875" s="1" t="s">
        <v>84</v>
      </c>
      <c r="D875" s="1" t="s">
        <v>51</v>
      </c>
      <c r="E875" s="1" t="s">
        <v>21</v>
      </c>
      <c r="F875" s="1" t="s">
        <v>31</v>
      </c>
      <c r="G875" s="2">
        <v>46008</v>
      </c>
      <c r="H875" s="2">
        <v>46014</v>
      </c>
      <c r="I875" s="1" t="s">
        <v>32</v>
      </c>
      <c r="J875">
        <v>5</v>
      </c>
      <c r="K875">
        <v>6</v>
      </c>
      <c r="L875">
        <v>10</v>
      </c>
      <c r="M875" s="1" t="s">
        <v>24</v>
      </c>
      <c r="N875" s="2">
        <v>45992</v>
      </c>
      <c r="O875">
        <v>2025</v>
      </c>
      <c r="P875">
        <v>4</v>
      </c>
      <c r="Q875" s="1" t="s">
        <v>24</v>
      </c>
    </row>
    <row r="876" spans="1:17" x14ac:dyDescent="0.3">
      <c r="A876" s="1" t="s">
        <v>941</v>
      </c>
      <c r="B876" s="1" t="s">
        <v>42</v>
      </c>
      <c r="C876" s="1" t="s">
        <v>76</v>
      </c>
      <c r="D876" s="1" t="s">
        <v>44</v>
      </c>
      <c r="E876" s="1" t="s">
        <v>21</v>
      </c>
      <c r="F876" s="1" t="s">
        <v>22</v>
      </c>
      <c r="G876" s="2">
        <v>45804</v>
      </c>
      <c r="H876" s="2">
        <v>45810</v>
      </c>
      <c r="I876" s="1" t="s">
        <v>28</v>
      </c>
      <c r="J876">
        <v>3</v>
      </c>
      <c r="K876">
        <v>6</v>
      </c>
      <c r="L876">
        <v>7</v>
      </c>
      <c r="M876" s="1" t="s">
        <v>24</v>
      </c>
      <c r="N876" s="2">
        <v>45778</v>
      </c>
      <c r="O876">
        <v>2025</v>
      </c>
      <c r="P876">
        <v>2</v>
      </c>
      <c r="Q876" s="1" t="s">
        <v>24</v>
      </c>
    </row>
    <row r="877" spans="1:17" x14ac:dyDescent="0.3">
      <c r="A877" s="1" t="s">
        <v>942</v>
      </c>
      <c r="B877" s="1" t="s">
        <v>58</v>
      </c>
      <c r="C877" s="1" t="s">
        <v>108</v>
      </c>
      <c r="D877" s="1" t="s">
        <v>20</v>
      </c>
      <c r="E877" s="1" t="s">
        <v>21</v>
      </c>
      <c r="F877" s="1" t="s">
        <v>31</v>
      </c>
      <c r="G877" s="2">
        <v>45783</v>
      </c>
      <c r="H877" s="2">
        <v>45798</v>
      </c>
      <c r="I877" s="1" t="s">
        <v>39</v>
      </c>
      <c r="J877">
        <v>5</v>
      </c>
      <c r="K877">
        <v>15</v>
      </c>
      <c r="L877">
        <v>14</v>
      </c>
      <c r="M877" s="1" t="s">
        <v>33</v>
      </c>
      <c r="N877" s="2">
        <v>45778</v>
      </c>
      <c r="O877">
        <v>2025</v>
      </c>
      <c r="P877">
        <v>2</v>
      </c>
      <c r="Q877" s="1" t="s">
        <v>24</v>
      </c>
    </row>
    <row r="878" spans="1:17" x14ac:dyDescent="0.3">
      <c r="A878" s="1" t="s">
        <v>943</v>
      </c>
      <c r="B878" s="1" t="s">
        <v>26</v>
      </c>
      <c r="C878" s="1" t="s">
        <v>27</v>
      </c>
      <c r="D878" s="1" t="s">
        <v>51</v>
      </c>
      <c r="E878" s="1" t="s">
        <v>48</v>
      </c>
      <c r="F878" s="1" t="s">
        <v>61</v>
      </c>
      <c r="G878" s="2">
        <v>45761</v>
      </c>
      <c r="H878" s="2"/>
      <c r="I878" s="1" t="s">
        <v>32</v>
      </c>
      <c r="L878">
        <v>10</v>
      </c>
      <c r="M878" s="1" t="s">
        <v>40</v>
      </c>
      <c r="N878" s="2">
        <v>45748</v>
      </c>
      <c r="O878">
        <v>2025</v>
      </c>
      <c r="P878">
        <v>2</v>
      </c>
      <c r="Q878" s="1" t="s">
        <v>33</v>
      </c>
    </row>
    <row r="879" spans="1:17" x14ac:dyDescent="0.3">
      <c r="A879" s="1" t="s">
        <v>944</v>
      </c>
      <c r="B879" s="1" t="s">
        <v>63</v>
      </c>
      <c r="C879" s="1" t="s">
        <v>74</v>
      </c>
      <c r="D879" s="1" t="s">
        <v>51</v>
      </c>
      <c r="E879" s="1" t="s">
        <v>37</v>
      </c>
      <c r="F879" s="1" t="s">
        <v>22</v>
      </c>
      <c r="G879" s="2">
        <v>45995</v>
      </c>
      <c r="H879" s="2"/>
      <c r="I879" s="1" t="s">
        <v>28</v>
      </c>
      <c r="L879">
        <v>10</v>
      </c>
      <c r="M879" s="1" t="s">
        <v>40</v>
      </c>
      <c r="N879" s="2">
        <v>45992</v>
      </c>
      <c r="O879">
        <v>2025</v>
      </c>
      <c r="P879">
        <v>4</v>
      </c>
      <c r="Q879" s="1" t="s">
        <v>33</v>
      </c>
    </row>
    <row r="880" spans="1:17" x14ac:dyDescent="0.3">
      <c r="A880" s="1" t="s">
        <v>945</v>
      </c>
      <c r="B880" s="1" t="s">
        <v>18</v>
      </c>
      <c r="C880" s="1" t="s">
        <v>19</v>
      </c>
      <c r="D880" s="1" t="s">
        <v>71</v>
      </c>
      <c r="E880" s="1" t="s">
        <v>21</v>
      </c>
      <c r="F880" s="1" t="s">
        <v>38</v>
      </c>
      <c r="G880" s="2">
        <v>45668</v>
      </c>
      <c r="H880" s="2">
        <v>45668</v>
      </c>
      <c r="I880" s="1" t="s">
        <v>32</v>
      </c>
      <c r="J880">
        <v>5</v>
      </c>
      <c r="K880">
        <v>0</v>
      </c>
      <c r="L880">
        <v>3</v>
      </c>
      <c r="M880" s="1" t="s">
        <v>24</v>
      </c>
      <c r="N880" s="2">
        <v>45658</v>
      </c>
      <c r="O880">
        <v>2025</v>
      </c>
      <c r="P880">
        <v>1</v>
      </c>
      <c r="Q880" s="1" t="s">
        <v>24</v>
      </c>
    </row>
    <row r="881" spans="1:17" x14ac:dyDescent="0.3">
      <c r="A881" s="1" t="s">
        <v>946</v>
      </c>
      <c r="B881" s="1" t="s">
        <v>26</v>
      </c>
      <c r="C881" s="1" t="s">
        <v>123</v>
      </c>
      <c r="D881" s="1" t="s">
        <v>44</v>
      </c>
      <c r="E881" s="1" t="s">
        <v>48</v>
      </c>
      <c r="F881" s="1" t="s">
        <v>52</v>
      </c>
      <c r="G881" s="2">
        <v>45866</v>
      </c>
      <c r="H881" s="2"/>
      <c r="I881" s="1" t="s">
        <v>23</v>
      </c>
      <c r="L881">
        <v>7</v>
      </c>
      <c r="M881" s="1" t="s">
        <v>40</v>
      </c>
      <c r="N881" s="2">
        <v>45839</v>
      </c>
      <c r="O881">
        <v>2025</v>
      </c>
      <c r="P881">
        <v>3</v>
      </c>
      <c r="Q881" s="1" t="s">
        <v>33</v>
      </c>
    </row>
    <row r="882" spans="1:17" x14ac:dyDescent="0.3">
      <c r="A882" s="1" t="s">
        <v>947</v>
      </c>
      <c r="B882" s="1" t="s">
        <v>58</v>
      </c>
      <c r="C882" s="1" t="s">
        <v>108</v>
      </c>
      <c r="D882" s="1" t="s">
        <v>20</v>
      </c>
      <c r="E882" s="1" t="s">
        <v>21</v>
      </c>
      <c r="F882" s="1" t="s">
        <v>22</v>
      </c>
      <c r="G882" s="2">
        <v>45914</v>
      </c>
      <c r="H882" s="2">
        <v>45918</v>
      </c>
      <c r="I882" s="1" t="s">
        <v>82</v>
      </c>
      <c r="J882">
        <v>4</v>
      </c>
      <c r="K882">
        <v>4</v>
      </c>
      <c r="L882">
        <v>14</v>
      </c>
      <c r="M882" s="1" t="s">
        <v>24</v>
      </c>
      <c r="N882" s="2">
        <v>45901</v>
      </c>
      <c r="O882">
        <v>2025</v>
      </c>
      <c r="P882">
        <v>3</v>
      </c>
      <c r="Q882" s="1" t="s">
        <v>24</v>
      </c>
    </row>
    <row r="883" spans="1:17" x14ac:dyDescent="0.3">
      <c r="A883" s="1" t="s">
        <v>948</v>
      </c>
      <c r="B883" s="1" t="s">
        <v>35</v>
      </c>
      <c r="C883" s="1" t="s">
        <v>50</v>
      </c>
      <c r="D883" s="1" t="s">
        <v>44</v>
      </c>
      <c r="E883" s="1" t="s">
        <v>21</v>
      </c>
      <c r="F883" s="1" t="s">
        <v>52</v>
      </c>
      <c r="G883" s="2">
        <v>45720</v>
      </c>
      <c r="H883" s="2">
        <v>45727</v>
      </c>
      <c r="I883" s="1" t="s">
        <v>82</v>
      </c>
      <c r="J883">
        <v>5</v>
      </c>
      <c r="K883">
        <v>7</v>
      </c>
      <c r="L883">
        <v>7</v>
      </c>
      <c r="M883" s="1" t="s">
        <v>24</v>
      </c>
      <c r="N883" s="2">
        <v>45717</v>
      </c>
      <c r="O883">
        <v>2025</v>
      </c>
      <c r="P883">
        <v>1</v>
      </c>
      <c r="Q883" s="1" t="s">
        <v>24</v>
      </c>
    </row>
    <row r="884" spans="1:17" x14ac:dyDescent="0.3">
      <c r="A884" s="1" t="s">
        <v>949</v>
      </c>
      <c r="B884" s="1" t="s">
        <v>18</v>
      </c>
      <c r="C884" s="1" t="s">
        <v>30</v>
      </c>
      <c r="D884" s="1" t="s">
        <v>44</v>
      </c>
      <c r="E884" s="1" t="s">
        <v>37</v>
      </c>
      <c r="F884" s="1" t="s">
        <v>61</v>
      </c>
      <c r="G884" s="2">
        <v>45874</v>
      </c>
      <c r="H884" s="2"/>
      <c r="I884" s="1" t="s">
        <v>28</v>
      </c>
      <c r="L884">
        <v>7</v>
      </c>
      <c r="M884" s="1" t="s">
        <v>40</v>
      </c>
      <c r="N884" s="2">
        <v>45870</v>
      </c>
      <c r="O884">
        <v>2025</v>
      </c>
      <c r="P884">
        <v>3</v>
      </c>
      <c r="Q884" s="1" t="s">
        <v>33</v>
      </c>
    </row>
    <row r="885" spans="1:17" x14ac:dyDescent="0.3">
      <c r="A885" s="1" t="s">
        <v>950</v>
      </c>
      <c r="B885" s="1" t="s">
        <v>42</v>
      </c>
      <c r="C885" s="1" t="s">
        <v>76</v>
      </c>
      <c r="D885" s="1" t="s">
        <v>20</v>
      </c>
      <c r="E885" s="1" t="s">
        <v>21</v>
      </c>
      <c r="F885" s="1" t="s">
        <v>38</v>
      </c>
      <c r="G885" s="2">
        <v>45867</v>
      </c>
      <c r="H885" s="2">
        <v>45874</v>
      </c>
      <c r="I885" s="1" t="s">
        <v>39</v>
      </c>
      <c r="J885">
        <v>5</v>
      </c>
      <c r="K885">
        <v>7</v>
      </c>
      <c r="L885">
        <v>14</v>
      </c>
      <c r="M885" s="1" t="s">
        <v>24</v>
      </c>
      <c r="N885" s="2">
        <v>45839</v>
      </c>
      <c r="O885">
        <v>2025</v>
      </c>
      <c r="P885">
        <v>3</v>
      </c>
      <c r="Q885" s="1" t="s">
        <v>24</v>
      </c>
    </row>
    <row r="886" spans="1:17" x14ac:dyDescent="0.3">
      <c r="A886" s="1" t="s">
        <v>951</v>
      </c>
      <c r="B886" s="1" t="s">
        <v>26</v>
      </c>
      <c r="C886" s="1" t="s">
        <v>123</v>
      </c>
      <c r="D886" s="1" t="s">
        <v>51</v>
      </c>
      <c r="E886" s="1" t="s">
        <v>21</v>
      </c>
      <c r="F886" s="1" t="s">
        <v>61</v>
      </c>
      <c r="G886" s="2">
        <v>45937</v>
      </c>
      <c r="H886" s="2">
        <v>45945</v>
      </c>
      <c r="I886" s="1" t="s">
        <v>32</v>
      </c>
      <c r="J886">
        <v>4</v>
      </c>
      <c r="K886">
        <v>8</v>
      </c>
      <c r="L886">
        <v>10</v>
      </c>
      <c r="M886" s="1" t="s">
        <v>24</v>
      </c>
      <c r="N886" s="2">
        <v>45931</v>
      </c>
      <c r="O886">
        <v>2025</v>
      </c>
      <c r="P886">
        <v>4</v>
      </c>
      <c r="Q886" s="1" t="s">
        <v>24</v>
      </c>
    </row>
    <row r="887" spans="1:17" x14ac:dyDescent="0.3">
      <c r="A887" s="1" t="s">
        <v>952</v>
      </c>
      <c r="B887" s="1" t="s">
        <v>63</v>
      </c>
      <c r="C887" s="1" t="s">
        <v>84</v>
      </c>
      <c r="D887" s="1" t="s">
        <v>51</v>
      </c>
      <c r="E887" s="1" t="s">
        <v>21</v>
      </c>
      <c r="F887" s="1" t="s">
        <v>22</v>
      </c>
      <c r="G887" s="2">
        <v>45815</v>
      </c>
      <c r="H887" s="2">
        <v>45817</v>
      </c>
      <c r="I887" s="1" t="s">
        <v>23</v>
      </c>
      <c r="J887">
        <v>4</v>
      </c>
      <c r="K887">
        <v>2</v>
      </c>
      <c r="L887">
        <v>10</v>
      </c>
      <c r="M887" s="1" t="s">
        <v>24</v>
      </c>
      <c r="N887" s="2">
        <v>45809</v>
      </c>
      <c r="O887">
        <v>2025</v>
      </c>
      <c r="P887">
        <v>2</v>
      </c>
      <c r="Q887" s="1" t="s">
        <v>24</v>
      </c>
    </row>
    <row r="888" spans="1:17" x14ac:dyDescent="0.3">
      <c r="A888" s="1" t="s">
        <v>953</v>
      </c>
      <c r="B888" s="1" t="s">
        <v>18</v>
      </c>
      <c r="C888" s="1" t="s">
        <v>19</v>
      </c>
      <c r="D888" s="1" t="s">
        <v>51</v>
      </c>
      <c r="E888" s="1" t="s">
        <v>37</v>
      </c>
      <c r="F888" s="1" t="s">
        <v>52</v>
      </c>
      <c r="G888" s="2">
        <v>45780</v>
      </c>
      <c r="H888" s="2"/>
      <c r="I888" s="1" t="s">
        <v>82</v>
      </c>
      <c r="L888">
        <v>10</v>
      </c>
      <c r="M888" s="1" t="s">
        <v>40</v>
      </c>
      <c r="N888" s="2">
        <v>45778</v>
      </c>
      <c r="O888">
        <v>2025</v>
      </c>
      <c r="P888">
        <v>2</v>
      </c>
      <c r="Q888" s="1" t="s">
        <v>33</v>
      </c>
    </row>
    <row r="889" spans="1:17" x14ac:dyDescent="0.3">
      <c r="A889" s="1" t="s">
        <v>954</v>
      </c>
      <c r="B889" s="1" t="s">
        <v>58</v>
      </c>
      <c r="C889" s="1" t="s">
        <v>59</v>
      </c>
      <c r="D889" s="1" t="s">
        <v>51</v>
      </c>
      <c r="E889" s="1" t="s">
        <v>21</v>
      </c>
      <c r="F889" s="1" t="s">
        <v>61</v>
      </c>
      <c r="G889" s="2">
        <v>46008</v>
      </c>
      <c r="H889" s="2">
        <v>46011</v>
      </c>
      <c r="I889" s="1" t="s">
        <v>39</v>
      </c>
      <c r="J889">
        <v>4</v>
      </c>
      <c r="K889">
        <v>3</v>
      </c>
      <c r="L889">
        <v>10</v>
      </c>
      <c r="M889" s="1" t="s">
        <v>24</v>
      </c>
      <c r="N889" s="2">
        <v>45992</v>
      </c>
      <c r="O889">
        <v>2025</v>
      </c>
      <c r="P889">
        <v>4</v>
      </c>
      <c r="Q889" s="1" t="s">
        <v>24</v>
      </c>
    </row>
    <row r="890" spans="1:17" x14ac:dyDescent="0.3">
      <c r="A890" s="1" t="s">
        <v>955</v>
      </c>
      <c r="B890" s="1" t="s">
        <v>58</v>
      </c>
      <c r="C890" s="1" t="s">
        <v>70</v>
      </c>
      <c r="D890" s="1" t="s">
        <v>44</v>
      </c>
      <c r="E890" s="1" t="s">
        <v>21</v>
      </c>
      <c r="F890" s="1" t="s">
        <v>61</v>
      </c>
      <c r="G890" s="2">
        <v>45788</v>
      </c>
      <c r="H890" s="2">
        <v>45791</v>
      </c>
      <c r="I890" s="1" t="s">
        <v>32</v>
      </c>
      <c r="J890">
        <v>2</v>
      </c>
      <c r="K890">
        <v>3</v>
      </c>
      <c r="L890">
        <v>7</v>
      </c>
      <c r="M890" s="1" t="s">
        <v>24</v>
      </c>
      <c r="N890" s="2">
        <v>45778</v>
      </c>
      <c r="O890">
        <v>2025</v>
      </c>
      <c r="P890">
        <v>2</v>
      </c>
      <c r="Q890" s="1" t="s">
        <v>24</v>
      </c>
    </row>
    <row r="891" spans="1:17" x14ac:dyDescent="0.3">
      <c r="A891" s="1" t="s">
        <v>956</v>
      </c>
      <c r="B891" s="1" t="s">
        <v>63</v>
      </c>
      <c r="C891" s="1" t="s">
        <v>64</v>
      </c>
      <c r="D891" s="1" t="s">
        <v>44</v>
      </c>
      <c r="E891" s="1" t="s">
        <v>21</v>
      </c>
      <c r="F891" s="1" t="s">
        <v>52</v>
      </c>
      <c r="G891" s="2">
        <v>45987</v>
      </c>
      <c r="H891" s="2">
        <v>45991</v>
      </c>
      <c r="I891" s="1" t="s">
        <v>23</v>
      </c>
      <c r="J891">
        <v>5</v>
      </c>
      <c r="K891">
        <v>4</v>
      </c>
      <c r="L891">
        <v>7</v>
      </c>
      <c r="M891" s="1" t="s">
        <v>24</v>
      </c>
      <c r="N891" s="2">
        <v>45962</v>
      </c>
      <c r="O891">
        <v>2025</v>
      </c>
      <c r="P891">
        <v>4</v>
      </c>
      <c r="Q891" s="1" t="s">
        <v>24</v>
      </c>
    </row>
    <row r="892" spans="1:17" x14ac:dyDescent="0.3">
      <c r="A892" s="1" t="s">
        <v>957</v>
      </c>
      <c r="B892" s="1" t="s">
        <v>58</v>
      </c>
      <c r="C892" s="1" t="s">
        <v>145</v>
      </c>
      <c r="D892" s="1" t="s">
        <v>44</v>
      </c>
      <c r="E892" s="1" t="s">
        <v>48</v>
      </c>
      <c r="F892" s="1" t="s">
        <v>31</v>
      </c>
      <c r="G892" s="2">
        <v>45828</v>
      </c>
      <c r="H892" s="2"/>
      <c r="I892" s="1" t="s">
        <v>23</v>
      </c>
      <c r="L892">
        <v>7</v>
      </c>
      <c r="M892" s="1" t="s">
        <v>40</v>
      </c>
      <c r="N892" s="2">
        <v>45809</v>
      </c>
      <c r="O892">
        <v>2025</v>
      </c>
      <c r="P892">
        <v>2</v>
      </c>
      <c r="Q892" s="1" t="s">
        <v>33</v>
      </c>
    </row>
    <row r="893" spans="1:17" x14ac:dyDescent="0.3">
      <c r="A893" s="1" t="s">
        <v>958</v>
      </c>
      <c r="B893" s="1" t="s">
        <v>63</v>
      </c>
      <c r="C893" s="1" t="s">
        <v>84</v>
      </c>
      <c r="D893" s="1" t="s">
        <v>51</v>
      </c>
      <c r="E893" s="1" t="s">
        <v>21</v>
      </c>
      <c r="F893" s="1" t="s">
        <v>31</v>
      </c>
      <c r="G893" s="2">
        <v>45966</v>
      </c>
      <c r="H893" s="2">
        <v>45976</v>
      </c>
      <c r="I893" s="1" t="s">
        <v>23</v>
      </c>
      <c r="J893">
        <v>5</v>
      </c>
      <c r="K893">
        <v>10</v>
      </c>
      <c r="L893">
        <v>10</v>
      </c>
      <c r="M893" s="1" t="s">
        <v>24</v>
      </c>
      <c r="N893" s="2">
        <v>45962</v>
      </c>
      <c r="O893">
        <v>2025</v>
      </c>
      <c r="P893">
        <v>4</v>
      </c>
      <c r="Q893" s="1" t="s">
        <v>24</v>
      </c>
    </row>
    <row r="894" spans="1:17" x14ac:dyDescent="0.3">
      <c r="A894" s="1" t="s">
        <v>959</v>
      </c>
      <c r="B894" s="1" t="s">
        <v>42</v>
      </c>
      <c r="C894" s="1" t="s">
        <v>76</v>
      </c>
      <c r="D894" s="1" t="s">
        <v>51</v>
      </c>
      <c r="E894" s="1" t="s">
        <v>37</v>
      </c>
      <c r="F894" s="1" t="s">
        <v>38</v>
      </c>
      <c r="G894" s="2">
        <v>45727</v>
      </c>
      <c r="H894" s="2"/>
      <c r="I894" s="1" t="s">
        <v>39</v>
      </c>
      <c r="L894">
        <v>10</v>
      </c>
      <c r="M894" s="1" t="s">
        <v>40</v>
      </c>
      <c r="N894" s="2">
        <v>45717</v>
      </c>
      <c r="O894">
        <v>2025</v>
      </c>
      <c r="P894">
        <v>1</v>
      </c>
      <c r="Q894" s="1" t="s">
        <v>33</v>
      </c>
    </row>
    <row r="895" spans="1:17" x14ac:dyDescent="0.3">
      <c r="A895" s="1" t="s">
        <v>960</v>
      </c>
      <c r="B895" s="1" t="s">
        <v>63</v>
      </c>
      <c r="C895" s="1" t="s">
        <v>84</v>
      </c>
      <c r="D895" s="1" t="s">
        <v>51</v>
      </c>
      <c r="E895" s="1" t="s">
        <v>21</v>
      </c>
      <c r="F895" s="1" t="s">
        <v>61</v>
      </c>
      <c r="G895" s="2">
        <v>45738</v>
      </c>
      <c r="H895" s="2">
        <v>45743</v>
      </c>
      <c r="I895" s="1" t="s">
        <v>82</v>
      </c>
      <c r="J895">
        <v>4</v>
      </c>
      <c r="K895">
        <v>5</v>
      </c>
      <c r="L895">
        <v>10</v>
      </c>
      <c r="M895" s="1" t="s">
        <v>24</v>
      </c>
      <c r="N895" s="2">
        <v>45717</v>
      </c>
      <c r="O895">
        <v>2025</v>
      </c>
      <c r="P895">
        <v>1</v>
      </c>
      <c r="Q895" s="1" t="s">
        <v>24</v>
      </c>
    </row>
    <row r="896" spans="1:17" x14ac:dyDescent="0.3">
      <c r="A896" s="1" t="s">
        <v>961</v>
      </c>
      <c r="B896" s="1" t="s">
        <v>18</v>
      </c>
      <c r="C896" s="1" t="s">
        <v>30</v>
      </c>
      <c r="D896" s="1" t="s">
        <v>44</v>
      </c>
      <c r="E896" s="1" t="s">
        <v>21</v>
      </c>
      <c r="F896" s="1" t="s">
        <v>52</v>
      </c>
      <c r="G896" s="2">
        <v>45902</v>
      </c>
      <c r="H896" s="2">
        <v>45909</v>
      </c>
      <c r="I896" s="1" t="s">
        <v>28</v>
      </c>
      <c r="J896">
        <v>5</v>
      </c>
      <c r="K896">
        <v>7</v>
      </c>
      <c r="L896">
        <v>7</v>
      </c>
      <c r="M896" s="1" t="s">
        <v>24</v>
      </c>
      <c r="N896" s="2">
        <v>45901</v>
      </c>
      <c r="O896">
        <v>2025</v>
      </c>
      <c r="P896">
        <v>3</v>
      </c>
      <c r="Q896" s="1" t="s">
        <v>24</v>
      </c>
    </row>
    <row r="897" spans="1:17" x14ac:dyDescent="0.3">
      <c r="A897" s="1" t="s">
        <v>962</v>
      </c>
      <c r="B897" s="1" t="s">
        <v>18</v>
      </c>
      <c r="C897" s="1" t="s">
        <v>56</v>
      </c>
      <c r="D897" s="1" t="s">
        <v>44</v>
      </c>
      <c r="E897" s="1" t="s">
        <v>21</v>
      </c>
      <c r="F897" s="1" t="s">
        <v>31</v>
      </c>
      <c r="G897" s="2">
        <v>45870</v>
      </c>
      <c r="H897" s="2">
        <v>45873</v>
      </c>
      <c r="I897" s="1" t="s">
        <v>82</v>
      </c>
      <c r="J897">
        <v>3</v>
      </c>
      <c r="K897">
        <v>3</v>
      </c>
      <c r="L897">
        <v>7</v>
      </c>
      <c r="M897" s="1" t="s">
        <v>24</v>
      </c>
      <c r="N897" s="2">
        <v>45870</v>
      </c>
      <c r="O897">
        <v>2025</v>
      </c>
      <c r="P897">
        <v>3</v>
      </c>
      <c r="Q897" s="1" t="s">
        <v>24</v>
      </c>
    </row>
    <row r="898" spans="1:17" x14ac:dyDescent="0.3">
      <c r="A898" s="1" t="s">
        <v>963</v>
      </c>
      <c r="B898" s="1" t="s">
        <v>63</v>
      </c>
      <c r="C898" s="1" t="s">
        <v>74</v>
      </c>
      <c r="D898" s="1" t="s">
        <v>71</v>
      </c>
      <c r="E898" s="1" t="s">
        <v>48</v>
      </c>
      <c r="F898" s="1" t="s">
        <v>22</v>
      </c>
      <c r="G898" s="2">
        <v>45989</v>
      </c>
      <c r="H898" s="2"/>
      <c r="I898" s="1" t="s">
        <v>28</v>
      </c>
      <c r="L898">
        <v>3</v>
      </c>
      <c r="M898" s="1" t="s">
        <v>40</v>
      </c>
      <c r="N898" s="2">
        <v>45962</v>
      </c>
      <c r="O898">
        <v>2025</v>
      </c>
      <c r="P898">
        <v>4</v>
      </c>
      <c r="Q898" s="1" t="s">
        <v>33</v>
      </c>
    </row>
    <row r="899" spans="1:17" x14ac:dyDescent="0.3">
      <c r="A899" s="1" t="s">
        <v>964</v>
      </c>
      <c r="B899" s="1" t="s">
        <v>42</v>
      </c>
      <c r="C899" s="1" t="s">
        <v>87</v>
      </c>
      <c r="D899" s="1" t="s">
        <v>20</v>
      </c>
      <c r="E899" s="1" t="s">
        <v>21</v>
      </c>
      <c r="F899" s="1" t="s">
        <v>31</v>
      </c>
      <c r="G899" s="2">
        <v>45744</v>
      </c>
      <c r="H899" s="2">
        <v>45747</v>
      </c>
      <c r="I899" s="1" t="s">
        <v>82</v>
      </c>
      <c r="J899">
        <v>4</v>
      </c>
      <c r="K899">
        <v>3</v>
      </c>
      <c r="L899">
        <v>14</v>
      </c>
      <c r="M899" s="1" t="s">
        <v>24</v>
      </c>
      <c r="N899" s="2">
        <v>45717</v>
      </c>
      <c r="O899">
        <v>2025</v>
      </c>
      <c r="P899">
        <v>1</v>
      </c>
      <c r="Q899" s="1" t="s">
        <v>24</v>
      </c>
    </row>
    <row r="900" spans="1:17" x14ac:dyDescent="0.3">
      <c r="A900" s="1" t="s">
        <v>965</v>
      </c>
      <c r="B900" s="1" t="s">
        <v>35</v>
      </c>
      <c r="C900" s="1" t="s">
        <v>36</v>
      </c>
      <c r="D900" s="1" t="s">
        <v>20</v>
      </c>
      <c r="E900" s="1" t="s">
        <v>21</v>
      </c>
      <c r="F900" s="1" t="s">
        <v>22</v>
      </c>
      <c r="G900" s="2">
        <v>45948</v>
      </c>
      <c r="H900" s="2">
        <v>45952</v>
      </c>
      <c r="I900" s="1" t="s">
        <v>39</v>
      </c>
      <c r="J900">
        <v>1</v>
      </c>
      <c r="K900">
        <v>4</v>
      </c>
      <c r="L900">
        <v>14</v>
      </c>
      <c r="M900" s="1" t="s">
        <v>24</v>
      </c>
      <c r="N900" s="2">
        <v>45931</v>
      </c>
      <c r="O900">
        <v>2025</v>
      </c>
      <c r="P900">
        <v>4</v>
      </c>
      <c r="Q900" s="1" t="s">
        <v>24</v>
      </c>
    </row>
    <row r="901" spans="1:17" x14ac:dyDescent="0.3">
      <c r="A901" s="1" t="s">
        <v>966</v>
      </c>
      <c r="B901" s="1" t="s">
        <v>58</v>
      </c>
      <c r="C901" s="1" t="s">
        <v>145</v>
      </c>
      <c r="D901" s="1" t="s">
        <v>20</v>
      </c>
      <c r="E901" s="1" t="s">
        <v>21</v>
      </c>
      <c r="F901" s="1" t="s">
        <v>31</v>
      </c>
      <c r="G901" s="2">
        <v>45755</v>
      </c>
      <c r="H901" s="2">
        <v>45770</v>
      </c>
      <c r="I901" s="1" t="s">
        <v>39</v>
      </c>
      <c r="J901">
        <v>3</v>
      </c>
      <c r="K901">
        <v>15</v>
      </c>
      <c r="L901">
        <v>14</v>
      </c>
      <c r="M901" s="1" t="s">
        <v>33</v>
      </c>
      <c r="N901" s="2">
        <v>45748</v>
      </c>
      <c r="O901">
        <v>2025</v>
      </c>
      <c r="P901">
        <v>2</v>
      </c>
      <c r="Q901" s="1" t="s">
        <v>24</v>
      </c>
    </row>
    <row r="902" spans="1:17" x14ac:dyDescent="0.3">
      <c r="A902" s="1" t="s">
        <v>967</v>
      </c>
      <c r="B902" s="1" t="s">
        <v>63</v>
      </c>
      <c r="C902" s="1" t="s">
        <v>89</v>
      </c>
      <c r="D902" s="1" t="s">
        <v>44</v>
      </c>
      <c r="E902" s="1" t="s">
        <v>21</v>
      </c>
      <c r="F902" s="1" t="s">
        <v>31</v>
      </c>
      <c r="G902" s="2">
        <v>45802</v>
      </c>
      <c r="H902" s="2">
        <v>45808</v>
      </c>
      <c r="I902" s="1" t="s">
        <v>28</v>
      </c>
      <c r="J902">
        <v>5</v>
      </c>
      <c r="K902">
        <v>6</v>
      </c>
      <c r="L902">
        <v>7</v>
      </c>
      <c r="M902" s="1" t="s">
        <v>24</v>
      </c>
      <c r="N902" s="2">
        <v>45778</v>
      </c>
      <c r="O902">
        <v>2025</v>
      </c>
      <c r="P902">
        <v>2</v>
      </c>
      <c r="Q902" s="1" t="s">
        <v>24</v>
      </c>
    </row>
    <row r="903" spans="1:17" x14ac:dyDescent="0.3">
      <c r="A903" s="1" t="s">
        <v>968</v>
      </c>
      <c r="B903" s="1" t="s">
        <v>58</v>
      </c>
      <c r="C903" s="1" t="s">
        <v>108</v>
      </c>
      <c r="D903" s="1" t="s">
        <v>20</v>
      </c>
      <c r="E903" s="1" t="s">
        <v>48</v>
      </c>
      <c r="F903" s="1" t="s">
        <v>22</v>
      </c>
      <c r="G903" s="2">
        <v>45778</v>
      </c>
      <c r="H903" s="2"/>
      <c r="I903" s="1" t="s">
        <v>39</v>
      </c>
      <c r="L903">
        <v>14</v>
      </c>
      <c r="M903" s="1" t="s">
        <v>40</v>
      </c>
      <c r="N903" s="2">
        <v>45778</v>
      </c>
      <c r="O903">
        <v>2025</v>
      </c>
      <c r="P903">
        <v>2</v>
      </c>
      <c r="Q903" s="1" t="s">
        <v>33</v>
      </c>
    </row>
    <row r="904" spans="1:17" x14ac:dyDescent="0.3">
      <c r="A904" s="1" t="s">
        <v>969</v>
      </c>
      <c r="B904" s="1" t="s">
        <v>63</v>
      </c>
      <c r="C904" s="1" t="s">
        <v>84</v>
      </c>
      <c r="D904" s="1" t="s">
        <v>51</v>
      </c>
      <c r="E904" s="1" t="s">
        <v>21</v>
      </c>
      <c r="F904" s="1" t="s">
        <v>52</v>
      </c>
      <c r="G904" s="2">
        <v>45701</v>
      </c>
      <c r="H904" s="2">
        <v>45703</v>
      </c>
      <c r="I904" s="1" t="s">
        <v>39</v>
      </c>
      <c r="J904">
        <v>4</v>
      </c>
      <c r="K904">
        <v>2</v>
      </c>
      <c r="L904">
        <v>10</v>
      </c>
      <c r="M904" s="1" t="s">
        <v>24</v>
      </c>
      <c r="N904" s="2">
        <v>45689</v>
      </c>
      <c r="O904">
        <v>2025</v>
      </c>
      <c r="P904">
        <v>1</v>
      </c>
      <c r="Q904" s="1" t="s">
        <v>24</v>
      </c>
    </row>
    <row r="905" spans="1:17" x14ac:dyDescent="0.3">
      <c r="A905" s="1" t="s">
        <v>970</v>
      </c>
      <c r="B905" s="1" t="s">
        <v>18</v>
      </c>
      <c r="C905" s="1" t="s">
        <v>47</v>
      </c>
      <c r="D905" s="1" t="s">
        <v>44</v>
      </c>
      <c r="E905" s="1" t="s">
        <v>21</v>
      </c>
      <c r="F905" s="1" t="s">
        <v>22</v>
      </c>
      <c r="G905" s="2">
        <v>45963</v>
      </c>
      <c r="H905" s="2">
        <v>45966</v>
      </c>
      <c r="I905" s="1" t="s">
        <v>23</v>
      </c>
      <c r="J905">
        <v>2</v>
      </c>
      <c r="K905">
        <v>3</v>
      </c>
      <c r="L905">
        <v>7</v>
      </c>
      <c r="M905" s="1" t="s">
        <v>24</v>
      </c>
      <c r="N905" s="2">
        <v>45962</v>
      </c>
      <c r="O905">
        <v>2025</v>
      </c>
      <c r="P905">
        <v>4</v>
      </c>
      <c r="Q905" s="1" t="s">
        <v>24</v>
      </c>
    </row>
    <row r="906" spans="1:17" x14ac:dyDescent="0.3">
      <c r="A906" s="1" t="s">
        <v>971</v>
      </c>
      <c r="B906" s="1" t="s">
        <v>42</v>
      </c>
      <c r="C906" s="1" t="s">
        <v>43</v>
      </c>
      <c r="D906" s="1" t="s">
        <v>44</v>
      </c>
      <c r="E906" s="1" t="s">
        <v>21</v>
      </c>
      <c r="F906" s="1" t="s">
        <v>22</v>
      </c>
      <c r="G906" s="2">
        <v>45839</v>
      </c>
      <c r="H906" s="2">
        <v>45844</v>
      </c>
      <c r="I906" s="1" t="s">
        <v>23</v>
      </c>
      <c r="J906">
        <v>5</v>
      </c>
      <c r="K906">
        <v>5</v>
      </c>
      <c r="L906">
        <v>7</v>
      </c>
      <c r="M906" s="1" t="s">
        <v>24</v>
      </c>
      <c r="N906" s="2">
        <v>45839</v>
      </c>
      <c r="O906">
        <v>2025</v>
      </c>
      <c r="P906">
        <v>3</v>
      </c>
      <c r="Q906" s="1" t="s">
        <v>24</v>
      </c>
    </row>
    <row r="907" spans="1:17" x14ac:dyDescent="0.3">
      <c r="A907" s="1" t="s">
        <v>972</v>
      </c>
      <c r="B907" s="1" t="s">
        <v>42</v>
      </c>
      <c r="C907" s="1" t="s">
        <v>43</v>
      </c>
      <c r="D907" s="1" t="s">
        <v>51</v>
      </c>
      <c r="E907" s="1" t="s">
        <v>21</v>
      </c>
      <c r="F907" s="1" t="s">
        <v>22</v>
      </c>
      <c r="G907" s="2">
        <v>45860</v>
      </c>
      <c r="H907" s="2">
        <v>45867</v>
      </c>
      <c r="I907" s="1" t="s">
        <v>23</v>
      </c>
      <c r="J907">
        <v>3</v>
      </c>
      <c r="K907">
        <v>7</v>
      </c>
      <c r="L907">
        <v>10</v>
      </c>
      <c r="M907" s="1" t="s">
        <v>24</v>
      </c>
      <c r="N907" s="2">
        <v>45839</v>
      </c>
      <c r="O907">
        <v>2025</v>
      </c>
      <c r="P907">
        <v>3</v>
      </c>
      <c r="Q907" s="1" t="s">
        <v>24</v>
      </c>
    </row>
    <row r="908" spans="1:17" x14ac:dyDescent="0.3">
      <c r="A908" s="1" t="s">
        <v>973</v>
      </c>
      <c r="B908" s="1" t="s">
        <v>26</v>
      </c>
      <c r="C908" s="1" t="s">
        <v>54</v>
      </c>
      <c r="D908" s="1" t="s">
        <v>51</v>
      </c>
      <c r="E908" s="1" t="s">
        <v>21</v>
      </c>
      <c r="F908" s="1" t="s">
        <v>52</v>
      </c>
      <c r="G908" s="2">
        <v>45831</v>
      </c>
      <c r="H908" s="2">
        <v>45840</v>
      </c>
      <c r="I908" s="1" t="s">
        <v>82</v>
      </c>
      <c r="J908">
        <v>3</v>
      </c>
      <c r="K908">
        <v>9</v>
      </c>
      <c r="L908">
        <v>10</v>
      </c>
      <c r="M908" s="1" t="s">
        <v>24</v>
      </c>
      <c r="N908" s="2">
        <v>45809</v>
      </c>
      <c r="O908">
        <v>2025</v>
      </c>
      <c r="P908">
        <v>2</v>
      </c>
      <c r="Q908" s="1" t="s">
        <v>24</v>
      </c>
    </row>
    <row r="909" spans="1:17" x14ac:dyDescent="0.3">
      <c r="A909" s="1" t="s">
        <v>974</v>
      </c>
      <c r="B909" s="1" t="s">
        <v>58</v>
      </c>
      <c r="C909" s="1" t="s">
        <v>108</v>
      </c>
      <c r="D909" s="1" t="s">
        <v>51</v>
      </c>
      <c r="E909" s="1" t="s">
        <v>21</v>
      </c>
      <c r="F909" s="1" t="s">
        <v>52</v>
      </c>
      <c r="G909" s="2">
        <v>45723</v>
      </c>
      <c r="H909" s="2">
        <v>45732</v>
      </c>
      <c r="I909" s="1" t="s">
        <v>32</v>
      </c>
      <c r="J909">
        <v>5</v>
      </c>
      <c r="K909">
        <v>9</v>
      </c>
      <c r="L909">
        <v>10</v>
      </c>
      <c r="M909" s="1" t="s">
        <v>24</v>
      </c>
      <c r="N909" s="2">
        <v>45717</v>
      </c>
      <c r="O909">
        <v>2025</v>
      </c>
      <c r="P909">
        <v>1</v>
      </c>
      <c r="Q909" s="1" t="s">
        <v>24</v>
      </c>
    </row>
    <row r="910" spans="1:17" x14ac:dyDescent="0.3">
      <c r="A910" s="1" t="s">
        <v>975</v>
      </c>
      <c r="B910" s="1" t="s">
        <v>58</v>
      </c>
      <c r="C910" s="1" t="s">
        <v>59</v>
      </c>
      <c r="D910" s="1" t="s">
        <v>44</v>
      </c>
      <c r="E910" s="1" t="s">
        <v>21</v>
      </c>
      <c r="F910" s="1" t="s">
        <v>61</v>
      </c>
      <c r="G910" s="2">
        <v>45793</v>
      </c>
      <c r="H910" s="2">
        <v>45798</v>
      </c>
      <c r="I910" s="1" t="s">
        <v>32</v>
      </c>
      <c r="J910">
        <v>4</v>
      </c>
      <c r="K910">
        <v>5</v>
      </c>
      <c r="L910">
        <v>7</v>
      </c>
      <c r="M910" s="1" t="s">
        <v>24</v>
      </c>
      <c r="N910" s="2">
        <v>45778</v>
      </c>
      <c r="O910">
        <v>2025</v>
      </c>
      <c r="P910">
        <v>2</v>
      </c>
      <c r="Q910" s="1" t="s">
        <v>24</v>
      </c>
    </row>
    <row r="911" spans="1:17" x14ac:dyDescent="0.3">
      <c r="A911" s="1" t="s">
        <v>976</v>
      </c>
      <c r="B911" s="1" t="s">
        <v>18</v>
      </c>
      <c r="C911" s="1" t="s">
        <v>30</v>
      </c>
      <c r="D911" s="1" t="s">
        <v>44</v>
      </c>
      <c r="E911" s="1" t="s">
        <v>21</v>
      </c>
      <c r="F911" s="1" t="s">
        <v>38</v>
      </c>
      <c r="G911" s="2">
        <v>45994</v>
      </c>
      <c r="H911" s="2">
        <v>46000</v>
      </c>
      <c r="I911" s="1" t="s">
        <v>28</v>
      </c>
      <c r="J911">
        <v>5</v>
      </c>
      <c r="K911">
        <v>6</v>
      </c>
      <c r="L911">
        <v>7</v>
      </c>
      <c r="M911" s="1" t="s">
        <v>24</v>
      </c>
      <c r="N911" s="2">
        <v>45992</v>
      </c>
      <c r="O911">
        <v>2025</v>
      </c>
      <c r="P911">
        <v>4</v>
      </c>
      <c r="Q911" s="1" t="s">
        <v>24</v>
      </c>
    </row>
    <row r="912" spans="1:17" x14ac:dyDescent="0.3">
      <c r="A912" s="1" t="s">
        <v>977</v>
      </c>
      <c r="B912" s="1" t="s">
        <v>63</v>
      </c>
      <c r="C912" s="1" t="s">
        <v>74</v>
      </c>
      <c r="D912" s="1" t="s">
        <v>20</v>
      </c>
      <c r="E912" s="1" t="s">
        <v>21</v>
      </c>
      <c r="F912" s="1" t="s">
        <v>31</v>
      </c>
      <c r="G912" s="2">
        <v>45791</v>
      </c>
      <c r="H912" s="2">
        <v>45796</v>
      </c>
      <c r="I912" s="1" t="s">
        <v>23</v>
      </c>
      <c r="J912">
        <v>5</v>
      </c>
      <c r="K912">
        <v>5</v>
      </c>
      <c r="L912">
        <v>14</v>
      </c>
      <c r="M912" s="1" t="s">
        <v>24</v>
      </c>
      <c r="N912" s="2">
        <v>45778</v>
      </c>
      <c r="O912">
        <v>2025</v>
      </c>
      <c r="P912">
        <v>2</v>
      </c>
      <c r="Q912" s="1" t="s">
        <v>24</v>
      </c>
    </row>
    <row r="913" spans="1:17" x14ac:dyDescent="0.3">
      <c r="A913" s="1" t="s">
        <v>978</v>
      </c>
      <c r="B913" s="1" t="s">
        <v>58</v>
      </c>
      <c r="C913" s="1" t="s">
        <v>70</v>
      </c>
      <c r="D913" s="1" t="s">
        <v>51</v>
      </c>
      <c r="E913" s="1" t="s">
        <v>48</v>
      </c>
      <c r="F913" s="1" t="s">
        <v>31</v>
      </c>
      <c r="G913" s="2">
        <v>45945</v>
      </c>
      <c r="H913" s="2"/>
      <c r="I913" s="1" t="s">
        <v>39</v>
      </c>
      <c r="L913">
        <v>10</v>
      </c>
      <c r="M913" s="1" t="s">
        <v>40</v>
      </c>
      <c r="N913" s="2">
        <v>45931</v>
      </c>
      <c r="O913">
        <v>2025</v>
      </c>
      <c r="P913">
        <v>4</v>
      </c>
      <c r="Q913" s="1" t="s">
        <v>33</v>
      </c>
    </row>
    <row r="914" spans="1:17" x14ac:dyDescent="0.3">
      <c r="A914" s="1" t="s">
        <v>979</v>
      </c>
      <c r="B914" s="1" t="s">
        <v>58</v>
      </c>
      <c r="C914" s="1" t="s">
        <v>70</v>
      </c>
      <c r="D914" s="1" t="s">
        <v>44</v>
      </c>
      <c r="E914" s="1" t="s">
        <v>48</v>
      </c>
      <c r="F914" s="1" t="s">
        <v>52</v>
      </c>
      <c r="G914" s="2">
        <v>45721</v>
      </c>
      <c r="H914" s="2"/>
      <c r="I914" s="1" t="s">
        <v>23</v>
      </c>
      <c r="L914">
        <v>7</v>
      </c>
      <c r="M914" s="1" t="s">
        <v>40</v>
      </c>
      <c r="N914" s="2">
        <v>45717</v>
      </c>
      <c r="O914">
        <v>2025</v>
      </c>
      <c r="P914">
        <v>1</v>
      </c>
      <c r="Q914" s="1" t="s">
        <v>33</v>
      </c>
    </row>
    <row r="915" spans="1:17" x14ac:dyDescent="0.3">
      <c r="A915" s="1" t="s">
        <v>980</v>
      </c>
      <c r="B915" s="1" t="s">
        <v>63</v>
      </c>
      <c r="C915" s="1" t="s">
        <v>84</v>
      </c>
      <c r="D915" s="1" t="s">
        <v>20</v>
      </c>
      <c r="E915" s="1" t="s">
        <v>21</v>
      </c>
      <c r="F915" s="1" t="s">
        <v>22</v>
      </c>
      <c r="G915" s="2">
        <v>45918</v>
      </c>
      <c r="H915" s="2">
        <v>45925</v>
      </c>
      <c r="I915" s="1" t="s">
        <v>28</v>
      </c>
      <c r="J915">
        <v>4</v>
      </c>
      <c r="K915">
        <v>7</v>
      </c>
      <c r="L915">
        <v>14</v>
      </c>
      <c r="M915" s="1" t="s">
        <v>24</v>
      </c>
      <c r="N915" s="2">
        <v>45901</v>
      </c>
      <c r="O915">
        <v>2025</v>
      </c>
      <c r="P915">
        <v>3</v>
      </c>
      <c r="Q915" s="1" t="s">
        <v>24</v>
      </c>
    </row>
    <row r="916" spans="1:17" x14ac:dyDescent="0.3">
      <c r="A916" s="1" t="s">
        <v>981</v>
      </c>
      <c r="B916" s="1" t="s">
        <v>26</v>
      </c>
      <c r="C916" s="1" t="s">
        <v>67</v>
      </c>
      <c r="D916" s="1" t="s">
        <v>51</v>
      </c>
      <c r="E916" s="1" t="s">
        <v>21</v>
      </c>
      <c r="F916" s="1" t="s">
        <v>31</v>
      </c>
      <c r="G916" s="2">
        <v>45871</v>
      </c>
      <c r="H916" s="2">
        <v>45874</v>
      </c>
      <c r="I916" s="1" t="s">
        <v>23</v>
      </c>
      <c r="J916">
        <v>3</v>
      </c>
      <c r="K916">
        <v>3</v>
      </c>
      <c r="L916">
        <v>10</v>
      </c>
      <c r="M916" s="1" t="s">
        <v>24</v>
      </c>
      <c r="N916" s="2">
        <v>45870</v>
      </c>
      <c r="O916">
        <v>2025</v>
      </c>
      <c r="P916">
        <v>3</v>
      </c>
      <c r="Q916" s="1" t="s">
        <v>24</v>
      </c>
    </row>
    <row r="917" spans="1:17" x14ac:dyDescent="0.3">
      <c r="A917" s="1" t="s">
        <v>982</v>
      </c>
      <c r="B917" s="1" t="s">
        <v>35</v>
      </c>
      <c r="C917" s="1" t="s">
        <v>99</v>
      </c>
      <c r="D917" s="1" t="s">
        <v>51</v>
      </c>
      <c r="E917" s="1" t="s">
        <v>48</v>
      </c>
      <c r="F917" s="1" t="s">
        <v>31</v>
      </c>
      <c r="G917" s="2">
        <v>45720</v>
      </c>
      <c r="H917" s="2"/>
      <c r="I917" s="1" t="s">
        <v>32</v>
      </c>
      <c r="L917">
        <v>10</v>
      </c>
      <c r="M917" s="1" t="s">
        <v>40</v>
      </c>
      <c r="N917" s="2">
        <v>45717</v>
      </c>
      <c r="O917">
        <v>2025</v>
      </c>
      <c r="P917">
        <v>1</v>
      </c>
      <c r="Q917" s="1" t="s">
        <v>33</v>
      </c>
    </row>
    <row r="918" spans="1:17" x14ac:dyDescent="0.3">
      <c r="A918" s="1" t="s">
        <v>983</v>
      </c>
      <c r="B918" s="1" t="s">
        <v>26</v>
      </c>
      <c r="C918" s="1" t="s">
        <v>67</v>
      </c>
      <c r="D918" s="1" t="s">
        <v>44</v>
      </c>
      <c r="E918" s="1" t="s">
        <v>21</v>
      </c>
      <c r="F918" s="1" t="s">
        <v>31</v>
      </c>
      <c r="G918" s="2">
        <v>45699</v>
      </c>
      <c r="H918" s="2">
        <v>45703</v>
      </c>
      <c r="I918" s="1" t="s">
        <v>39</v>
      </c>
      <c r="J918">
        <v>5</v>
      </c>
      <c r="K918">
        <v>4</v>
      </c>
      <c r="L918">
        <v>7</v>
      </c>
      <c r="M918" s="1" t="s">
        <v>24</v>
      </c>
      <c r="N918" s="2">
        <v>45689</v>
      </c>
      <c r="O918">
        <v>2025</v>
      </c>
      <c r="P918">
        <v>1</v>
      </c>
      <c r="Q918" s="1" t="s">
        <v>24</v>
      </c>
    </row>
    <row r="919" spans="1:17" x14ac:dyDescent="0.3">
      <c r="A919" s="1" t="s">
        <v>984</v>
      </c>
      <c r="B919" s="1" t="s">
        <v>18</v>
      </c>
      <c r="C919" s="1" t="s">
        <v>56</v>
      </c>
      <c r="D919" s="1" t="s">
        <v>51</v>
      </c>
      <c r="E919" s="1" t="s">
        <v>21</v>
      </c>
      <c r="F919" s="1" t="s">
        <v>22</v>
      </c>
      <c r="G919" s="2">
        <v>45680</v>
      </c>
      <c r="H919" s="2">
        <v>45689</v>
      </c>
      <c r="I919" s="1" t="s">
        <v>28</v>
      </c>
      <c r="J919">
        <v>4</v>
      </c>
      <c r="K919">
        <v>9</v>
      </c>
      <c r="L919">
        <v>10</v>
      </c>
      <c r="M919" s="1" t="s">
        <v>24</v>
      </c>
      <c r="N919" s="2">
        <v>45658</v>
      </c>
      <c r="O919">
        <v>2025</v>
      </c>
      <c r="P919">
        <v>1</v>
      </c>
      <c r="Q919" s="1" t="s">
        <v>24</v>
      </c>
    </row>
    <row r="920" spans="1:17" x14ac:dyDescent="0.3">
      <c r="A920" s="1" t="s">
        <v>985</v>
      </c>
      <c r="B920" s="1" t="s">
        <v>63</v>
      </c>
      <c r="C920" s="1" t="s">
        <v>74</v>
      </c>
      <c r="D920" s="1" t="s">
        <v>44</v>
      </c>
      <c r="E920" s="1" t="s">
        <v>21</v>
      </c>
      <c r="F920" s="1" t="s">
        <v>22</v>
      </c>
      <c r="G920" s="2">
        <v>45686</v>
      </c>
      <c r="H920" s="2">
        <v>45692</v>
      </c>
      <c r="I920" s="1" t="s">
        <v>39</v>
      </c>
      <c r="J920">
        <v>2</v>
      </c>
      <c r="K920">
        <v>6</v>
      </c>
      <c r="L920">
        <v>7</v>
      </c>
      <c r="M920" s="1" t="s">
        <v>24</v>
      </c>
      <c r="N920" s="2">
        <v>45658</v>
      </c>
      <c r="O920">
        <v>2025</v>
      </c>
      <c r="P920">
        <v>1</v>
      </c>
      <c r="Q920" s="1" t="s">
        <v>24</v>
      </c>
    </row>
    <row r="921" spans="1:17" x14ac:dyDescent="0.3">
      <c r="A921" s="1" t="s">
        <v>986</v>
      </c>
      <c r="B921" s="1" t="s">
        <v>42</v>
      </c>
      <c r="C921" s="1" t="s">
        <v>87</v>
      </c>
      <c r="D921" s="1" t="s">
        <v>51</v>
      </c>
      <c r="E921" s="1" t="s">
        <v>21</v>
      </c>
      <c r="F921" s="1" t="s">
        <v>61</v>
      </c>
      <c r="G921" s="2">
        <v>45862</v>
      </c>
      <c r="H921" s="2">
        <v>45865</v>
      </c>
      <c r="I921" s="1" t="s">
        <v>28</v>
      </c>
      <c r="J921">
        <v>1</v>
      </c>
      <c r="K921">
        <v>3</v>
      </c>
      <c r="L921">
        <v>10</v>
      </c>
      <c r="M921" s="1" t="s">
        <v>24</v>
      </c>
      <c r="N921" s="2">
        <v>45839</v>
      </c>
      <c r="O921">
        <v>2025</v>
      </c>
      <c r="P921">
        <v>3</v>
      </c>
      <c r="Q921" s="1" t="s">
        <v>24</v>
      </c>
    </row>
    <row r="922" spans="1:17" x14ac:dyDescent="0.3">
      <c r="A922" s="1" t="s">
        <v>987</v>
      </c>
      <c r="B922" s="1" t="s">
        <v>58</v>
      </c>
      <c r="C922" s="1" t="s">
        <v>145</v>
      </c>
      <c r="D922" s="1" t="s">
        <v>51</v>
      </c>
      <c r="E922" s="1" t="s">
        <v>37</v>
      </c>
      <c r="F922" s="1" t="s">
        <v>61</v>
      </c>
      <c r="G922" s="2">
        <v>45992</v>
      </c>
      <c r="H922" s="2"/>
      <c r="I922" s="1" t="s">
        <v>23</v>
      </c>
      <c r="L922">
        <v>10</v>
      </c>
      <c r="M922" s="1" t="s">
        <v>40</v>
      </c>
      <c r="N922" s="2">
        <v>45992</v>
      </c>
      <c r="O922">
        <v>2025</v>
      </c>
      <c r="P922">
        <v>4</v>
      </c>
      <c r="Q922" s="1" t="s">
        <v>33</v>
      </c>
    </row>
    <row r="923" spans="1:17" x14ac:dyDescent="0.3">
      <c r="A923" s="1" t="s">
        <v>988</v>
      </c>
      <c r="B923" s="1" t="s">
        <v>35</v>
      </c>
      <c r="C923" s="1" t="s">
        <v>50</v>
      </c>
      <c r="D923" s="1" t="s">
        <v>44</v>
      </c>
      <c r="E923" s="1" t="s">
        <v>21</v>
      </c>
      <c r="F923" s="1" t="s">
        <v>52</v>
      </c>
      <c r="G923" s="2">
        <v>45816</v>
      </c>
      <c r="H923" s="2">
        <v>45822</v>
      </c>
      <c r="I923" s="1" t="s">
        <v>23</v>
      </c>
      <c r="J923">
        <v>4</v>
      </c>
      <c r="K923">
        <v>6</v>
      </c>
      <c r="L923">
        <v>7</v>
      </c>
      <c r="M923" s="1" t="s">
        <v>24</v>
      </c>
      <c r="N923" s="2">
        <v>45809</v>
      </c>
      <c r="O923">
        <v>2025</v>
      </c>
      <c r="P923">
        <v>2</v>
      </c>
      <c r="Q923" s="1" t="s">
        <v>24</v>
      </c>
    </row>
    <row r="924" spans="1:17" x14ac:dyDescent="0.3">
      <c r="A924" s="1" t="s">
        <v>989</v>
      </c>
      <c r="B924" s="1" t="s">
        <v>35</v>
      </c>
      <c r="C924" s="1" t="s">
        <v>36</v>
      </c>
      <c r="D924" s="1" t="s">
        <v>51</v>
      </c>
      <c r="E924" s="1" t="s">
        <v>48</v>
      </c>
      <c r="F924" s="1" t="s">
        <v>52</v>
      </c>
      <c r="G924" s="2">
        <v>45901</v>
      </c>
      <c r="H924" s="2"/>
      <c r="I924" s="1" t="s">
        <v>82</v>
      </c>
      <c r="L924">
        <v>10</v>
      </c>
      <c r="M924" s="1" t="s">
        <v>40</v>
      </c>
      <c r="N924" s="2">
        <v>45901</v>
      </c>
      <c r="O924">
        <v>2025</v>
      </c>
      <c r="P924">
        <v>3</v>
      </c>
      <c r="Q924" s="1" t="s">
        <v>33</v>
      </c>
    </row>
    <row r="925" spans="1:17" x14ac:dyDescent="0.3">
      <c r="A925" s="1" t="s">
        <v>990</v>
      </c>
      <c r="B925" s="1" t="s">
        <v>26</v>
      </c>
      <c r="C925" s="1" t="s">
        <v>27</v>
      </c>
      <c r="D925" s="1" t="s">
        <v>20</v>
      </c>
      <c r="E925" s="1" t="s">
        <v>21</v>
      </c>
      <c r="F925" s="1" t="s">
        <v>31</v>
      </c>
      <c r="G925" s="2">
        <v>45846</v>
      </c>
      <c r="H925" s="2">
        <v>45858</v>
      </c>
      <c r="I925" s="1" t="s">
        <v>23</v>
      </c>
      <c r="J925">
        <v>3</v>
      </c>
      <c r="K925">
        <v>12</v>
      </c>
      <c r="L925">
        <v>14</v>
      </c>
      <c r="M925" s="1" t="s">
        <v>24</v>
      </c>
      <c r="N925" s="2">
        <v>45839</v>
      </c>
      <c r="O925">
        <v>2025</v>
      </c>
      <c r="P925">
        <v>3</v>
      </c>
      <c r="Q925" s="1" t="s">
        <v>24</v>
      </c>
    </row>
    <row r="926" spans="1:17" x14ac:dyDescent="0.3">
      <c r="A926" s="1" t="s">
        <v>991</v>
      </c>
      <c r="B926" s="1" t="s">
        <v>42</v>
      </c>
      <c r="C926" s="1" t="s">
        <v>43</v>
      </c>
      <c r="D926" s="1" t="s">
        <v>71</v>
      </c>
      <c r="E926" s="1" t="s">
        <v>21</v>
      </c>
      <c r="F926" s="1" t="s">
        <v>22</v>
      </c>
      <c r="G926" s="2">
        <v>45989</v>
      </c>
      <c r="H926" s="2">
        <v>45990</v>
      </c>
      <c r="I926" s="1" t="s">
        <v>82</v>
      </c>
      <c r="J926">
        <v>5</v>
      </c>
      <c r="K926">
        <v>1</v>
      </c>
      <c r="L926">
        <v>3</v>
      </c>
      <c r="M926" s="1" t="s">
        <v>24</v>
      </c>
      <c r="N926" s="2">
        <v>45962</v>
      </c>
      <c r="O926">
        <v>2025</v>
      </c>
      <c r="P926">
        <v>4</v>
      </c>
      <c r="Q926" s="1" t="s">
        <v>24</v>
      </c>
    </row>
    <row r="927" spans="1:17" x14ac:dyDescent="0.3">
      <c r="A927" s="1" t="s">
        <v>992</v>
      </c>
      <c r="B927" s="1" t="s">
        <v>42</v>
      </c>
      <c r="C927" s="1" t="s">
        <v>43</v>
      </c>
      <c r="D927" s="1" t="s">
        <v>51</v>
      </c>
      <c r="E927" s="1" t="s">
        <v>21</v>
      </c>
      <c r="F927" s="1" t="s">
        <v>61</v>
      </c>
      <c r="G927" s="2">
        <v>45902</v>
      </c>
      <c r="H927" s="2">
        <v>45908</v>
      </c>
      <c r="I927" s="1" t="s">
        <v>32</v>
      </c>
      <c r="J927">
        <v>3</v>
      </c>
      <c r="K927">
        <v>6</v>
      </c>
      <c r="L927">
        <v>10</v>
      </c>
      <c r="M927" s="1" t="s">
        <v>24</v>
      </c>
      <c r="N927" s="2">
        <v>45901</v>
      </c>
      <c r="O927">
        <v>2025</v>
      </c>
      <c r="P927">
        <v>3</v>
      </c>
      <c r="Q927" s="1" t="s">
        <v>24</v>
      </c>
    </row>
    <row r="928" spans="1:17" x14ac:dyDescent="0.3">
      <c r="A928" s="1" t="s">
        <v>993</v>
      </c>
      <c r="B928" s="1" t="s">
        <v>63</v>
      </c>
      <c r="C928" s="1" t="s">
        <v>89</v>
      </c>
      <c r="D928" s="1" t="s">
        <v>51</v>
      </c>
      <c r="E928" s="1" t="s">
        <v>21</v>
      </c>
      <c r="F928" s="1" t="s">
        <v>22</v>
      </c>
      <c r="G928" s="2">
        <v>45697</v>
      </c>
      <c r="H928" s="2">
        <v>45699</v>
      </c>
      <c r="I928" s="1" t="s">
        <v>39</v>
      </c>
      <c r="J928">
        <v>4</v>
      </c>
      <c r="K928">
        <v>2</v>
      </c>
      <c r="L928">
        <v>10</v>
      </c>
      <c r="M928" s="1" t="s">
        <v>24</v>
      </c>
      <c r="N928" s="2">
        <v>45689</v>
      </c>
      <c r="O928">
        <v>2025</v>
      </c>
      <c r="P928">
        <v>1</v>
      </c>
      <c r="Q928" s="1" t="s">
        <v>24</v>
      </c>
    </row>
    <row r="929" spans="1:17" x14ac:dyDescent="0.3">
      <c r="A929" s="1" t="s">
        <v>994</v>
      </c>
      <c r="B929" s="1" t="s">
        <v>58</v>
      </c>
      <c r="C929" s="1" t="s">
        <v>70</v>
      </c>
      <c r="D929" s="1" t="s">
        <v>51</v>
      </c>
      <c r="E929" s="1" t="s">
        <v>21</v>
      </c>
      <c r="F929" s="1" t="s">
        <v>38</v>
      </c>
      <c r="G929" s="2">
        <v>45787</v>
      </c>
      <c r="H929" s="2">
        <v>45794</v>
      </c>
      <c r="I929" s="1" t="s">
        <v>82</v>
      </c>
      <c r="J929">
        <v>3</v>
      </c>
      <c r="K929">
        <v>7</v>
      </c>
      <c r="L929">
        <v>10</v>
      </c>
      <c r="M929" s="1" t="s">
        <v>24</v>
      </c>
      <c r="N929" s="2">
        <v>45778</v>
      </c>
      <c r="O929">
        <v>2025</v>
      </c>
      <c r="P929">
        <v>2</v>
      </c>
      <c r="Q929" s="1" t="s">
        <v>24</v>
      </c>
    </row>
    <row r="930" spans="1:17" x14ac:dyDescent="0.3">
      <c r="A930" s="1" t="s">
        <v>995</v>
      </c>
      <c r="B930" s="1" t="s">
        <v>42</v>
      </c>
      <c r="C930" s="1" t="s">
        <v>81</v>
      </c>
      <c r="D930" s="1" t="s">
        <v>44</v>
      </c>
      <c r="E930" s="1" t="s">
        <v>21</v>
      </c>
      <c r="F930" s="1" t="s">
        <v>38</v>
      </c>
      <c r="G930" s="2">
        <v>45751</v>
      </c>
      <c r="H930" s="2">
        <v>45758</v>
      </c>
      <c r="I930" s="1" t="s">
        <v>39</v>
      </c>
      <c r="J930">
        <v>4</v>
      </c>
      <c r="K930">
        <v>7</v>
      </c>
      <c r="L930">
        <v>7</v>
      </c>
      <c r="M930" s="1" t="s">
        <v>24</v>
      </c>
      <c r="N930" s="2">
        <v>45748</v>
      </c>
      <c r="O930">
        <v>2025</v>
      </c>
      <c r="P930">
        <v>2</v>
      </c>
      <c r="Q930" s="1" t="s">
        <v>24</v>
      </c>
    </row>
    <row r="931" spans="1:17" x14ac:dyDescent="0.3">
      <c r="A931" s="1" t="s">
        <v>996</v>
      </c>
      <c r="B931" s="1" t="s">
        <v>18</v>
      </c>
      <c r="C931" s="1" t="s">
        <v>56</v>
      </c>
      <c r="D931" s="1" t="s">
        <v>51</v>
      </c>
      <c r="E931" s="1" t="s">
        <v>21</v>
      </c>
      <c r="F931" s="1" t="s">
        <v>52</v>
      </c>
      <c r="G931" s="2">
        <v>46001</v>
      </c>
      <c r="H931" s="2">
        <v>46010</v>
      </c>
      <c r="I931" s="1" t="s">
        <v>32</v>
      </c>
      <c r="J931">
        <v>4</v>
      </c>
      <c r="K931">
        <v>9</v>
      </c>
      <c r="L931">
        <v>10</v>
      </c>
      <c r="M931" s="1" t="s">
        <v>24</v>
      </c>
      <c r="N931" s="2">
        <v>45992</v>
      </c>
      <c r="O931">
        <v>2025</v>
      </c>
      <c r="P931">
        <v>4</v>
      </c>
      <c r="Q931" s="1" t="s">
        <v>24</v>
      </c>
    </row>
    <row r="932" spans="1:17" x14ac:dyDescent="0.3">
      <c r="A932" s="1" t="s">
        <v>997</v>
      </c>
      <c r="B932" s="1" t="s">
        <v>63</v>
      </c>
      <c r="C932" s="1" t="s">
        <v>64</v>
      </c>
      <c r="D932" s="1" t="s">
        <v>20</v>
      </c>
      <c r="E932" s="1" t="s">
        <v>37</v>
      </c>
      <c r="F932" s="1" t="s">
        <v>52</v>
      </c>
      <c r="G932" s="2">
        <v>45967</v>
      </c>
      <c r="H932" s="2"/>
      <c r="I932" s="1" t="s">
        <v>23</v>
      </c>
      <c r="L932">
        <v>14</v>
      </c>
      <c r="M932" s="1" t="s">
        <v>40</v>
      </c>
      <c r="N932" s="2">
        <v>45962</v>
      </c>
      <c r="O932">
        <v>2025</v>
      </c>
      <c r="P932">
        <v>4</v>
      </c>
      <c r="Q932" s="1" t="s">
        <v>33</v>
      </c>
    </row>
    <row r="933" spans="1:17" x14ac:dyDescent="0.3">
      <c r="A933" s="1" t="s">
        <v>998</v>
      </c>
      <c r="B933" s="1" t="s">
        <v>58</v>
      </c>
      <c r="C933" s="1" t="s">
        <v>70</v>
      </c>
      <c r="D933" s="1" t="s">
        <v>20</v>
      </c>
      <c r="E933" s="1" t="s">
        <v>21</v>
      </c>
      <c r="F933" s="1" t="s">
        <v>31</v>
      </c>
      <c r="G933" s="2">
        <v>45745</v>
      </c>
      <c r="H933" s="2">
        <v>45758</v>
      </c>
      <c r="I933" s="1" t="s">
        <v>82</v>
      </c>
      <c r="J933">
        <v>4</v>
      </c>
      <c r="K933">
        <v>13</v>
      </c>
      <c r="L933">
        <v>14</v>
      </c>
      <c r="M933" s="1" t="s">
        <v>24</v>
      </c>
      <c r="N933" s="2">
        <v>45717</v>
      </c>
      <c r="O933">
        <v>2025</v>
      </c>
      <c r="P933">
        <v>1</v>
      </c>
      <c r="Q933" s="1" t="s">
        <v>24</v>
      </c>
    </row>
    <row r="934" spans="1:17" x14ac:dyDescent="0.3">
      <c r="A934" s="1" t="s">
        <v>999</v>
      </c>
      <c r="B934" s="1" t="s">
        <v>18</v>
      </c>
      <c r="C934" s="1" t="s">
        <v>30</v>
      </c>
      <c r="D934" s="1" t="s">
        <v>51</v>
      </c>
      <c r="E934" s="1" t="s">
        <v>37</v>
      </c>
      <c r="F934" s="1" t="s">
        <v>52</v>
      </c>
      <c r="G934" s="2">
        <v>45973</v>
      </c>
      <c r="H934" s="2"/>
      <c r="I934" s="1" t="s">
        <v>39</v>
      </c>
      <c r="L934">
        <v>10</v>
      </c>
      <c r="M934" s="1" t="s">
        <v>40</v>
      </c>
      <c r="N934" s="2">
        <v>45962</v>
      </c>
      <c r="O934">
        <v>2025</v>
      </c>
      <c r="P934">
        <v>4</v>
      </c>
      <c r="Q934" s="1" t="s">
        <v>33</v>
      </c>
    </row>
    <row r="935" spans="1:17" x14ac:dyDescent="0.3">
      <c r="A935" s="1" t="s">
        <v>1000</v>
      </c>
      <c r="B935" s="1" t="s">
        <v>35</v>
      </c>
      <c r="C935" s="1" t="s">
        <v>99</v>
      </c>
      <c r="D935" s="1" t="s">
        <v>20</v>
      </c>
      <c r="E935" s="1" t="s">
        <v>21</v>
      </c>
      <c r="F935" s="1" t="s">
        <v>61</v>
      </c>
      <c r="G935" s="2">
        <v>45715</v>
      </c>
      <c r="H935" s="2">
        <v>45718</v>
      </c>
      <c r="I935" s="1" t="s">
        <v>23</v>
      </c>
      <c r="J935">
        <v>5</v>
      </c>
      <c r="K935">
        <v>3</v>
      </c>
      <c r="L935">
        <v>14</v>
      </c>
      <c r="M935" s="1" t="s">
        <v>24</v>
      </c>
      <c r="N935" s="2">
        <v>45689</v>
      </c>
      <c r="O935">
        <v>2025</v>
      </c>
      <c r="P935">
        <v>1</v>
      </c>
      <c r="Q935" s="1" t="s">
        <v>24</v>
      </c>
    </row>
    <row r="936" spans="1:17" x14ac:dyDescent="0.3">
      <c r="A936" s="1" t="s">
        <v>1001</v>
      </c>
      <c r="B936" s="1" t="s">
        <v>63</v>
      </c>
      <c r="C936" s="1" t="s">
        <v>89</v>
      </c>
      <c r="D936" s="1" t="s">
        <v>51</v>
      </c>
      <c r="E936" s="1" t="s">
        <v>21</v>
      </c>
      <c r="F936" s="1" t="s">
        <v>52</v>
      </c>
      <c r="G936" s="2">
        <v>45881</v>
      </c>
      <c r="H936" s="2">
        <v>45891</v>
      </c>
      <c r="I936" s="1" t="s">
        <v>39</v>
      </c>
      <c r="J936">
        <v>3</v>
      </c>
      <c r="K936">
        <v>10</v>
      </c>
      <c r="L936">
        <v>10</v>
      </c>
      <c r="M936" s="1" t="s">
        <v>24</v>
      </c>
      <c r="N936" s="2">
        <v>45870</v>
      </c>
      <c r="O936">
        <v>2025</v>
      </c>
      <c r="P936">
        <v>3</v>
      </c>
      <c r="Q936" s="1" t="s">
        <v>24</v>
      </c>
    </row>
    <row r="937" spans="1:17" x14ac:dyDescent="0.3">
      <c r="A937" s="1" t="s">
        <v>1002</v>
      </c>
      <c r="B937" s="1" t="s">
        <v>63</v>
      </c>
      <c r="C937" s="1" t="s">
        <v>89</v>
      </c>
      <c r="D937" s="1" t="s">
        <v>51</v>
      </c>
      <c r="E937" s="1" t="s">
        <v>21</v>
      </c>
      <c r="F937" s="1" t="s">
        <v>31</v>
      </c>
      <c r="G937" s="2">
        <v>45736</v>
      </c>
      <c r="H937" s="2">
        <v>45745</v>
      </c>
      <c r="I937" s="1" t="s">
        <v>23</v>
      </c>
      <c r="J937">
        <v>5</v>
      </c>
      <c r="K937">
        <v>9</v>
      </c>
      <c r="L937">
        <v>10</v>
      </c>
      <c r="M937" s="1" t="s">
        <v>24</v>
      </c>
      <c r="N937" s="2">
        <v>45717</v>
      </c>
      <c r="O937">
        <v>2025</v>
      </c>
      <c r="P937">
        <v>1</v>
      </c>
      <c r="Q937" s="1" t="s">
        <v>24</v>
      </c>
    </row>
    <row r="938" spans="1:17" x14ac:dyDescent="0.3">
      <c r="A938" s="1" t="s">
        <v>1003</v>
      </c>
      <c r="B938" s="1" t="s">
        <v>58</v>
      </c>
      <c r="C938" s="1" t="s">
        <v>108</v>
      </c>
      <c r="D938" s="1" t="s">
        <v>20</v>
      </c>
      <c r="E938" s="1" t="s">
        <v>21</v>
      </c>
      <c r="F938" s="1" t="s">
        <v>38</v>
      </c>
      <c r="G938" s="2">
        <v>45858</v>
      </c>
      <c r="H938" s="2">
        <v>45861</v>
      </c>
      <c r="I938" s="1" t="s">
        <v>39</v>
      </c>
      <c r="J938">
        <v>4</v>
      </c>
      <c r="K938">
        <v>3</v>
      </c>
      <c r="L938">
        <v>14</v>
      </c>
      <c r="M938" s="1" t="s">
        <v>24</v>
      </c>
      <c r="N938" s="2">
        <v>45839</v>
      </c>
      <c r="O938">
        <v>2025</v>
      </c>
      <c r="P938">
        <v>3</v>
      </c>
      <c r="Q938" s="1" t="s">
        <v>24</v>
      </c>
    </row>
    <row r="939" spans="1:17" x14ac:dyDescent="0.3">
      <c r="A939" s="1" t="s">
        <v>1004</v>
      </c>
      <c r="B939" s="1" t="s">
        <v>58</v>
      </c>
      <c r="C939" s="1" t="s">
        <v>145</v>
      </c>
      <c r="D939" s="1" t="s">
        <v>44</v>
      </c>
      <c r="E939" s="1" t="s">
        <v>21</v>
      </c>
      <c r="F939" s="1" t="s">
        <v>31</v>
      </c>
      <c r="G939" s="2">
        <v>45941</v>
      </c>
      <c r="H939" s="2">
        <v>45944</v>
      </c>
      <c r="I939" s="1" t="s">
        <v>39</v>
      </c>
      <c r="J939">
        <v>1</v>
      </c>
      <c r="K939">
        <v>3</v>
      </c>
      <c r="L939">
        <v>7</v>
      </c>
      <c r="M939" s="1" t="s">
        <v>24</v>
      </c>
      <c r="N939" s="2">
        <v>45931</v>
      </c>
      <c r="O939">
        <v>2025</v>
      </c>
      <c r="P939">
        <v>4</v>
      </c>
      <c r="Q939" s="1" t="s">
        <v>24</v>
      </c>
    </row>
    <row r="940" spans="1:17" x14ac:dyDescent="0.3">
      <c r="A940" s="1" t="s">
        <v>1005</v>
      </c>
      <c r="B940" s="1" t="s">
        <v>26</v>
      </c>
      <c r="C940" s="1" t="s">
        <v>27</v>
      </c>
      <c r="D940" s="1" t="s">
        <v>20</v>
      </c>
      <c r="E940" s="1" t="s">
        <v>21</v>
      </c>
      <c r="F940" s="1" t="s">
        <v>22</v>
      </c>
      <c r="G940" s="2">
        <v>45667</v>
      </c>
      <c r="H940" s="2">
        <v>45676</v>
      </c>
      <c r="I940" s="1" t="s">
        <v>23</v>
      </c>
      <c r="J940">
        <v>4</v>
      </c>
      <c r="K940">
        <v>9</v>
      </c>
      <c r="L940">
        <v>14</v>
      </c>
      <c r="M940" s="1" t="s">
        <v>24</v>
      </c>
      <c r="N940" s="2">
        <v>45658</v>
      </c>
      <c r="O940">
        <v>2025</v>
      </c>
      <c r="P940">
        <v>1</v>
      </c>
      <c r="Q940" s="1" t="s">
        <v>24</v>
      </c>
    </row>
    <row r="941" spans="1:17" x14ac:dyDescent="0.3">
      <c r="A941" s="1" t="s">
        <v>1006</v>
      </c>
      <c r="B941" s="1" t="s">
        <v>35</v>
      </c>
      <c r="C941" s="1" t="s">
        <v>50</v>
      </c>
      <c r="D941" s="1" t="s">
        <v>44</v>
      </c>
      <c r="E941" s="1" t="s">
        <v>21</v>
      </c>
      <c r="F941" s="1" t="s">
        <v>31</v>
      </c>
      <c r="G941" s="2">
        <v>45976</v>
      </c>
      <c r="H941" s="2">
        <v>45982</v>
      </c>
      <c r="I941" s="1" t="s">
        <v>23</v>
      </c>
      <c r="J941">
        <v>4</v>
      </c>
      <c r="K941">
        <v>6</v>
      </c>
      <c r="L941">
        <v>7</v>
      </c>
      <c r="M941" s="1" t="s">
        <v>24</v>
      </c>
      <c r="N941" s="2">
        <v>45962</v>
      </c>
      <c r="O941">
        <v>2025</v>
      </c>
      <c r="P941">
        <v>4</v>
      </c>
      <c r="Q941" s="1" t="s">
        <v>24</v>
      </c>
    </row>
    <row r="942" spans="1:17" x14ac:dyDescent="0.3">
      <c r="A942" s="1" t="s">
        <v>1007</v>
      </c>
      <c r="B942" s="1" t="s">
        <v>63</v>
      </c>
      <c r="C942" s="1" t="s">
        <v>84</v>
      </c>
      <c r="D942" s="1" t="s">
        <v>44</v>
      </c>
      <c r="E942" s="1" t="s">
        <v>21</v>
      </c>
      <c r="F942" s="1" t="s">
        <v>22</v>
      </c>
      <c r="G942" s="2">
        <v>45882</v>
      </c>
      <c r="H942" s="2">
        <v>45884</v>
      </c>
      <c r="I942" s="1" t="s">
        <v>32</v>
      </c>
      <c r="J942">
        <v>4</v>
      </c>
      <c r="K942">
        <v>2</v>
      </c>
      <c r="L942">
        <v>7</v>
      </c>
      <c r="M942" s="1" t="s">
        <v>24</v>
      </c>
      <c r="N942" s="2">
        <v>45870</v>
      </c>
      <c r="O942">
        <v>2025</v>
      </c>
      <c r="P942">
        <v>3</v>
      </c>
      <c r="Q942" s="1" t="s">
        <v>24</v>
      </c>
    </row>
    <row r="943" spans="1:17" x14ac:dyDescent="0.3">
      <c r="A943" s="1" t="s">
        <v>1008</v>
      </c>
      <c r="B943" s="1" t="s">
        <v>26</v>
      </c>
      <c r="C943" s="1" t="s">
        <v>27</v>
      </c>
      <c r="D943" s="1" t="s">
        <v>20</v>
      </c>
      <c r="E943" s="1" t="s">
        <v>21</v>
      </c>
      <c r="F943" s="1" t="s">
        <v>52</v>
      </c>
      <c r="G943" s="2">
        <v>46022</v>
      </c>
      <c r="H943" s="2">
        <v>46031</v>
      </c>
      <c r="I943" s="1" t="s">
        <v>39</v>
      </c>
      <c r="J943">
        <v>5</v>
      </c>
      <c r="K943">
        <v>9</v>
      </c>
      <c r="L943">
        <v>14</v>
      </c>
      <c r="M943" s="1" t="s">
        <v>24</v>
      </c>
      <c r="N943" s="2">
        <v>45992</v>
      </c>
      <c r="O943">
        <v>2025</v>
      </c>
      <c r="P943">
        <v>4</v>
      </c>
      <c r="Q943" s="1" t="s">
        <v>24</v>
      </c>
    </row>
    <row r="944" spans="1:17" x14ac:dyDescent="0.3">
      <c r="A944" s="1" t="s">
        <v>1009</v>
      </c>
      <c r="B944" s="1" t="s">
        <v>63</v>
      </c>
      <c r="C944" s="1" t="s">
        <v>64</v>
      </c>
      <c r="D944" s="1" t="s">
        <v>51</v>
      </c>
      <c r="E944" s="1" t="s">
        <v>37</v>
      </c>
      <c r="F944" s="1" t="s">
        <v>31</v>
      </c>
      <c r="G944" s="2">
        <v>45999</v>
      </c>
      <c r="H944" s="2"/>
      <c r="I944" s="1" t="s">
        <v>28</v>
      </c>
      <c r="L944">
        <v>10</v>
      </c>
      <c r="M944" s="1" t="s">
        <v>40</v>
      </c>
      <c r="N944" s="2">
        <v>45992</v>
      </c>
      <c r="O944">
        <v>2025</v>
      </c>
      <c r="P944">
        <v>4</v>
      </c>
      <c r="Q944" s="1" t="s">
        <v>33</v>
      </c>
    </row>
    <row r="945" spans="1:17" x14ac:dyDescent="0.3">
      <c r="A945" s="1" t="s">
        <v>1010</v>
      </c>
      <c r="B945" s="1" t="s">
        <v>63</v>
      </c>
      <c r="C945" s="1" t="s">
        <v>64</v>
      </c>
      <c r="D945" s="1" t="s">
        <v>20</v>
      </c>
      <c r="E945" s="1" t="s">
        <v>21</v>
      </c>
      <c r="F945" s="1" t="s">
        <v>61</v>
      </c>
      <c r="G945" s="2">
        <v>45870</v>
      </c>
      <c r="H945" s="2">
        <v>45880</v>
      </c>
      <c r="I945" s="1" t="s">
        <v>82</v>
      </c>
      <c r="J945">
        <v>4</v>
      </c>
      <c r="K945">
        <v>10</v>
      </c>
      <c r="L945">
        <v>14</v>
      </c>
      <c r="M945" s="1" t="s">
        <v>24</v>
      </c>
      <c r="N945" s="2">
        <v>45870</v>
      </c>
      <c r="O945">
        <v>2025</v>
      </c>
      <c r="P945">
        <v>3</v>
      </c>
      <c r="Q945" s="1" t="s">
        <v>24</v>
      </c>
    </row>
    <row r="946" spans="1:17" x14ac:dyDescent="0.3">
      <c r="A946" s="1" t="s">
        <v>1011</v>
      </c>
      <c r="B946" s="1" t="s">
        <v>42</v>
      </c>
      <c r="C946" s="1" t="s">
        <v>81</v>
      </c>
      <c r="D946" s="1" t="s">
        <v>51</v>
      </c>
      <c r="E946" s="1" t="s">
        <v>21</v>
      </c>
      <c r="F946" s="1" t="s">
        <v>22</v>
      </c>
      <c r="G946" s="2">
        <v>46004</v>
      </c>
      <c r="H946" s="2">
        <v>46008</v>
      </c>
      <c r="I946" s="1" t="s">
        <v>23</v>
      </c>
      <c r="J946">
        <v>3</v>
      </c>
      <c r="K946">
        <v>4</v>
      </c>
      <c r="L946">
        <v>10</v>
      </c>
      <c r="M946" s="1" t="s">
        <v>24</v>
      </c>
      <c r="N946" s="2">
        <v>45992</v>
      </c>
      <c r="O946">
        <v>2025</v>
      </c>
      <c r="P946">
        <v>4</v>
      </c>
      <c r="Q946" s="1" t="s">
        <v>24</v>
      </c>
    </row>
    <row r="947" spans="1:17" x14ac:dyDescent="0.3">
      <c r="A947" s="1" t="s">
        <v>1012</v>
      </c>
      <c r="B947" s="1" t="s">
        <v>42</v>
      </c>
      <c r="C947" s="1" t="s">
        <v>43</v>
      </c>
      <c r="D947" s="1" t="s">
        <v>51</v>
      </c>
      <c r="E947" s="1" t="s">
        <v>21</v>
      </c>
      <c r="F947" s="1" t="s">
        <v>52</v>
      </c>
      <c r="G947" s="2">
        <v>45719</v>
      </c>
      <c r="H947" s="2">
        <v>45729</v>
      </c>
      <c r="I947" s="1" t="s">
        <v>32</v>
      </c>
      <c r="J947">
        <v>3</v>
      </c>
      <c r="K947">
        <v>10</v>
      </c>
      <c r="L947">
        <v>10</v>
      </c>
      <c r="M947" s="1" t="s">
        <v>24</v>
      </c>
      <c r="N947" s="2">
        <v>45717</v>
      </c>
      <c r="O947">
        <v>2025</v>
      </c>
      <c r="P947">
        <v>1</v>
      </c>
      <c r="Q947" s="1" t="s">
        <v>24</v>
      </c>
    </row>
    <row r="948" spans="1:17" x14ac:dyDescent="0.3">
      <c r="A948" s="1" t="s">
        <v>1013</v>
      </c>
      <c r="B948" s="1" t="s">
        <v>35</v>
      </c>
      <c r="C948" s="1" t="s">
        <v>99</v>
      </c>
      <c r="D948" s="1" t="s">
        <v>44</v>
      </c>
      <c r="E948" s="1" t="s">
        <v>21</v>
      </c>
      <c r="F948" s="1" t="s">
        <v>22</v>
      </c>
      <c r="G948" s="2">
        <v>45735</v>
      </c>
      <c r="H948" s="2">
        <v>45742</v>
      </c>
      <c r="I948" s="1" t="s">
        <v>82</v>
      </c>
      <c r="J948">
        <v>5</v>
      </c>
      <c r="K948">
        <v>7</v>
      </c>
      <c r="L948">
        <v>7</v>
      </c>
      <c r="M948" s="1" t="s">
        <v>24</v>
      </c>
      <c r="N948" s="2">
        <v>45717</v>
      </c>
      <c r="O948">
        <v>2025</v>
      </c>
      <c r="P948">
        <v>1</v>
      </c>
      <c r="Q948" s="1" t="s">
        <v>24</v>
      </c>
    </row>
    <row r="949" spans="1:17" x14ac:dyDescent="0.3">
      <c r="A949" s="1" t="s">
        <v>1014</v>
      </c>
      <c r="B949" s="1" t="s">
        <v>18</v>
      </c>
      <c r="C949" s="1" t="s">
        <v>19</v>
      </c>
      <c r="D949" s="1" t="s">
        <v>44</v>
      </c>
      <c r="E949" s="1" t="s">
        <v>48</v>
      </c>
      <c r="F949" s="1" t="s">
        <v>31</v>
      </c>
      <c r="G949" s="2">
        <v>45882</v>
      </c>
      <c r="H949" s="2"/>
      <c r="I949" s="1" t="s">
        <v>23</v>
      </c>
      <c r="L949">
        <v>7</v>
      </c>
      <c r="M949" s="1" t="s">
        <v>40</v>
      </c>
      <c r="N949" s="2">
        <v>45870</v>
      </c>
      <c r="O949">
        <v>2025</v>
      </c>
      <c r="P949">
        <v>3</v>
      </c>
      <c r="Q949" s="1" t="s">
        <v>33</v>
      </c>
    </row>
    <row r="950" spans="1:17" x14ac:dyDescent="0.3">
      <c r="A950" s="1" t="s">
        <v>1015</v>
      </c>
      <c r="B950" s="1" t="s">
        <v>42</v>
      </c>
      <c r="C950" s="1" t="s">
        <v>81</v>
      </c>
      <c r="D950" s="1" t="s">
        <v>44</v>
      </c>
      <c r="E950" s="1" t="s">
        <v>21</v>
      </c>
      <c r="F950" s="1" t="s">
        <v>61</v>
      </c>
      <c r="G950" s="2">
        <v>45711</v>
      </c>
      <c r="H950" s="2">
        <v>45713</v>
      </c>
      <c r="I950" s="1" t="s">
        <v>32</v>
      </c>
      <c r="J950">
        <v>4</v>
      </c>
      <c r="K950">
        <v>2</v>
      </c>
      <c r="L950">
        <v>7</v>
      </c>
      <c r="M950" s="1" t="s">
        <v>24</v>
      </c>
      <c r="N950" s="2">
        <v>45689</v>
      </c>
      <c r="O950">
        <v>2025</v>
      </c>
      <c r="P950">
        <v>1</v>
      </c>
      <c r="Q950" s="1" t="s">
        <v>24</v>
      </c>
    </row>
    <row r="951" spans="1:17" x14ac:dyDescent="0.3">
      <c r="A951" s="1" t="s">
        <v>1016</v>
      </c>
      <c r="B951" s="1" t="s">
        <v>63</v>
      </c>
      <c r="C951" s="1" t="s">
        <v>84</v>
      </c>
      <c r="D951" s="1" t="s">
        <v>44</v>
      </c>
      <c r="E951" s="1" t="s">
        <v>37</v>
      </c>
      <c r="F951" s="1" t="s">
        <v>38</v>
      </c>
      <c r="G951" s="2">
        <v>45913</v>
      </c>
      <c r="H951" s="2"/>
      <c r="I951" s="1" t="s">
        <v>28</v>
      </c>
      <c r="L951">
        <v>7</v>
      </c>
      <c r="M951" s="1" t="s">
        <v>40</v>
      </c>
      <c r="N951" s="2">
        <v>45901</v>
      </c>
      <c r="O951">
        <v>2025</v>
      </c>
      <c r="P951">
        <v>3</v>
      </c>
      <c r="Q951" s="1" t="s">
        <v>33</v>
      </c>
    </row>
    <row r="952" spans="1:17" x14ac:dyDescent="0.3">
      <c r="A952" s="1" t="s">
        <v>1017</v>
      </c>
      <c r="B952" s="1" t="s">
        <v>18</v>
      </c>
      <c r="C952" s="1" t="s">
        <v>56</v>
      </c>
      <c r="D952" s="1" t="s">
        <v>51</v>
      </c>
      <c r="E952" s="1" t="s">
        <v>21</v>
      </c>
      <c r="F952" s="1" t="s">
        <v>38</v>
      </c>
      <c r="G952" s="2">
        <v>45761</v>
      </c>
      <c r="H952" s="2">
        <v>45770</v>
      </c>
      <c r="I952" s="1" t="s">
        <v>28</v>
      </c>
      <c r="J952">
        <v>5</v>
      </c>
      <c r="K952">
        <v>9</v>
      </c>
      <c r="L952">
        <v>10</v>
      </c>
      <c r="M952" s="1" t="s">
        <v>24</v>
      </c>
      <c r="N952" s="2">
        <v>45748</v>
      </c>
      <c r="O952">
        <v>2025</v>
      </c>
      <c r="P952">
        <v>2</v>
      </c>
      <c r="Q952" s="1" t="s">
        <v>24</v>
      </c>
    </row>
    <row r="953" spans="1:17" x14ac:dyDescent="0.3">
      <c r="A953" s="1" t="s">
        <v>1018</v>
      </c>
      <c r="B953" s="1" t="s">
        <v>58</v>
      </c>
      <c r="C953" s="1" t="s">
        <v>59</v>
      </c>
      <c r="D953" s="1" t="s">
        <v>51</v>
      </c>
      <c r="E953" s="1" t="s">
        <v>21</v>
      </c>
      <c r="F953" s="1" t="s">
        <v>31</v>
      </c>
      <c r="G953" s="2">
        <v>45794</v>
      </c>
      <c r="H953" s="2">
        <v>45801</v>
      </c>
      <c r="I953" s="1" t="s">
        <v>32</v>
      </c>
      <c r="J953">
        <v>5</v>
      </c>
      <c r="K953">
        <v>7</v>
      </c>
      <c r="L953">
        <v>10</v>
      </c>
      <c r="M953" s="1" t="s">
        <v>24</v>
      </c>
      <c r="N953" s="2">
        <v>45778</v>
      </c>
      <c r="O953">
        <v>2025</v>
      </c>
      <c r="P953">
        <v>2</v>
      </c>
      <c r="Q953" s="1" t="s">
        <v>24</v>
      </c>
    </row>
    <row r="954" spans="1:17" x14ac:dyDescent="0.3">
      <c r="A954" s="1" t="s">
        <v>1019</v>
      </c>
      <c r="B954" s="1" t="s">
        <v>18</v>
      </c>
      <c r="C954" s="1" t="s">
        <v>47</v>
      </c>
      <c r="D954" s="1" t="s">
        <v>20</v>
      </c>
      <c r="E954" s="1" t="s">
        <v>37</v>
      </c>
      <c r="F954" s="1" t="s">
        <v>61</v>
      </c>
      <c r="G954" s="2">
        <v>45873</v>
      </c>
      <c r="H954" s="2"/>
      <c r="I954" s="1" t="s">
        <v>28</v>
      </c>
      <c r="L954">
        <v>14</v>
      </c>
      <c r="M954" s="1" t="s">
        <v>40</v>
      </c>
      <c r="N954" s="2">
        <v>45870</v>
      </c>
      <c r="O954">
        <v>2025</v>
      </c>
      <c r="P954">
        <v>3</v>
      </c>
      <c r="Q954" s="1" t="s">
        <v>33</v>
      </c>
    </row>
    <row r="955" spans="1:17" x14ac:dyDescent="0.3">
      <c r="A955" s="1" t="s">
        <v>1020</v>
      </c>
      <c r="B955" s="1" t="s">
        <v>58</v>
      </c>
      <c r="C955" s="1" t="s">
        <v>145</v>
      </c>
      <c r="D955" s="1" t="s">
        <v>44</v>
      </c>
      <c r="E955" s="1" t="s">
        <v>48</v>
      </c>
      <c r="F955" s="1" t="s">
        <v>52</v>
      </c>
      <c r="G955" s="2">
        <v>45922</v>
      </c>
      <c r="H955" s="2"/>
      <c r="I955" s="1" t="s">
        <v>23</v>
      </c>
      <c r="L955">
        <v>7</v>
      </c>
      <c r="M955" s="1" t="s">
        <v>40</v>
      </c>
      <c r="N955" s="2">
        <v>45901</v>
      </c>
      <c r="O955">
        <v>2025</v>
      </c>
      <c r="P955">
        <v>3</v>
      </c>
      <c r="Q955" s="1" t="s">
        <v>33</v>
      </c>
    </row>
    <row r="956" spans="1:17" x14ac:dyDescent="0.3">
      <c r="A956" s="1" t="s">
        <v>1021</v>
      </c>
      <c r="B956" s="1" t="s">
        <v>58</v>
      </c>
      <c r="C956" s="1" t="s">
        <v>108</v>
      </c>
      <c r="D956" s="1" t="s">
        <v>44</v>
      </c>
      <c r="E956" s="1" t="s">
        <v>21</v>
      </c>
      <c r="F956" s="1" t="s">
        <v>52</v>
      </c>
      <c r="G956" s="2">
        <v>45922</v>
      </c>
      <c r="H956" s="2">
        <v>45923</v>
      </c>
      <c r="I956" s="1" t="s">
        <v>39</v>
      </c>
      <c r="J956">
        <v>2</v>
      </c>
      <c r="K956">
        <v>1</v>
      </c>
      <c r="L956">
        <v>7</v>
      </c>
      <c r="M956" s="1" t="s">
        <v>24</v>
      </c>
      <c r="N956" s="2">
        <v>45901</v>
      </c>
      <c r="O956">
        <v>2025</v>
      </c>
      <c r="P956">
        <v>3</v>
      </c>
      <c r="Q956" s="1" t="s">
        <v>24</v>
      </c>
    </row>
    <row r="957" spans="1:17" x14ac:dyDescent="0.3">
      <c r="A957" s="1" t="s">
        <v>1022</v>
      </c>
      <c r="B957" s="1" t="s">
        <v>63</v>
      </c>
      <c r="C957" s="1" t="s">
        <v>89</v>
      </c>
      <c r="D957" s="1" t="s">
        <v>20</v>
      </c>
      <c r="E957" s="1" t="s">
        <v>37</v>
      </c>
      <c r="F957" s="1" t="s">
        <v>61</v>
      </c>
      <c r="G957" s="2">
        <v>45996</v>
      </c>
      <c r="H957" s="2"/>
      <c r="I957" s="1" t="s">
        <v>82</v>
      </c>
      <c r="L957">
        <v>14</v>
      </c>
      <c r="M957" s="1" t="s">
        <v>40</v>
      </c>
      <c r="N957" s="2">
        <v>45992</v>
      </c>
      <c r="O957">
        <v>2025</v>
      </c>
      <c r="P957">
        <v>4</v>
      </c>
      <c r="Q957" s="1" t="s">
        <v>33</v>
      </c>
    </row>
    <row r="958" spans="1:17" x14ac:dyDescent="0.3">
      <c r="A958" s="1" t="s">
        <v>1023</v>
      </c>
      <c r="B958" s="1" t="s">
        <v>42</v>
      </c>
      <c r="C958" s="1" t="s">
        <v>43</v>
      </c>
      <c r="D958" s="1" t="s">
        <v>51</v>
      </c>
      <c r="E958" s="1" t="s">
        <v>48</v>
      </c>
      <c r="F958" s="1" t="s">
        <v>22</v>
      </c>
      <c r="G958" s="2">
        <v>46016</v>
      </c>
      <c r="H958" s="2"/>
      <c r="I958" s="1" t="s">
        <v>32</v>
      </c>
      <c r="L958">
        <v>10</v>
      </c>
      <c r="M958" s="1" t="s">
        <v>40</v>
      </c>
      <c r="N958" s="2">
        <v>45992</v>
      </c>
      <c r="O958">
        <v>2025</v>
      </c>
      <c r="P958">
        <v>4</v>
      </c>
      <c r="Q958" s="1" t="s">
        <v>33</v>
      </c>
    </row>
    <row r="959" spans="1:17" x14ac:dyDescent="0.3">
      <c r="A959" s="1" t="s">
        <v>1024</v>
      </c>
      <c r="B959" s="1" t="s">
        <v>18</v>
      </c>
      <c r="C959" s="1" t="s">
        <v>56</v>
      </c>
      <c r="D959" s="1" t="s">
        <v>44</v>
      </c>
      <c r="E959" s="1" t="s">
        <v>21</v>
      </c>
      <c r="F959" s="1" t="s">
        <v>61</v>
      </c>
      <c r="G959" s="2">
        <v>45801</v>
      </c>
      <c r="H959" s="2">
        <v>45806</v>
      </c>
      <c r="I959" s="1" t="s">
        <v>39</v>
      </c>
      <c r="J959">
        <v>4</v>
      </c>
      <c r="K959">
        <v>5</v>
      </c>
      <c r="L959">
        <v>7</v>
      </c>
      <c r="M959" s="1" t="s">
        <v>24</v>
      </c>
      <c r="N959" s="2">
        <v>45778</v>
      </c>
      <c r="O959">
        <v>2025</v>
      </c>
      <c r="P959">
        <v>2</v>
      </c>
      <c r="Q959" s="1" t="s">
        <v>24</v>
      </c>
    </row>
    <row r="960" spans="1:17" x14ac:dyDescent="0.3">
      <c r="A960" s="1" t="s">
        <v>1025</v>
      </c>
      <c r="B960" s="1" t="s">
        <v>58</v>
      </c>
      <c r="C960" s="1" t="s">
        <v>108</v>
      </c>
      <c r="D960" s="1" t="s">
        <v>44</v>
      </c>
      <c r="E960" s="1" t="s">
        <v>21</v>
      </c>
      <c r="F960" s="1" t="s">
        <v>52</v>
      </c>
      <c r="G960" s="2">
        <v>45974</v>
      </c>
      <c r="H960" s="2">
        <v>45980</v>
      </c>
      <c r="I960" s="1" t="s">
        <v>39</v>
      </c>
      <c r="J960">
        <v>4</v>
      </c>
      <c r="K960">
        <v>6</v>
      </c>
      <c r="L960">
        <v>7</v>
      </c>
      <c r="M960" s="1" t="s">
        <v>24</v>
      </c>
      <c r="N960" s="2">
        <v>45962</v>
      </c>
      <c r="O960">
        <v>2025</v>
      </c>
      <c r="P960">
        <v>4</v>
      </c>
      <c r="Q960" s="1" t="s">
        <v>24</v>
      </c>
    </row>
    <row r="961" spans="1:17" x14ac:dyDescent="0.3">
      <c r="A961" s="1" t="s">
        <v>1026</v>
      </c>
      <c r="B961" s="1" t="s">
        <v>63</v>
      </c>
      <c r="C961" s="1" t="s">
        <v>84</v>
      </c>
      <c r="D961" s="1" t="s">
        <v>20</v>
      </c>
      <c r="E961" s="1" t="s">
        <v>21</v>
      </c>
      <c r="F961" s="1" t="s">
        <v>61</v>
      </c>
      <c r="G961" s="2">
        <v>45857</v>
      </c>
      <c r="H961" s="2">
        <v>45871</v>
      </c>
      <c r="I961" s="1" t="s">
        <v>82</v>
      </c>
      <c r="J961">
        <v>5</v>
      </c>
      <c r="K961">
        <v>14</v>
      </c>
      <c r="L961">
        <v>14</v>
      </c>
      <c r="M961" s="1" t="s">
        <v>24</v>
      </c>
      <c r="N961" s="2">
        <v>45839</v>
      </c>
      <c r="O961">
        <v>2025</v>
      </c>
      <c r="P961">
        <v>3</v>
      </c>
      <c r="Q961" s="1" t="s">
        <v>24</v>
      </c>
    </row>
    <row r="962" spans="1:17" x14ac:dyDescent="0.3">
      <c r="A962" s="1" t="s">
        <v>1027</v>
      </c>
      <c r="B962" s="1" t="s">
        <v>26</v>
      </c>
      <c r="C962" s="1" t="s">
        <v>123</v>
      </c>
      <c r="D962" s="1" t="s">
        <v>20</v>
      </c>
      <c r="E962" s="1" t="s">
        <v>21</v>
      </c>
      <c r="F962" s="1" t="s">
        <v>61</v>
      </c>
      <c r="G962" s="2">
        <v>45817</v>
      </c>
      <c r="H962" s="2">
        <v>45828</v>
      </c>
      <c r="I962" s="1" t="s">
        <v>23</v>
      </c>
      <c r="J962">
        <v>4</v>
      </c>
      <c r="K962">
        <v>11</v>
      </c>
      <c r="L962">
        <v>14</v>
      </c>
      <c r="M962" s="1" t="s">
        <v>24</v>
      </c>
      <c r="N962" s="2">
        <v>45809</v>
      </c>
      <c r="O962">
        <v>2025</v>
      </c>
      <c r="P962">
        <v>2</v>
      </c>
      <c r="Q962" s="1" t="s">
        <v>24</v>
      </c>
    </row>
    <row r="963" spans="1:17" x14ac:dyDescent="0.3">
      <c r="A963" s="1" t="s">
        <v>1028</v>
      </c>
      <c r="B963" s="1" t="s">
        <v>42</v>
      </c>
      <c r="C963" s="1" t="s">
        <v>43</v>
      </c>
      <c r="D963" s="1" t="s">
        <v>20</v>
      </c>
      <c r="E963" s="1" t="s">
        <v>37</v>
      </c>
      <c r="F963" s="1" t="s">
        <v>22</v>
      </c>
      <c r="G963" s="2">
        <v>45874</v>
      </c>
      <c r="H963" s="2"/>
      <c r="I963" s="1" t="s">
        <v>23</v>
      </c>
      <c r="L963">
        <v>14</v>
      </c>
      <c r="M963" s="1" t="s">
        <v>40</v>
      </c>
      <c r="N963" s="2">
        <v>45870</v>
      </c>
      <c r="O963">
        <v>2025</v>
      </c>
      <c r="P963">
        <v>3</v>
      </c>
      <c r="Q963" s="1" t="s">
        <v>33</v>
      </c>
    </row>
    <row r="964" spans="1:17" x14ac:dyDescent="0.3">
      <c r="A964" s="1" t="s">
        <v>1029</v>
      </c>
      <c r="B964" s="1" t="s">
        <v>18</v>
      </c>
      <c r="C964" s="1" t="s">
        <v>19</v>
      </c>
      <c r="D964" s="1" t="s">
        <v>44</v>
      </c>
      <c r="E964" s="1" t="s">
        <v>21</v>
      </c>
      <c r="F964" s="1" t="s">
        <v>38</v>
      </c>
      <c r="G964" s="2">
        <v>45917</v>
      </c>
      <c r="H964" s="2">
        <v>45920</v>
      </c>
      <c r="I964" s="1" t="s">
        <v>39</v>
      </c>
      <c r="J964">
        <v>3</v>
      </c>
      <c r="K964">
        <v>3</v>
      </c>
      <c r="L964">
        <v>7</v>
      </c>
      <c r="M964" s="1" t="s">
        <v>24</v>
      </c>
      <c r="N964" s="2">
        <v>45901</v>
      </c>
      <c r="O964">
        <v>2025</v>
      </c>
      <c r="P964">
        <v>3</v>
      </c>
      <c r="Q964" s="1" t="s">
        <v>24</v>
      </c>
    </row>
    <row r="965" spans="1:17" x14ac:dyDescent="0.3">
      <c r="A965" s="1" t="s">
        <v>1030</v>
      </c>
      <c r="B965" s="1" t="s">
        <v>35</v>
      </c>
      <c r="C965" s="1" t="s">
        <v>99</v>
      </c>
      <c r="D965" s="1" t="s">
        <v>51</v>
      </c>
      <c r="E965" s="1" t="s">
        <v>48</v>
      </c>
      <c r="F965" s="1" t="s">
        <v>22</v>
      </c>
      <c r="G965" s="2">
        <v>45955</v>
      </c>
      <c r="H965" s="2"/>
      <c r="I965" s="1" t="s">
        <v>82</v>
      </c>
      <c r="L965">
        <v>10</v>
      </c>
      <c r="M965" s="1" t="s">
        <v>40</v>
      </c>
      <c r="N965" s="2">
        <v>45931</v>
      </c>
      <c r="O965">
        <v>2025</v>
      </c>
      <c r="P965">
        <v>4</v>
      </c>
      <c r="Q965" s="1" t="s">
        <v>33</v>
      </c>
    </row>
    <row r="966" spans="1:17" x14ac:dyDescent="0.3">
      <c r="A966" s="1" t="s">
        <v>1031</v>
      </c>
      <c r="B966" s="1" t="s">
        <v>26</v>
      </c>
      <c r="C966" s="1" t="s">
        <v>54</v>
      </c>
      <c r="D966" s="1" t="s">
        <v>51</v>
      </c>
      <c r="E966" s="1" t="s">
        <v>21</v>
      </c>
      <c r="F966" s="1" t="s">
        <v>22</v>
      </c>
      <c r="G966" s="2">
        <v>45951</v>
      </c>
      <c r="H966" s="2">
        <v>45955</v>
      </c>
      <c r="I966" s="1" t="s">
        <v>28</v>
      </c>
      <c r="J966">
        <v>5</v>
      </c>
      <c r="K966">
        <v>4</v>
      </c>
      <c r="L966">
        <v>10</v>
      </c>
      <c r="M966" s="1" t="s">
        <v>24</v>
      </c>
      <c r="N966" s="2">
        <v>45931</v>
      </c>
      <c r="O966">
        <v>2025</v>
      </c>
      <c r="P966">
        <v>4</v>
      </c>
      <c r="Q966" s="1" t="s">
        <v>24</v>
      </c>
    </row>
    <row r="967" spans="1:17" x14ac:dyDescent="0.3">
      <c r="A967" s="1" t="s">
        <v>1032</v>
      </c>
      <c r="B967" s="1" t="s">
        <v>42</v>
      </c>
      <c r="C967" s="1" t="s">
        <v>43</v>
      </c>
      <c r="D967" s="1" t="s">
        <v>51</v>
      </c>
      <c r="E967" s="1" t="s">
        <v>21</v>
      </c>
      <c r="F967" s="1" t="s">
        <v>31</v>
      </c>
      <c r="G967" s="2">
        <v>45842</v>
      </c>
      <c r="H967" s="2">
        <v>45851</v>
      </c>
      <c r="I967" s="1" t="s">
        <v>39</v>
      </c>
      <c r="J967">
        <v>2</v>
      </c>
      <c r="K967">
        <v>9</v>
      </c>
      <c r="L967">
        <v>10</v>
      </c>
      <c r="M967" s="1" t="s">
        <v>24</v>
      </c>
      <c r="N967" s="2">
        <v>45839</v>
      </c>
      <c r="O967">
        <v>2025</v>
      </c>
      <c r="P967">
        <v>3</v>
      </c>
      <c r="Q967" s="1" t="s">
        <v>24</v>
      </c>
    </row>
    <row r="968" spans="1:17" x14ac:dyDescent="0.3">
      <c r="A968" s="1" t="s">
        <v>1033</v>
      </c>
      <c r="B968" s="1" t="s">
        <v>42</v>
      </c>
      <c r="C968" s="1" t="s">
        <v>81</v>
      </c>
      <c r="D968" s="1" t="s">
        <v>20</v>
      </c>
      <c r="E968" s="1" t="s">
        <v>48</v>
      </c>
      <c r="F968" s="1" t="s">
        <v>61</v>
      </c>
      <c r="G968" s="2">
        <v>45901</v>
      </c>
      <c r="H968" s="2"/>
      <c r="I968" s="1" t="s">
        <v>39</v>
      </c>
      <c r="L968">
        <v>14</v>
      </c>
      <c r="M968" s="1" t="s">
        <v>40</v>
      </c>
      <c r="N968" s="2">
        <v>45901</v>
      </c>
      <c r="O968">
        <v>2025</v>
      </c>
      <c r="P968">
        <v>3</v>
      </c>
      <c r="Q968" s="1" t="s">
        <v>33</v>
      </c>
    </row>
    <row r="969" spans="1:17" x14ac:dyDescent="0.3">
      <c r="A969" s="1" t="s">
        <v>1034</v>
      </c>
      <c r="B969" s="1" t="s">
        <v>42</v>
      </c>
      <c r="C969" s="1" t="s">
        <v>43</v>
      </c>
      <c r="D969" s="1" t="s">
        <v>51</v>
      </c>
      <c r="E969" s="1" t="s">
        <v>21</v>
      </c>
      <c r="F969" s="1" t="s">
        <v>52</v>
      </c>
      <c r="G969" s="2">
        <v>45944</v>
      </c>
      <c r="H969" s="2">
        <v>45954</v>
      </c>
      <c r="I969" s="1" t="s">
        <v>82</v>
      </c>
      <c r="J969">
        <v>5</v>
      </c>
      <c r="K969">
        <v>10</v>
      </c>
      <c r="L969">
        <v>10</v>
      </c>
      <c r="M969" s="1" t="s">
        <v>24</v>
      </c>
      <c r="N969" s="2">
        <v>45931</v>
      </c>
      <c r="O969">
        <v>2025</v>
      </c>
      <c r="P969">
        <v>4</v>
      </c>
      <c r="Q969" s="1" t="s">
        <v>24</v>
      </c>
    </row>
    <row r="970" spans="1:17" x14ac:dyDescent="0.3">
      <c r="A970" s="1" t="s">
        <v>1035</v>
      </c>
      <c r="B970" s="1" t="s">
        <v>58</v>
      </c>
      <c r="C970" s="1" t="s">
        <v>145</v>
      </c>
      <c r="D970" s="1" t="s">
        <v>71</v>
      </c>
      <c r="E970" s="1" t="s">
        <v>21</v>
      </c>
      <c r="F970" s="1" t="s">
        <v>61</v>
      </c>
      <c r="G970" s="2">
        <v>45908</v>
      </c>
      <c r="H970" s="2">
        <v>45911</v>
      </c>
      <c r="I970" s="1" t="s">
        <v>82</v>
      </c>
      <c r="J970">
        <v>5</v>
      </c>
      <c r="K970">
        <v>3</v>
      </c>
      <c r="L970">
        <v>3</v>
      </c>
      <c r="M970" s="1" t="s">
        <v>24</v>
      </c>
      <c r="N970" s="2">
        <v>45901</v>
      </c>
      <c r="O970">
        <v>2025</v>
      </c>
      <c r="P970">
        <v>3</v>
      </c>
      <c r="Q970" s="1" t="s">
        <v>24</v>
      </c>
    </row>
    <row r="971" spans="1:17" x14ac:dyDescent="0.3">
      <c r="A971" s="1" t="s">
        <v>1036</v>
      </c>
      <c r="B971" s="1" t="s">
        <v>63</v>
      </c>
      <c r="C971" s="1" t="s">
        <v>89</v>
      </c>
      <c r="D971" s="1" t="s">
        <v>44</v>
      </c>
      <c r="E971" s="1" t="s">
        <v>21</v>
      </c>
      <c r="F971" s="1" t="s">
        <v>38</v>
      </c>
      <c r="G971" s="2">
        <v>46018</v>
      </c>
      <c r="H971" s="2">
        <v>46023</v>
      </c>
      <c r="I971" s="1" t="s">
        <v>28</v>
      </c>
      <c r="J971">
        <v>5</v>
      </c>
      <c r="K971">
        <v>5</v>
      </c>
      <c r="L971">
        <v>7</v>
      </c>
      <c r="M971" s="1" t="s">
        <v>24</v>
      </c>
      <c r="N971" s="2">
        <v>45992</v>
      </c>
      <c r="O971">
        <v>2025</v>
      </c>
      <c r="P971">
        <v>4</v>
      </c>
      <c r="Q971" s="1" t="s">
        <v>24</v>
      </c>
    </row>
    <row r="972" spans="1:17" x14ac:dyDescent="0.3">
      <c r="A972" s="1" t="s">
        <v>1037</v>
      </c>
      <c r="B972" s="1" t="s">
        <v>58</v>
      </c>
      <c r="C972" s="1" t="s">
        <v>145</v>
      </c>
      <c r="D972" s="1" t="s">
        <v>20</v>
      </c>
      <c r="E972" s="1" t="s">
        <v>21</v>
      </c>
      <c r="F972" s="1" t="s">
        <v>38</v>
      </c>
      <c r="G972" s="2">
        <v>45944</v>
      </c>
      <c r="H972" s="2">
        <v>45952</v>
      </c>
      <c r="I972" s="1" t="s">
        <v>82</v>
      </c>
      <c r="J972">
        <v>5</v>
      </c>
      <c r="K972">
        <v>8</v>
      </c>
      <c r="L972">
        <v>14</v>
      </c>
      <c r="M972" s="1" t="s">
        <v>24</v>
      </c>
      <c r="N972" s="2">
        <v>45931</v>
      </c>
      <c r="O972">
        <v>2025</v>
      </c>
      <c r="P972">
        <v>4</v>
      </c>
      <c r="Q972" s="1" t="s">
        <v>24</v>
      </c>
    </row>
    <row r="973" spans="1:17" x14ac:dyDescent="0.3">
      <c r="A973" s="1" t="s">
        <v>1038</v>
      </c>
      <c r="B973" s="1" t="s">
        <v>58</v>
      </c>
      <c r="C973" s="1" t="s">
        <v>70</v>
      </c>
      <c r="D973" s="1" t="s">
        <v>20</v>
      </c>
      <c r="E973" s="1" t="s">
        <v>21</v>
      </c>
      <c r="F973" s="1" t="s">
        <v>52</v>
      </c>
      <c r="G973" s="2">
        <v>45678</v>
      </c>
      <c r="H973" s="2">
        <v>45689</v>
      </c>
      <c r="I973" s="1" t="s">
        <v>32</v>
      </c>
      <c r="J973">
        <v>3</v>
      </c>
      <c r="K973">
        <v>11</v>
      </c>
      <c r="L973">
        <v>14</v>
      </c>
      <c r="M973" s="1" t="s">
        <v>24</v>
      </c>
      <c r="N973" s="2">
        <v>45658</v>
      </c>
      <c r="O973">
        <v>2025</v>
      </c>
      <c r="P973">
        <v>1</v>
      </c>
      <c r="Q973" s="1" t="s">
        <v>24</v>
      </c>
    </row>
    <row r="974" spans="1:17" x14ac:dyDescent="0.3">
      <c r="A974" s="1" t="s">
        <v>1039</v>
      </c>
      <c r="B974" s="1" t="s">
        <v>35</v>
      </c>
      <c r="C974" s="1" t="s">
        <v>97</v>
      </c>
      <c r="D974" s="1" t="s">
        <v>51</v>
      </c>
      <c r="E974" s="1" t="s">
        <v>21</v>
      </c>
      <c r="F974" s="1" t="s">
        <v>31</v>
      </c>
      <c r="G974" s="2">
        <v>45731</v>
      </c>
      <c r="H974" s="2">
        <v>45735</v>
      </c>
      <c r="I974" s="1" t="s">
        <v>23</v>
      </c>
      <c r="J974">
        <v>5</v>
      </c>
      <c r="K974">
        <v>4</v>
      </c>
      <c r="L974">
        <v>10</v>
      </c>
      <c r="M974" s="1" t="s">
        <v>24</v>
      </c>
      <c r="N974" s="2">
        <v>45717</v>
      </c>
      <c r="O974">
        <v>2025</v>
      </c>
      <c r="P974">
        <v>1</v>
      </c>
      <c r="Q974" s="1" t="s">
        <v>24</v>
      </c>
    </row>
    <row r="975" spans="1:17" x14ac:dyDescent="0.3">
      <c r="A975" s="1" t="s">
        <v>1040</v>
      </c>
      <c r="B975" s="1" t="s">
        <v>35</v>
      </c>
      <c r="C975" s="1" t="s">
        <v>97</v>
      </c>
      <c r="D975" s="1" t="s">
        <v>20</v>
      </c>
      <c r="E975" s="1" t="s">
        <v>37</v>
      </c>
      <c r="F975" s="1" t="s">
        <v>38</v>
      </c>
      <c r="G975" s="2">
        <v>45908</v>
      </c>
      <c r="H975" s="2"/>
      <c r="I975" s="1" t="s">
        <v>23</v>
      </c>
      <c r="L975">
        <v>14</v>
      </c>
      <c r="M975" s="1" t="s">
        <v>40</v>
      </c>
      <c r="N975" s="2">
        <v>45901</v>
      </c>
      <c r="O975">
        <v>2025</v>
      </c>
      <c r="P975">
        <v>3</v>
      </c>
      <c r="Q975" s="1" t="s">
        <v>33</v>
      </c>
    </row>
    <row r="976" spans="1:17" x14ac:dyDescent="0.3">
      <c r="A976" s="1" t="s">
        <v>1041</v>
      </c>
      <c r="B976" s="1" t="s">
        <v>26</v>
      </c>
      <c r="C976" s="1" t="s">
        <v>123</v>
      </c>
      <c r="D976" s="1" t="s">
        <v>20</v>
      </c>
      <c r="E976" s="1" t="s">
        <v>21</v>
      </c>
      <c r="F976" s="1" t="s">
        <v>31</v>
      </c>
      <c r="G976" s="2">
        <v>45904</v>
      </c>
      <c r="H976" s="2">
        <v>45916</v>
      </c>
      <c r="I976" s="1" t="s">
        <v>32</v>
      </c>
      <c r="J976">
        <v>4</v>
      </c>
      <c r="K976">
        <v>12</v>
      </c>
      <c r="L976">
        <v>14</v>
      </c>
      <c r="M976" s="1" t="s">
        <v>24</v>
      </c>
      <c r="N976" s="2">
        <v>45901</v>
      </c>
      <c r="O976">
        <v>2025</v>
      </c>
      <c r="P976">
        <v>3</v>
      </c>
      <c r="Q976" s="1" t="s">
        <v>24</v>
      </c>
    </row>
    <row r="977" spans="1:17" x14ac:dyDescent="0.3">
      <c r="A977" s="1" t="s">
        <v>1042</v>
      </c>
      <c r="B977" s="1" t="s">
        <v>58</v>
      </c>
      <c r="C977" s="1" t="s">
        <v>145</v>
      </c>
      <c r="D977" s="1" t="s">
        <v>44</v>
      </c>
      <c r="E977" s="1" t="s">
        <v>37</v>
      </c>
      <c r="F977" s="1" t="s">
        <v>61</v>
      </c>
      <c r="G977" s="2">
        <v>45725</v>
      </c>
      <c r="H977" s="2"/>
      <c r="I977" s="1" t="s">
        <v>82</v>
      </c>
      <c r="L977">
        <v>7</v>
      </c>
      <c r="M977" s="1" t="s">
        <v>40</v>
      </c>
      <c r="N977" s="2">
        <v>45717</v>
      </c>
      <c r="O977">
        <v>2025</v>
      </c>
      <c r="P977">
        <v>1</v>
      </c>
      <c r="Q977" s="1" t="s">
        <v>33</v>
      </c>
    </row>
    <row r="978" spans="1:17" x14ac:dyDescent="0.3">
      <c r="A978" s="1" t="s">
        <v>1043</v>
      </c>
      <c r="B978" s="1" t="s">
        <v>18</v>
      </c>
      <c r="C978" s="1" t="s">
        <v>30</v>
      </c>
      <c r="D978" s="1" t="s">
        <v>44</v>
      </c>
      <c r="E978" s="1" t="s">
        <v>21</v>
      </c>
      <c r="F978" s="1" t="s">
        <v>38</v>
      </c>
      <c r="G978" s="2">
        <v>45734</v>
      </c>
      <c r="H978" s="2">
        <v>45741</v>
      </c>
      <c r="I978" s="1" t="s">
        <v>82</v>
      </c>
      <c r="J978">
        <v>5</v>
      </c>
      <c r="K978">
        <v>7</v>
      </c>
      <c r="L978">
        <v>7</v>
      </c>
      <c r="M978" s="1" t="s">
        <v>24</v>
      </c>
      <c r="N978" s="2">
        <v>45717</v>
      </c>
      <c r="O978">
        <v>2025</v>
      </c>
      <c r="P978">
        <v>1</v>
      </c>
      <c r="Q978" s="1" t="s">
        <v>24</v>
      </c>
    </row>
    <row r="979" spans="1:17" x14ac:dyDescent="0.3">
      <c r="A979" s="1" t="s">
        <v>1044</v>
      </c>
      <c r="B979" s="1" t="s">
        <v>18</v>
      </c>
      <c r="C979" s="1" t="s">
        <v>30</v>
      </c>
      <c r="D979" s="1" t="s">
        <v>51</v>
      </c>
      <c r="E979" s="1" t="s">
        <v>48</v>
      </c>
      <c r="F979" s="1" t="s">
        <v>22</v>
      </c>
      <c r="G979" s="2">
        <v>45831</v>
      </c>
      <c r="H979" s="2"/>
      <c r="I979" s="1" t="s">
        <v>23</v>
      </c>
      <c r="L979">
        <v>10</v>
      </c>
      <c r="M979" s="1" t="s">
        <v>40</v>
      </c>
      <c r="N979" s="2">
        <v>45809</v>
      </c>
      <c r="O979">
        <v>2025</v>
      </c>
      <c r="P979">
        <v>2</v>
      </c>
      <c r="Q979" s="1" t="s">
        <v>33</v>
      </c>
    </row>
    <row r="980" spans="1:17" x14ac:dyDescent="0.3">
      <c r="A980" s="1" t="s">
        <v>1045</v>
      </c>
      <c r="B980" s="1" t="s">
        <v>18</v>
      </c>
      <c r="C980" s="1" t="s">
        <v>30</v>
      </c>
      <c r="D980" s="1" t="s">
        <v>44</v>
      </c>
      <c r="E980" s="1" t="s">
        <v>21</v>
      </c>
      <c r="F980" s="1" t="s">
        <v>52</v>
      </c>
      <c r="G980" s="2">
        <v>45742</v>
      </c>
      <c r="H980" s="2">
        <v>45748</v>
      </c>
      <c r="I980" s="1" t="s">
        <v>82</v>
      </c>
      <c r="J980">
        <v>1</v>
      </c>
      <c r="K980">
        <v>6</v>
      </c>
      <c r="L980">
        <v>7</v>
      </c>
      <c r="M980" s="1" t="s">
        <v>24</v>
      </c>
      <c r="N980" s="2">
        <v>45717</v>
      </c>
      <c r="O980">
        <v>2025</v>
      </c>
      <c r="P980">
        <v>1</v>
      </c>
      <c r="Q980" s="1" t="s">
        <v>24</v>
      </c>
    </row>
    <row r="981" spans="1:17" x14ac:dyDescent="0.3">
      <c r="A981" s="1" t="s">
        <v>1046</v>
      </c>
      <c r="B981" s="1" t="s">
        <v>18</v>
      </c>
      <c r="C981" s="1" t="s">
        <v>19</v>
      </c>
      <c r="D981" s="1" t="s">
        <v>51</v>
      </c>
      <c r="E981" s="1" t="s">
        <v>21</v>
      </c>
      <c r="F981" s="1" t="s">
        <v>38</v>
      </c>
      <c r="G981" s="2">
        <v>45974</v>
      </c>
      <c r="H981" s="2">
        <v>45984</v>
      </c>
      <c r="I981" s="1" t="s">
        <v>82</v>
      </c>
      <c r="J981">
        <v>4</v>
      </c>
      <c r="K981">
        <v>10</v>
      </c>
      <c r="L981">
        <v>10</v>
      </c>
      <c r="M981" s="1" t="s">
        <v>24</v>
      </c>
      <c r="N981" s="2">
        <v>45962</v>
      </c>
      <c r="O981">
        <v>2025</v>
      </c>
      <c r="P981">
        <v>4</v>
      </c>
      <c r="Q981" s="1" t="s">
        <v>24</v>
      </c>
    </row>
    <row r="982" spans="1:17" x14ac:dyDescent="0.3">
      <c r="A982" s="1" t="s">
        <v>1047</v>
      </c>
      <c r="B982" s="1" t="s">
        <v>26</v>
      </c>
      <c r="C982" s="1" t="s">
        <v>54</v>
      </c>
      <c r="D982" s="1" t="s">
        <v>44</v>
      </c>
      <c r="E982" s="1" t="s">
        <v>21</v>
      </c>
      <c r="F982" s="1" t="s">
        <v>22</v>
      </c>
      <c r="G982" s="2">
        <v>45667</v>
      </c>
      <c r="H982" s="2">
        <v>45668</v>
      </c>
      <c r="I982" s="1" t="s">
        <v>28</v>
      </c>
      <c r="J982">
        <v>4</v>
      </c>
      <c r="K982">
        <v>1</v>
      </c>
      <c r="L982">
        <v>7</v>
      </c>
      <c r="M982" s="1" t="s">
        <v>24</v>
      </c>
      <c r="N982" s="2">
        <v>45658</v>
      </c>
      <c r="O982">
        <v>2025</v>
      </c>
      <c r="P982">
        <v>1</v>
      </c>
      <c r="Q982" s="1" t="s">
        <v>24</v>
      </c>
    </row>
    <row r="983" spans="1:17" x14ac:dyDescent="0.3">
      <c r="A983" s="1" t="s">
        <v>1048</v>
      </c>
      <c r="B983" s="1" t="s">
        <v>42</v>
      </c>
      <c r="C983" s="1" t="s">
        <v>43</v>
      </c>
      <c r="D983" s="1" t="s">
        <v>44</v>
      </c>
      <c r="E983" s="1" t="s">
        <v>21</v>
      </c>
      <c r="F983" s="1" t="s">
        <v>31</v>
      </c>
      <c r="G983" s="2">
        <v>46019</v>
      </c>
      <c r="H983" s="2">
        <v>46026</v>
      </c>
      <c r="I983" s="1" t="s">
        <v>23</v>
      </c>
      <c r="J983">
        <v>5</v>
      </c>
      <c r="K983">
        <v>7</v>
      </c>
      <c r="L983">
        <v>7</v>
      </c>
      <c r="M983" s="1" t="s">
        <v>24</v>
      </c>
      <c r="N983" s="2">
        <v>45992</v>
      </c>
      <c r="O983">
        <v>2025</v>
      </c>
      <c r="P983">
        <v>4</v>
      </c>
      <c r="Q983" s="1" t="s">
        <v>24</v>
      </c>
    </row>
    <row r="984" spans="1:17" x14ac:dyDescent="0.3">
      <c r="A984" s="1" t="s">
        <v>1049</v>
      </c>
      <c r="B984" s="1" t="s">
        <v>26</v>
      </c>
      <c r="C984" s="1" t="s">
        <v>123</v>
      </c>
      <c r="D984" s="1" t="s">
        <v>51</v>
      </c>
      <c r="E984" s="1" t="s">
        <v>21</v>
      </c>
      <c r="F984" s="1" t="s">
        <v>31</v>
      </c>
      <c r="G984" s="2">
        <v>45669</v>
      </c>
      <c r="H984" s="2">
        <v>45676</v>
      </c>
      <c r="I984" s="1" t="s">
        <v>23</v>
      </c>
      <c r="J984">
        <v>4</v>
      </c>
      <c r="K984">
        <v>7</v>
      </c>
      <c r="L984">
        <v>10</v>
      </c>
      <c r="M984" s="1" t="s">
        <v>24</v>
      </c>
      <c r="N984" s="2">
        <v>45658</v>
      </c>
      <c r="O984">
        <v>2025</v>
      </c>
      <c r="P984">
        <v>1</v>
      </c>
      <c r="Q984" s="1" t="s">
        <v>24</v>
      </c>
    </row>
    <row r="985" spans="1:17" x14ac:dyDescent="0.3">
      <c r="A985" s="1" t="s">
        <v>1050</v>
      </c>
      <c r="B985" s="1" t="s">
        <v>26</v>
      </c>
      <c r="C985" s="1" t="s">
        <v>123</v>
      </c>
      <c r="D985" s="1" t="s">
        <v>51</v>
      </c>
      <c r="E985" s="1" t="s">
        <v>21</v>
      </c>
      <c r="F985" s="1" t="s">
        <v>61</v>
      </c>
      <c r="G985" s="2">
        <v>45708</v>
      </c>
      <c r="H985" s="2">
        <v>45718</v>
      </c>
      <c r="I985" s="1" t="s">
        <v>28</v>
      </c>
      <c r="J985">
        <v>3</v>
      </c>
      <c r="K985">
        <v>10</v>
      </c>
      <c r="L985">
        <v>10</v>
      </c>
      <c r="M985" s="1" t="s">
        <v>24</v>
      </c>
      <c r="N985" s="2">
        <v>45689</v>
      </c>
      <c r="O985">
        <v>2025</v>
      </c>
      <c r="P985">
        <v>1</v>
      </c>
      <c r="Q985" s="1" t="s">
        <v>24</v>
      </c>
    </row>
    <row r="986" spans="1:17" x14ac:dyDescent="0.3">
      <c r="A986" s="1" t="s">
        <v>1051</v>
      </c>
      <c r="B986" s="1" t="s">
        <v>35</v>
      </c>
      <c r="C986" s="1" t="s">
        <v>99</v>
      </c>
      <c r="D986" s="1" t="s">
        <v>20</v>
      </c>
      <c r="E986" s="1" t="s">
        <v>48</v>
      </c>
      <c r="F986" s="1" t="s">
        <v>61</v>
      </c>
      <c r="G986" s="2">
        <v>46005</v>
      </c>
      <c r="H986" s="2"/>
      <c r="I986" s="1" t="s">
        <v>23</v>
      </c>
      <c r="L986">
        <v>14</v>
      </c>
      <c r="M986" s="1" t="s">
        <v>40</v>
      </c>
      <c r="N986" s="2">
        <v>45992</v>
      </c>
      <c r="O986">
        <v>2025</v>
      </c>
      <c r="P986">
        <v>4</v>
      </c>
      <c r="Q986" s="1" t="s">
        <v>33</v>
      </c>
    </row>
    <row r="987" spans="1:17" x14ac:dyDescent="0.3">
      <c r="A987" s="1" t="s">
        <v>1052</v>
      </c>
      <c r="B987" s="1" t="s">
        <v>26</v>
      </c>
      <c r="C987" s="1" t="s">
        <v>123</v>
      </c>
      <c r="D987" s="1" t="s">
        <v>20</v>
      </c>
      <c r="E987" s="1" t="s">
        <v>21</v>
      </c>
      <c r="F987" s="1" t="s">
        <v>61</v>
      </c>
      <c r="G987" s="2">
        <v>45810</v>
      </c>
      <c r="H987" s="2">
        <v>45819</v>
      </c>
      <c r="I987" s="1" t="s">
        <v>39</v>
      </c>
      <c r="J987">
        <v>2</v>
      </c>
      <c r="K987">
        <v>9</v>
      </c>
      <c r="L987">
        <v>14</v>
      </c>
      <c r="M987" s="1" t="s">
        <v>24</v>
      </c>
      <c r="N987" s="2">
        <v>45809</v>
      </c>
      <c r="O987">
        <v>2025</v>
      </c>
      <c r="P987">
        <v>2</v>
      </c>
      <c r="Q987" s="1" t="s">
        <v>24</v>
      </c>
    </row>
    <row r="988" spans="1:17" x14ac:dyDescent="0.3">
      <c r="A988" s="1" t="s">
        <v>1053</v>
      </c>
      <c r="B988" s="1" t="s">
        <v>35</v>
      </c>
      <c r="C988" s="1" t="s">
        <v>97</v>
      </c>
      <c r="D988" s="1" t="s">
        <v>51</v>
      </c>
      <c r="E988" s="1" t="s">
        <v>37</v>
      </c>
      <c r="F988" s="1" t="s">
        <v>38</v>
      </c>
      <c r="G988" s="2">
        <v>45719</v>
      </c>
      <c r="H988" s="2"/>
      <c r="I988" s="1" t="s">
        <v>28</v>
      </c>
      <c r="L988">
        <v>10</v>
      </c>
      <c r="M988" s="1" t="s">
        <v>40</v>
      </c>
      <c r="N988" s="2">
        <v>45717</v>
      </c>
      <c r="O988">
        <v>2025</v>
      </c>
      <c r="P988">
        <v>1</v>
      </c>
      <c r="Q988" s="1" t="s">
        <v>33</v>
      </c>
    </row>
    <row r="989" spans="1:17" x14ac:dyDescent="0.3">
      <c r="A989" s="1" t="s">
        <v>1054</v>
      </c>
      <c r="B989" s="1" t="s">
        <v>63</v>
      </c>
      <c r="C989" s="1" t="s">
        <v>64</v>
      </c>
      <c r="D989" s="1" t="s">
        <v>51</v>
      </c>
      <c r="E989" s="1" t="s">
        <v>37</v>
      </c>
      <c r="F989" s="1" t="s">
        <v>38</v>
      </c>
      <c r="G989" s="2">
        <v>45855</v>
      </c>
      <c r="H989" s="2"/>
      <c r="I989" s="1" t="s">
        <v>32</v>
      </c>
      <c r="L989">
        <v>10</v>
      </c>
      <c r="M989" s="1" t="s">
        <v>40</v>
      </c>
      <c r="N989" s="2">
        <v>45839</v>
      </c>
      <c r="O989">
        <v>2025</v>
      </c>
      <c r="P989">
        <v>3</v>
      </c>
      <c r="Q989" s="1" t="s">
        <v>33</v>
      </c>
    </row>
    <row r="990" spans="1:17" x14ac:dyDescent="0.3">
      <c r="A990" s="1" t="s">
        <v>1055</v>
      </c>
      <c r="B990" s="1" t="s">
        <v>42</v>
      </c>
      <c r="C990" s="1" t="s">
        <v>43</v>
      </c>
      <c r="D990" s="1" t="s">
        <v>51</v>
      </c>
      <c r="E990" s="1" t="s">
        <v>21</v>
      </c>
      <c r="F990" s="1" t="s">
        <v>61</v>
      </c>
      <c r="G990" s="2">
        <v>45905</v>
      </c>
      <c r="H990" s="2">
        <v>45907</v>
      </c>
      <c r="I990" s="1" t="s">
        <v>23</v>
      </c>
      <c r="J990">
        <v>4</v>
      </c>
      <c r="K990">
        <v>2</v>
      </c>
      <c r="L990">
        <v>10</v>
      </c>
      <c r="M990" s="1" t="s">
        <v>24</v>
      </c>
      <c r="N990" s="2">
        <v>45901</v>
      </c>
      <c r="O990">
        <v>2025</v>
      </c>
      <c r="P990">
        <v>3</v>
      </c>
      <c r="Q990" s="1" t="s">
        <v>24</v>
      </c>
    </row>
    <row r="991" spans="1:17" x14ac:dyDescent="0.3">
      <c r="A991" s="1" t="s">
        <v>1056</v>
      </c>
      <c r="B991" s="1" t="s">
        <v>35</v>
      </c>
      <c r="C991" s="1" t="s">
        <v>99</v>
      </c>
      <c r="D991" s="1" t="s">
        <v>20</v>
      </c>
      <c r="E991" s="1" t="s">
        <v>21</v>
      </c>
      <c r="F991" s="1" t="s">
        <v>31</v>
      </c>
      <c r="G991" s="2">
        <v>45722</v>
      </c>
      <c r="H991" s="2">
        <v>45729</v>
      </c>
      <c r="I991" s="1" t="s">
        <v>23</v>
      </c>
      <c r="J991">
        <v>4</v>
      </c>
      <c r="K991">
        <v>7</v>
      </c>
      <c r="L991">
        <v>14</v>
      </c>
      <c r="M991" s="1" t="s">
        <v>24</v>
      </c>
      <c r="N991" s="2">
        <v>45717</v>
      </c>
      <c r="O991">
        <v>2025</v>
      </c>
      <c r="P991">
        <v>1</v>
      </c>
      <c r="Q991" s="1" t="s">
        <v>24</v>
      </c>
    </row>
    <row r="992" spans="1:17" x14ac:dyDescent="0.3">
      <c r="A992" s="1" t="s">
        <v>1057</v>
      </c>
      <c r="B992" s="1" t="s">
        <v>18</v>
      </c>
      <c r="C992" s="1" t="s">
        <v>47</v>
      </c>
      <c r="D992" s="1" t="s">
        <v>44</v>
      </c>
      <c r="E992" s="1" t="s">
        <v>21</v>
      </c>
      <c r="F992" s="1" t="s">
        <v>22</v>
      </c>
      <c r="G992" s="2">
        <v>45934</v>
      </c>
      <c r="H992" s="2">
        <v>45936</v>
      </c>
      <c r="I992" s="1" t="s">
        <v>39</v>
      </c>
      <c r="J992">
        <v>5</v>
      </c>
      <c r="K992">
        <v>2</v>
      </c>
      <c r="L992">
        <v>7</v>
      </c>
      <c r="M992" s="1" t="s">
        <v>24</v>
      </c>
      <c r="N992" s="2">
        <v>45931</v>
      </c>
      <c r="O992">
        <v>2025</v>
      </c>
      <c r="P992">
        <v>4</v>
      </c>
      <c r="Q992" s="1" t="s">
        <v>24</v>
      </c>
    </row>
    <row r="993" spans="1:17" x14ac:dyDescent="0.3">
      <c r="A993" s="1" t="s">
        <v>1058</v>
      </c>
      <c r="B993" s="1" t="s">
        <v>26</v>
      </c>
      <c r="C993" s="1" t="s">
        <v>27</v>
      </c>
      <c r="D993" s="1" t="s">
        <v>20</v>
      </c>
      <c r="E993" s="1" t="s">
        <v>37</v>
      </c>
      <c r="F993" s="1" t="s">
        <v>52</v>
      </c>
      <c r="G993" s="2">
        <v>45975</v>
      </c>
      <c r="H993" s="2"/>
      <c r="I993" s="1" t="s">
        <v>28</v>
      </c>
      <c r="L993">
        <v>14</v>
      </c>
      <c r="M993" s="1" t="s">
        <v>40</v>
      </c>
      <c r="N993" s="2">
        <v>45962</v>
      </c>
      <c r="O993">
        <v>2025</v>
      </c>
      <c r="P993">
        <v>4</v>
      </c>
      <c r="Q993" s="1" t="s">
        <v>33</v>
      </c>
    </row>
    <row r="994" spans="1:17" x14ac:dyDescent="0.3">
      <c r="A994" s="1" t="s">
        <v>1059</v>
      </c>
      <c r="B994" s="1" t="s">
        <v>42</v>
      </c>
      <c r="C994" s="1" t="s">
        <v>81</v>
      </c>
      <c r="D994" s="1" t="s">
        <v>44</v>
      </c>
      <c r="E994" s="1" t="s">
        <v>21</v>
      </c>
      <c r="F994" s="1" t="s">
        <v>31</v>
      </c>
      <c r="G994" s="2">
        <v>45964</v>
      </c>
      <c r="H994" s="2">
        <v>45967</v>
      </c>
      <c r="I994" s="1" t="s">
        <v>32</v>
      </c>
      <c r="J994">
        <v>5</v>
      </c>
      <c r="K994">
        <v>3</v>
      </c>
      <c r="L994">
        <v>7</v>
      </c>
      <c r="M994" s="1" t="s">
        <v>24</v>
      </c>
      <c r="N994" s="2">
        <v>45962</v>
      </c>
      <c r="O994">
        <v>2025</v>
      </c>
      <c r="P994">
        <v>4</v>
      </c>
      <c r="Q994" s="1" t="s">
        <v>24</v>
      </c>
    </row>
    <row r="995" spans="1:17" x14ac:dyDescent="0.3">
      <c r="A995" s="1" t="s">
        <v>1060</v>
      </c>
      <c r="B995" s="1" t="s">
        <v>18</v>
      </c>
      <c r="C995" s="1" t="s">
        <v>47</v>
      </c>
      <c r="D995" s="1" t="s">
        <v>51</v>
      </c>
      <c r="E995" s="1" t="s">
        <v>21</v>
      </c>
      <c r="F995" s="1" t="s">
        <v>22</v>
      </c>
      <c r="G995" s="2">
        <v>45681</v>
      </c>
      <c r="H995" s="2">
        <v>45685</v>
      </c>
      <c r="I995" s="1" t="s">
        <v>23</v>
      </c>
      <c r="J995">
        <v>5</v>
      </c>
      <c r="K995">
        <v>4</v>
      </c>
      <c r="L995">
        <v>10</v>
      </c>
      <c r="M995" s="1" t="s">
        <v>24</v>
      </c>
      <c r="N995" s="2">
        <v>45658</v>
      </c>
      <c r="O995">
        <v>2025</v>
      </c>
      <c r="P995">
        <v>1</v>
      </c>
      <c r="Q995" s="1" t="s">
        <v>24</v>
      </c>
    </row>
    <row r="996" spans="1:17" x14ac:dyDescent="0.3">
      <c r="A996" s="1" t="s">
        <v>1061</v>
      </c>
      <c r="B996" s="1" t="s">
        <v>35</v>
      </c>
      <c r="C996" s="1" t="s">
        <v>99</v>
      </c>
      <c r="D996" s="1" t="s">
        <v>51</v>
      </c>
      <c r="E996" s="1" t="s">
        <v>21</v>
      </c>
      <c r="F996" s="1" t="s">
        <v>31</v>
      </c>
      <c r="G996" s="2">
        <v>45729</v>
      </c>
      <c r="H996" s="2">
        <v>45739</v>
      </c>
      <c r="I996" s="1" t="s">
        <v>28</v>
      </c>
      <c r="J996">
        <v>5</v>
      </c>
      <c r="K996">
        <v>10</v>
      </c>
      <c r="L996">
        <v>10</v>
      </c>
      <c r="M996" s="1" t="s">
        <v>24</v>
      </c>
      <c r="N996" s="2">
        <v>45717</v>
      </c>
      <c r="O996">
        <v>2025</v>
      </c>
      <c r="P996">
        <v>1</v>
      </c>
      <c r="Q996" s="1" t="s">
        <v>24</v>
      </c>
    </row>
    <row r="997" spans="1:17" x14ac:dyDescent="0.3">
      <c r="A997" s="1" t="s">
        <v>1062</v>
      </c>
      <c r="B997" s="1" t="s">
        <v>26</v>
      </c>
      <c r="C997" s="1" t="s">
        <v>123</v>
      </c>
      <c r="D997" s="1" t="s">
        <v>44</v>
      </c>
      <c r="E997" s="1" t="s">
        <v>48</v>
      </c>
      <c r="F997" s="1" t="s">
        <v>52</v>
      </c>
      <c r="G997" s="2">
        <v>45983</v>
      </c>
      <c r="H997" s="2"/>
      <c r="I997" s="1" t="s">
        <v>39</v>
      </c>
      <c r="L997">
        <v>7</v>
      </c>
      <c r="M997" s="1" t="s">
        <v>40</v>
      </c>
      <c r="N997" s="2">
        <v>45962</v>
      </c>
      <c r="O997">
        <v>2025</v>
      </c>
      <c r="P997">
        <v>4</v>
      </c>
      <c r="Q997" s="1" t="s">
        <v>33</v>
      </c>
    </row>
    <row r="998" spans="1:17" x14ac:dyDescent="0.3">
      <c r="A998" s="1" t="s">
        <v>1063</v>
      </c>
      <c r="B998" s="1" t="s">
        <v>35</v>
      </c>
      <c r="C998" s="1" t="s">
        <v>36</v>
      </c>
      <c r="D998" s="1" t="s">
        <v>51</v>
      </c>
      <c r="E998" s="1" t="s">
        <v>21</v>
      </c>
      <c r="F998" s="1" t="s">
        <v>52</v>
      </c>
      <c r="G998" s="2">
        <v>45765</v>
      </c>
      <c r="H998" s="2">
        <v>45774</v>
      </c>
      <c r="I998" s="1" t="s">
        <v>23</v>
      </c>
      <c r="J998">
        <v>5</v>
      </c>
      <c r="K998">
        <v>9</v>
      </c>
      <c r="L998">
        <v>10</v>
      </c>
      <c r="M998" s="1" t="s">
        <v>24</v>
      </c>
      <c r="N998" s="2">
        <v>45748</v>
      </c>
      <c r="O998">
        <v>2025</v>
      </c>
      <c r="P998">
        <v>2</v>
      </c>
      <c r="Q998" s="1" t="s">
        <v>24</v>
      </c>
    </row>
    <row r="999" spans="1:17" x14ac:dyDescent="0.3">
      <c r="A999" s="1" t="s">
        <v>1064</v>
      </c>
      <c r="B999" s="1" t="s">
        <v>18</v>
      </c>
      <c r="C999" s="1" t="s">
        <v>47</v>
      </c>
      <c r="D999" s="1" t="s">
        <v>51</v>
      </c>
      <c r="E999" s="1" t="s">
        <v>21</v>
      </c>
      <c r="F999" s="1" t="s">
        <v>61</v>
      </c>
      <c r="G999" s="2">
        <v>45901</v>
      </c>
      <c r="H999" s="2">
        <v>45903</v>
      </c>
      <c r="I999" s="1" t="s">
        <v>39</v>
      </c>
      <c r="J999">
        <v>5</v>
      </c>
      <c r="K999">
        <v>2</v>
      </c>
      <c r="L999">
        <v>10</v>
      </c>
      <c r="M999" s="1" t="s">
        <v>24</v>
      </c>
      <c r="N999" s="2">
        <v>45901</v>
      </c>
      <c r="O999">
        <v>2025</v>
      </c>
      <c r="P999">
        <v>3</v>
      </c>
      <c r="Q999" s="1" t="s">
        <v>24</v>
      </c>
    </row>
    <row r="1000" spans="1:17" x14ac:dyDescent="0.3">
      <c r="A1000" s="1" t="s">
        <v>1065</v>
      </c>
      <c r="B1000" s="1" t="s">
        <v>26</v>
      </c>
      <c r="C1000" s="1" t="s">
        <v>27</v>
      </c>
      <c r="D1000" s="1" t="s">
        <v>44</v>
      </c>
      <c r="E1000" s="1" t="s">
        <v>21</v>
      </c>
      <c r="F1000" s="1" t="s">
        <v>38</v>
      </c>
      <c r="G1000" s="2">
        <v>45990</v>
      </c>
      <c r="H1000" s="2">
        <v>45996</v>
      </c>
      <c r="I1000" s="1" t="s">
        <v>39</v>
      </c>
      <c r="J1000">
        <v>2</v>
      </c>
      <c r="K1000">
        <v>6</v>
      </c>
      <c r="L1000">
        <v>7</v>
      </c>
      <c r="M1000" s="1" t="s">
        <v>24</v>
      </c>
      <c r="N1000" s="2">
        <v>45962</v>
      </c>
      <c r="O1000">
        <v>2025</v>
      </c>
      <c r="P1000">
        <v>4</v>
      </c>
      <c r="Q1000" s="1" t="s">
        <v>24</v>
      </c>
    </row>
    <row r="1001" spans="1:17" x14ac:dyDescent="0.3">
      <c r="A1001" s="1" t="s">
        <v>1066</v>
      </c>
      <c r="B1001" s="1" t="s">
        <v>18</v>
      </c>
      <c r="C1001" s="1" t="s">
        <v>19</v>
      </c>
      <c r="D1001" s="1" t="s">
        <v>51</v>
      </c>
      <c r="E1001" s="1" t="s">
        <v>37</v>
      </c>
      <c r="F1001" s="1" t="s">
        <v>52</v>
      </c>
      <c r="G1001" s="2">
        <v>45965</v>
      </c>
      <c r="H1001" s="2"/>
      <c r="I1001" s="1" t="s">
        <v>39</v>
      </c>
      <c r="L1001">
        <v>10</v>
      </c>
      <c r="M1001" s="1" t="s">
        <v>40</v>
      </c>
      <c r="N1001" s="2">
        <v>45962</v>
      </c>
      <c r="O1001">
        <v>2025</v>
      </c>
      <c r="P1001">
        <v>4</v>
      </c>
      <c r="Q1001" s="1" t="s">
        <v>33</v>
      </c>
    </row>
    <row r="1002" spans="1:17" x14ac:dyDescent="0.3">
      <c r="A1002" s="1" t="s">
        <v>1067</v>
      </c>
      <c r="B1002" s="1" t="s">
        <v>63</v>
      </c>
      <c r="C1002" s="1" t="s">
        <v>74</v>
      </c>
      <c r="D1002" s="1" t="s">
        <v>20</v>
      </c>
      <c r="E1002" s="1" t="s">
        <v>21</v>
      </c>
      <c r="F1002" s="1" t="s">
        <v>38</v>
      </c>
      <c r="G1002" s="2">
        <v>45756</v>
      </c>
      <c r="H1002" s="2">
        <v>45766</v>
      </c>
      <c r="I1002" s="1" t="s">
        <v>32</v>
      </c>
      <c r="J1002">
        <v>1</v>
      </c>
      <c r="K1002">
        <v>10</v>
      </c>
      <c r="L1002">
        <v>14</v>
      </c>
      <c r="M1002" s="1" t="s">
        <v>24</v>
      </c>
      <c r="N1002" s="2">
        <v>45748</v>
      </c>
      <c r="O1002">
        <v>2025</v>
      </c>
      <c r="P1002">
        <v>2</v>
      </c>
      <c r="Q1002" s="1" t="s">
        <v>24</v>
      </c>
    </row>
    <row r="1003" spans="1:17" x14ac:dyDescent="0.3">
      <c r="A1003" s="1" t="s">
        <v>1068</v>
      </c>
      <c r="B1003" s="1" t="s">
        <v>18</v>
      </c>
      <c r="C1003" s="1" t="s">
        <v>56</v>
      </c>
      <c r="D1003" s="1" t="s">
        <v>20</v>
      </c>
      <c r="E1003" s="1" t="s">
        <v>37</v>
      </c>
      <c r="F1003" s="1" t="s">
        <v>52</v>
      </c>
      <c r="G1003" s="2">
        <v>45978</v>
      </c>
      <c r="H1003" s="2"/>
      <c r="I1003" s="1" t="s">
        <v>28</v>
      </c>
      <c r="L1003">
        <v>14</v>
      </c>
      <c r="M1003" s="1" t="s">
        <v>40</v>
      </c>
      <c r="N1003" s="2">
        <v>45962</v>
      </c>
      <c r="O1003">
        <v>2025</v>
      </c>
      <c r="P1003">
        <v>4</v>
      </c>
      <c r="Q1003" s="1" t="s">
        <v>33</v>
      </c>
    </row>
    <row r="1004" spans="1:17" x14ac:dyDescent="0.3">
      <c r="A1004" s="1" t="s">
        <v>1069</v>
      </c>
      <c r="B1004" s="1" t="s">
        <v>63</v>
      </c>
      <c r="C1004" s="1" t="s">
        <v>89</v>
      </c>
      <c r="D1004" s="1" t="s">
        <v>71</v>
      </c>
      <c r="E1004" s="1" t="s">
        <v>21</v>
      </c>
      <c r="F1004" s="1" t="s">
        <v>31</v>
      </c>
      <c r="G1004" s="2">
        <v>45910</v>
      </c>
      <c r="H1004" s="2">
        <v>45911</v>
      </c>
      <c r="I1004" s="1" t="s">
        <v>23</v>
      </c>
      <c r="J1004">
        <v>1</v>
      </c>
      <c r="K1004">
        <v>1</v>
      </c>
      <c r="L1004">
        <v>3</v>
      </c>
      <c r="M1004" s="1" t="s">
        <v>24</v>
      </c>
      <c r="N1004" s="2">
        <v>45901</v>
      </c>
      <c r="O1004">
        <v>2025</v>
      </c>
      <c r="P1004">
        <v>3</v>
      </c>
      <c r="Q1004" s="1" t="s">
        <v>24</v>
      </c>
    </row>
    <row r="1005" spans="1:17" x14ac:dyDescent="0.3">
      <c r="A1005" s="1" t="s">
        <v>1070</v>
      </c>
      <c r="B1005" s="1" t="s">
        <v>35</v>
      </c>
      <c r="C1005" s="1" t="s">
        <v>50</v>
      </c>
      <c r="D1005" s="1" t="s">
        <v>20</v>
      </c>
      <c r="E1005" s="1" t="s">
        <v>21</v>
      </c>
      <c r="F1005" s="1" t="s">
        <v>22</v>
      </c>
      <c r="G1005" s="2">
        <v>45947</v>
      </c>
      <c r="H1005" s="2">
        <v>45960</v>
      </c>
      <c r="I1005" s="1" t="s">
        <v>28</v>
      </c>
      <c r="J1005">
        <v>5</v>
      </c>
      <c r="K1005">
        <v>13</v>
      </c>
      <c r="L1005">
        <v>14</v>
      </c>
      <c r="M1005" s="1" t="s">
        <v>24</v>
      </c>
      <c r="N1005" s="2">
        <v>45931</v>
      </c>
      <c r="O1005">
        <v>2025</v>
      </c>
      <c r="P1005">
        <v>4</v>
      </c>
      <c r="Q1005" s="1" t="s">
        <v>24</v>
      </c>
    </row>
    <row r="1006" spans="1:17" x14ac:dyDescent="0.3">
      <c r="A1006" s="1" t="s">
        <v>1071</v>
      </c>
      <c r="B1006" s="1" t="s">
        <v>42</v>
      </c>
      <c r="C1006" s="1" t="s">
        <v>76</v>
      </c>
      <c r="D1006" s="1" t="s">
        <v>44</v>
      </c>
      <c r="E1006" s="1" t="s">
        <v>21</v>
      </c>
      <c r="F1006" s="1" t="s">
        <v>22</v>
      </c>
      <c r="G1006" s="2">
        <v>45949</v>
      </c>
      <c r="H1006" s="2">
        <v>45956</v>
      </c>
      <c r="I1006" s="1" t="s">
        <v>32</v>
      </c>
      <c r="J1006">
        <v>3</v>
      </c>
      <c r="K1006">
        <v>7</v>
      </c>
      <c r="L1006">
        <v>7</v>
      </c>
      <c r="M1006" s="1" t="s">
        <v>24</v>
      </c>
      <c r="N1006" s="2">
        <v>45931</v>
      </c>
      <c r="O1006">
        <v>2025</v>
      </c>
      <c r="P1006">
        <v>4</v>
      </c>
      <c r="Q1006" s="1" t="s">
        <v>24</v>
      </c>
    </row>
    <row r="1007" spans="1:17" x14ac:dyDescent="0.3">
      <c r="A1007" s="1" t="s">
        <v>1072</v>
      </c>
      <c r="B1007" s="1" t="s">
        <v>63</v>
      </c>
      <c r="C1007" s="1" t="s">
        <v>74</v>
      </c>
      <c r="D1007" s="1" t="s">
        <v>71</v>
      </c>
      <c r="E1007" s="1" t="s">
        <v>21</v>
      </c>
      <c r="F1007" s="1" t="s">
        <v>31</v>
      </c>
      <c r="G1007" s="2">
        <v>45930</v>
      </c>
      <c r="H1007" s="2">
        <v>45932</v>
      </c>
      <c r="I1007" s="1" t="s">
        <v>23</v>
      </c>
      <c r="J1007">
        <v>5</v>
      </c>
      <c r="K1007">
        <v>2</v>
      </c>
      <c r="L1007">
        <v>3</v>
      </c>
      <c r="M1007" s="1" t="s">
        <v>24</v>
      </c>
      <c r="N1007" s="2">
        <v>45901</v>
      </c>
      <c r="O1007">
        <v>2025</v>
      </c>
      <c r="P1007">
        <v>3</v>
      </c>
      <c r="Q1007" s="1" t="s">
        <v>24</v>
      </c>
    </row>
    <row r="1008" spans="1:17" x14ac:dyDescent="0.3">
      <c r="A1008" s="1" t="s">
        <v>1073</v>
      </c>
      <c r="B1008" s="1" t="s">
        <v>58</v>
      </c>
      <c r="C1008" s="1" t="s">
        <v>70</v>
      </c>
      <c r="D1008" s="1" t="s">
        <v>44</v>
      </c>
      <c r="E1008" s="1" t="s">
        <v>21</v>
      </c>
      <c r="F1008" s="1" t="s">
        <v>22</v>
      </c>
      <c r="G1008" s="2">
        <v>45866</v>
      </c>
      <c r="H1008" s="2">
        <v>45869</v>
      </c>
      <c r="I1008" s="1" t="s">
        <v>39</v>
      </c>
      <c r="J1008">
        <v>3</v>
      </c>
      <c r="K1008">
        <v>3</v>
      </c>
      <c r="L1008">
        <v>7</v>
      </c>
      <c r="M1008" s="1" t="s">
        <v>24</v>
      </c>
      <c r="N1008" s="2">
        <v>45839</v>
      </c>
      <c r="O1008">
        <v>2025</v>
      </c>
      <c r="P1008">
        <v>3</v>
      </c>
      <c r="Q1008" s="1" t="s">
        <v>24</v>
      </c>
    </row>
    <row r="1009" spans="1:17" x14ac:dyDescent="0.3">
      <c r="A1009" s="1" t="s">
        <v>1074</v>
      </c>
      <c r="B1009" s="1" t="s">
        <v>58</v>
      </c>
      <c r="C1009" s="1" t="s">
        <v>59</v>
      </c>
      <c r="D1009" s="1" t="s">
        <v>51</v>
      </c>
      <c r="E1009" s="1" t="s">
        <v>21</v>
      </c>
      <c r="F1009" s="1" t="s">
        <v>31</v>
      </c>
      <c r="G1009" s="2">
        <v>45772</v>
      </c>
      <c r="H1009" s="2">
        <v>45774</v>
      </c>
      <c r="I1009" s="1" t="s">
        <v>82</v>
      </c>
      <c r="J1009">
        <v>3</v>
      </c>
      <c r="K1009">
        <v>2</v>
      </c>
      <c r="L1009">
        <v>10</v>
      </c>
      <c r="M1009" s="1" t="s">
        <v>24</v>
      </c>
      <c r="N1009" s="2">
        <v>45748</v>
      </c>
      <c r="O1009">
        <v>2025</v>
      </c>
      <c r="P1009">
        <v>2</v>
      </c>
      <c r="Q1009" s="1" t="s">
        <v>24</v>
      </c>
    </row>
    <row r="1010" spans="1:17" x14ac:dyDescent="0.3">
      <c r="A1010" s="1" t="s">
        <v>1075</v>
      </c>
      <c r="B1010" s="1" t="s">
        <v>58</v>
      </c>
      <c r="C1010" s="1" t="s">
        <v>59</v>
      </c>
      <c r="D1010" s="1" t="s">
        <v>20</v>
      </c>
      <c r="E1010" s="1" t="s">
        <v>21</v>
      </c>
      <c r="F1010" s="1" t="s">
        <v>61</v>
      </c>
      <c r="G1010" s="2">
        <v>45699</v>
      </c>
      <c r="H1010" s="2">
        <v>45711</v>
      </c>
      <c r="I1010" s="1" t="s">
        <v>39</v>
      </c>
      <c r="J1010">
        <v>5</v>
      </c>
      <c r="K1010">
        <v>12</v>
      </c>
      <c r="L1010">
        <v>14</v>
      </c>
      <c r="M1010" s="1" t="s">
        <v>24</v>
      </c>
      <c r="N1010" s="2">
        <v>45689</v>
      </c>
      <c r="O1010">
        <v>2025</v>
      </c>
      <c r="P1010">
        <v>1</v>
      </c>
      <c r="Q1010" s="1" t="s">
        <v>24</v>
      </c>
    </row>
    <row r="1011" spans="1:17" x14ac:dyDescent="0.3">
      <c r="A1011" s="1" t="s">
        <v>1076</v>
      </c>
      <c r="B1011" s="1" t="s">
        <v>42</v>
      </c>
      <c r="C1011" s="1" t="s">
        <v>76</v>
      </c>
      <c r="D1011" s="1" t="s">
        <v>20</v>
      </c>
      <c r="E1011" s="1" t="s">
        <v>21</v>
      </c>
      <c r="F1011" s="1" t="s">
        <v>38</v>
      </c>
      <c r="G1011" s="2">
        <v>45690</v>
      </c>
      <c r="H1011" s="2">
        <v>45703</v>
      </c>
      <c r="I1011" s="1" t="s">
        <v>39</v>
      </c>
      <c r="J1011">
        <v>4</v>
      </c>
      <c r="K1011">
        <v>13</v>
      </c>
      <c r="L1011">
        <v>14</v>
      </c>
      <c r="M1011" s="1" t="s">
        <v>24</v>
      </c>
      <c r="N1011" s="2">
        <v>45689</v>
      </c>
      <c r="O1011">
        <v>2025</v>
      </c>
      <c r="P1011">
        <v>1</v>
      </c>
      <c r="Q1011" s="1" t="s">
        <v>24</v>
      </c>
    </row>
    <row r="1012" spans="1:17" x14ac:dyDescent="0.3">
      <c r="A1012" s="1" t="s">
        <v>1077</v>
      </c>
      <c r="B1012" s="1" t="s">
        <v>58</v>
      </c>
      <c r="C1012" s="1" t="s">
        <v>70</v>
      </c>
      <c r="D1012" s="1" t="s">
        <v>51</v>
      </c>
      <c r="E1012" s="1" t="s">
        <v>21</v>
      </c>
      <c r="F1012" s="1" t="s">
        <v>31</v>
      </c>
      <c r="G1012" s="2">
        <v>45829</v>
      </c>
      <c r="H1012" s="2">
        <v>45835</v>
      </c>
      <c r="I1012" s="1" t="s">
        <v>28</v>
      </c>
      <c r="J1012">
        <v>3</v>
      </c>
      <c r="K1012">
        <v>6</v>
      </c>
      <c r="L1012">
        <v>10</v>
      </c>
      <c r="M1012" s="1" t="s">
        <v>24</v>
      </c>
      <c r="N1012" s="2">
        <v>45809</v>
      </c>
      <c r="O1012">
        <v>2025</v>
      </c>
      <c r="P1012">
        <v>2</v>
      </c>
      <c r="Q1012" s="1" t="s">
        <v>24</v>
      </c>
    </row>
    <row r="1013" spans="1:17" x14ac:dyDescent="0.3">
      <c r="A1013" s="1" t="s">
        <v>1078</v>
      </c>
      <c r="B1013" s="1" t="s">
        <v>35</v>
      </c>
      <c r="C1013" s="1" t="s">
        <v>99</v>
      </c>
      <c r="D1013" s="1" t="s">
        <v>44</v>
      </c>
      <c r="E1013" s="1" t="s">
        <v>21</v>
      </c>
      <c r="F1013" s="1" t="s">
        <v>22</v>
      </c>
      <c r="G1013" s="2">
        <v>45779</v>
      </c>
      <c r="H1013" s="2">
        <v>45780</v>
      </c>
      <c r="I1013" s="1" t="s">
        <v>39</v>
      </c>
      <c r="J1013">
        <v>5</v>
      </c>
      <c r="K1013">
        <v>1</v>
      </c>
      <c r="L1013">
        <v>7</v>
      </c>
      <c r="M1013" s="1" t="s">
        <v>24</v>
      </c>
      <c r="N1013" s="2">
        <v>45778</v>
      </c>
      <c r="O1013">
        <v>2025</v>
      </c>
      <c r="P1013">
        <v>2</v>
      </c>
      <c r="Q1013" s="1" t="s">
        <v>24</v>
      </c>
    </row>
    <row r="1014" spans="1:17" x14ac:dyDescent="0.3">
      <c r="A1014" s="1" t="s">
        <v>1079</v>
      </c>
      <c r="B1014" s="1" t="s">
        <v>42</v>
      </c>
      <c r="C1014" s="1" t="s">
        <v>87</v>
      </c>
      <c r="D1014" s="1" t="s">
        <v>51</v>
      </c>
      <c r="E1014" s="1" t="s">
        <v>21</v>
      </c>
      <c r="F1014" s="1" t="s">
        <v>38</v>
      </c>
      <c r="G1014" s="2">
        <v>45689</v>
      </c>
      <c r="H1014" s="2">
        <v>45691</v>
      </c>
      <c r="I1014" s="1" t="s">
        <v>28</v>
      </c>
      <c r="J1014">
        <v>4</v>
      </c>
      <c r="K1014">
        <v>2</v>
      </c>
      <c r="L1014">
        <v>10</v>
      </c>
      <c r="M1014" s="1" t="s">
        <v>24</v>
      </c>
      <c r="N1014" s="2">
        <v>45689</v>
      </c>
      <c r="O1014">
        <v>2025</v>
      </c>
      <c r="P1014">
        <v>1</v>
      </c>
      <c r="Q1014" s="1" t="s">
        <v>24</v>
      </c>
    </row>
    <row r="1015" spans="1:17" x14ac:dyDescent="0.3">
      <c r="A1015" s="1" t="s">
        <v>1080</v>
      </c>
      <c r="B1015" s="1" t="s">
        <v>42</v>
      </c>
      <c r="C1015" s="1" t="s">
        <v>87</v>
      </c>
      <c r="D1015" s="1" t="s">
        <v>20</v>
      </c>
      <c r="E1015" s="1" t="s">
        <v>21</v>
      </c>
      <c r="F1015" s="1" t="s">
        <v>38</v>
      </c>
      <c r="G1015" s="2">
        <v>45879</v>
      </c>
      <c r="H1015" s="2">
        <v>45883</v>
      </c>
      <c r="I1015" s="1" t="s">
        <v>82</v>
      </c>
      <c r="J1015">
        <v>2</v>
      </c>
      <c r="K1015">
        <v>4</v>
      </c>
      <c r="L1015">
        <v>14</v>
      </c>
      <c r="M1015" s="1" t="s">
        <v>24</v>
      </c>
      <c r="N1015" s="2">
        <v>45870</v>
      </c>
      <c r="O1015">
        <v>2025</v>
      </c>
      <c r="P1015">
        <v>3</v>
      </c>
      <c r="Q1015" s="1" t="s">
        <v>24</v>
      </c>
    </row>
    <row r="1016" spans="1:17" x14ac:dyDescent="0.3">
      <c r="A1016" s="1" t="s">
        <v>1081</v>
      </c>
      <c r="B1016" s="1" t="s">
        <v>42</v>
      </c>
      <c r="C1016" s="1" t="s">
        <v>43</v>
      </c>
      <c r="D1016" s="1" t="s">
        <v>44</v>
      </c>
      <c r="E1016" s="1" t="s">
        <v>21</v>
      </c>
      <c r="F1016" s="1" t="s">
        <v>22</v>
      </c>
      <c r="G1016" s="2">
        <v>45974</v>
      </c>
      <c r="H1016" s="2">
        <v>45981</v>
      </c>
      <c r="I1016" s="1" t="s">
        <v>82</v>
      </c>
      <c r="J1016">
        <v>4</v>
      </c>
      <c r="K1016">
        <v>7</v>
      </c>
      <c r="L1016">
        <v>7</v>
      </c>
      <c r="M1016" s="1" t="s">
        <v>24</v>
      </c>
      <c r="N1016" s="2">
        <v>45962</v>
      </c>
      <c r="O1016">
        <v>2025</v>
      </c>
      <c r="P1016">
        <v>4</v>
      </c>
      <c r="Q1016" s="1" t="s">
        <v>24</v>
      </c>
    </row>
    <row r="1017" spans="1:17" x14ac:dyDescent="0.3">
      <c r="A1017" s="1" t="s">
        <v>1082</v>
      </c>
      <c r="B1017" s="1" t="s">
        <v>42</v>
      </c>
      <c r="C1017" s="1" t="s">
        <v>87</v>
      </c>
      <c r="D1017" s="1" t="s">
        <v>51</v>
      </c>
      <c r="E1017" s="1" t="s">
        <v>37</v>
      </c>
      <c r="F1017" s="1" t="s">
        <v>22</v>
      </c>
      <c r="G1017" s="2">
        <v>45975</v>
      </c>
      <c r="H1017" s="2"/>
      <c r="I1017" s="1" t="s">
        <v>23</v>
      </c>
      <c r="L1017">
        <v>10</v>
      </c>
      <c r="M1017" s="1" t="s">
        <v>40</v>
      </c>
      <c r="N1017" s="2">
        <v>45962</v>
      </c>
      <c r="O1017">
        <v>2025</v>
      </c>
      <c r="P1017">
        <v>4</v>
      </c>
      <c r="Q1017" s="1" t="s">
        <v>33</v>
      </c>
    </row>
    <row r="1018" spans="1:17" x14ac:dyDescent="0.3">
      <c r="A1018" s="1" t="s">
        <v>1083</v>
      </c>
      <c r="B1018" s="1" t="s">
        <v>35</v>
      </c>
      <c r="C1018" s="1" t="s">
        <v>99</v>
      </c>
      <c r="D1018" s="1" t="s">
        <v>51</v>
      </c>
      <c r="E1018" s="1" t="s">
        <v>21</v>
      </c>
      <c r="F1018" s="1" t="s">
        <v>22</v>
      </c>
      <c r="G1018" s="2">
        <v>45756</v>
      </c>
      <c r="H1018" s="2">
        <v>45759</v>
      </c>
      <c r="I1018" s="1" t="s">
        <v>23</v>
      </c>
      <c r="J1018">
        <v>2</v>
      </c>
      <c r="K1018">
        <v>3</v>
      </c>
      <c r="L1018">
        <v>10</v>
      </c>
      <c r="M1018" s="1" t="s">
        <v>24</v>
      </c>
      <c r="N1018" s="2">
        <v>45748</v>
      </c>
      <c r="O1018">
        <v>2025</v>
      </c>
      <c r="P1018">
        <v>2</v>
      </c>
      <c r="Q1018" s="1" t="s">
        <v>24</v>
      </c>
    </row>
    <row r="1019" spans="1:17" x14ac:dyDescent="0.3">
      <c r="A1019" s="1" t="s">
        <v>1084</v>
      </c>
      <c r="B1019" s="1" t="s">
        <v>26</v>
      </c>
      <c r="C1019" s="1" t="s">
        <v>54</v>
      </c>
      <c r="D1019" s="1" t="s">
        <v>44</v>
      </c>
      <c r="E1019" s="1" t="s">
        <v>21</v>
      </c>
      <c r="F1019" s="1" t="s">
        <v>31</v>
      </c>
      <c r="G1019" s="2">
        <v>45918</v>
      </c>
      <c r="H1019" s="2">
        <v>45921</v>
      </c>
      <c r="I1019" s="1" t="s">
        <v>82</v>
      </c>
      <c r="J1019">
        <v>4</v>
      </c>
      <c r="K1019">
        <v>3</v>
      </c>
      <c r="L1019">
        <v>7</v>
      </c>
      <c r="M1019" s="1" t="s">
        <v>24</v>
      </c>
      <c r="N1019" s="2">
        <v>45901</v>
      </c>
      <c r="O1019">
        <v>2025</v>
      </c>
      <c r="P1019">
        <v>3</v>
      </c>
      <c r="Q1019" s="1" t="s">
        <v>24</v>
      </c>
    </row>
    <row r="1020" spans="1:17" x14ac:dyDescent="0.3">
      <c r="A1020" s="1" t="s">
        <v>1085</v>
      </c>
      <c r="B1020" s="1" t="s">
        <v>58</v>
      </c>
      <c r="C1020" s="1" t="s">
        <v>108</v>
      </c>
      <c r="D1020" s="1" t="s">
        <v>20</v>
      </c>
      <c r="E1020" s="1" t="s">
        <v>37</v>
      </c>
      <c r="F1020" s="1" t="s">
        <v>61</v>
      </c>
      <c r="G1020" s="2">
        <v>45688</v>
      </c>
      <c r="H1020" s="2"/>
      <c r="I1020" s="1" t="s">
        <v>32</v>
      </c>
      <c r="L1020">
        <v>14</v>
      </c>
      <c r="M1020" s="1" t="s">
        <v>40</v>
      </c>
      <c r="N1020" s="2">
        <v>45658</v>
      </c>
      <c r="O1020">
        <v>2025</v>
      </c>
      <c r="P1020">
        <v>1</v>
      </c>
      <c r="Q1020" s="1" t="s">
        <v>33</v>
      </c>
    </row>
    <row r="1021" spans="1:17" x14ac:dyDescent="0.3">
      <c r="A1021" s="1" t="s">
        <v>1086</v>
      </c>
      <c r="B1021" s="1" t="s">
        <v>26</v>
      </c>
      <c r="C1021" s="1" t="s">
        <v>27</v>
      </c>
      <c r="D1021" s="1" t="s">
        <v>51</v>
      </c>
      <c r="E1021" s="1" t="s">
        <v>21</v>
      </c>
      <c r="F1021" s="1" t="s">
        <v>22</v>
      </c>
      <c r="G1021" s="2">
        <v>45841</v>
      </c>
      <c r="H1021" s="2">
        <v>45847</v>
      </c>
      <c r="I1021" s="1" t="s">
        <v>28</v>
      </c>
      <c r="J1021">
        <v>4</v>
      </c>
      <c r="K1021">
        <v>6</v>
      </c>
      <c r="L1021">
        <v>10</v>
      </c>
      <c r="M1021" s="1" t="s">
        <v>24</v>
      </c>
      <c r="N1021" s="2">
        <v>45839</v>
      </c>
      <c r="O1021">
        <v>2025</v>
      </c>
      <c r="P1021">
        <v>3</v>
      </c>
      <c r="Q1021" s="1" t="s">
        <v>24</v>
      </c>
    </row>
    <row r="1022" spans="1:17" x14ac:dyDescent="0.3">
      <c r="A1022" s="1" t="s">
        <v>1087</v>
      </c>
      <c r="B1022" s="1" t="s">
        <v>63</v>
      </c>
      <c r="C1022" s="1" t="s">
        <v>89</v>
      </c>
      <c r="D1022" s="1" t="s">
        <v>51</v>
      </c>
      <c r="E1022" s="1" t="s">
        <v>21</v>
      </c>
      <c r="F1022" s="1" t="s">
        <v>61</v>
      </c>
      <c r="G1022" s="2">
        <v>45846</v>
      </c>
      <c r="H1022" s="2">
        <v>45848</v>
      </c>
      <c r="I1022" s="1" t="s">
        <v>23</v>
      </c>
      <c r="J1022">
        <v>4</v>
      </c>
      <c r="K1022">
        <v>2</v>
      </c>
      <c r="L1022">
        <v>10</v>
      </c>
      <c r="M1022" s="1" t="s">
        <v>24</v>
      </c>
      <c r="N1022" s="2">
        <v>45839</v>
      </c>
      <c r="O1022">
        <v>2025</v>
      </c>
      <c r="P1022">
        <v>3</v>
      </c>
      <c r="Q1022" s="1" t="s">
        <v>24</v>
      </c>
    </row>
    <row r="1023" spans="1:17" x14ac:dyDescent="0.3">
      <c r="A1023" s="1" t="s">
        <v>1088</v>
      </c>
      <c r="B1023" s="1" t="s">
        <v>63</v>
      </c>
      <c r="C1023" s="1" t="s">
        <v>74</v>
      </c>
      <c r="D1023" s="1" t="s">
        <v>51</v>
      </c>
      <c r="E1023" s="1" t="s">
        <v>21</v>
      </c>
      <c r="F1023" s="1" t="s">
        <v>52</v>
      </c>
      <c r="G1023" s="2">
        <v>45760</v>
      </c>
      <c r="H1023" s="2">
        <v>45765</v>
      </c>
      <c r="I1023" s="1" t="s">
        <v>28</v>
      </c>
      <c r="J1023">
        <v>5</v>
      </c>
      <c r="K1023">
        <v>5</v>
      </c>
      <c r="L1023">
        <v>10</v>
      </c>
      <c r="M1023" s="1" t="s">
        <v>24</v>
      </c>
      <c r="N1023" s="2">
        <v>45748</v>
      </c>
      <c r="O1023">
        <v>2025</v>
      </c>
      <c r="P1023">
        <v>2</v>
      </c>
      <c r="Q1023" s="1" t="s">
        <v>24</v>
      </c>
    </row>
    <row r="1024" spans="1:17" x14ac:dyDescent="0.3">
      <c r="A1024" s="1" t="s">
        <v>1089</v>
      </c>
      <c r="B1024" s="1" t="s">
        <v>18</v>
      </c>
      <c r="C1024" s="1" t="s">
        <v>30</v>
      </c>
      <c r="D1024" s="1" t="s">
        <v>51</v>
      </c>
      <c r="E1024" s="1" t="s">
        <v>48</v>
      </c>
      <c r="F1024" s="1" t="s">
        <v>52</v>
      </c>
      <c r="G1024" s="2">
        <v>45965</v>
      </c>
      <c r="H1024" s="2"/>
      <c r="I1024" s="1" t="s">
        <v>82</v>
      </c>
      <c r="L1024">
        <v>10</v>
      </c>
      <c r="M1024" s="1" t="s">
        <v>40</v>
      </c>
      <c r="N1024" s="2">
        <v>45962</v>
      </c>
      <c r="O1024">
        <v>2025</v>
      </c>
      <c r="P1024">
        <v>4</v>
      </c>
      <c r="Q1024" s="1" t="s">
        <v>33</v>
      </c>
    </row>
    <row r="1025" spans="1:17" x14ac:dyDescent="0.3">
      <c r="A1025" s="1" t="s">
        <v>1090</v>
      </c>
      <c r="B1025" s="1" t="s">
        <v>26</v>
      </c>
      <c r="C1025" s="1" t="s">
        <v>123</v>
      </c>
      <c r="D1025" s="1" t="s">
        <v>51</v>
      </c>
      <c r="E1025" s="1" t="s">
        <v>21</v>
      </c>
      <c r="F1025" s="1" t="s">
        <v>38</v>
      </c>
      <c r="G1025" s="2">
        <v>45741</v>
      </c>
      <c r="H1025" s="2">
        <v>45744</v>
      </c>
      <c r="I1025" s="1" t="s">
        <v>39</v>
      </c>
      <c r="J1025">
        <v>4</v>
      </c>
      <c r="K1025">
        <v>3</v>
      </c>
      <c r="L1025">
        <v>10</v>
      </c>
      <c r="M1025" s="1" t="s">
        <v>24</v>
      </c>
      <c r="N1025" s="2">
        <v>45717</v>
      </c>
      <c r="O1025">
        <v>2025</v>
      </c>
      <c r="P1025">
        <v>1</v>
      </c>
      <c r="Q1025" s="1" t="s">
        <v>24</v>
      </c>
    </row>
    <row r="1026" spans="1:17" x14ac:dyDescent="0.3">
      <c r="A1026" s="1" t="s">
        <v>1091</v>
      </c>
      <c r="B1026" s="1" t="s">
        <v>63</v>
      </c>
      <c r="C1026" s="1" t="s">
        <v>74</v>
      </c>
      <c r="D1026" s="1" t="s">
        <v>51</v>
      </c>
      <c r="E1026" s="1" t="s">
        <v>21</v>
      </c>
      <c r="F1026" s="1" t="s">
        <v>52</v>
      </c>
      <c r="G1026" s="2">
        <v>45896</v>
      </c>
      <c r="H1026" s="2">
        <v>45901</v>
      </c>
      <c r="I1026" s="1" t="s">
        <v>39</v>
      </c>
      <c r="J1026">
        <v>3</v>
      </c>
      <c r="K1026">
        <v>5</v>
      </c>
      <c r="L1026">
        <v>10</v>
      </c>
      <c r="M1026" s="1" t="s">
        <v>24</v>
      </c>
      <c r="N1026" s="2">
        <v>45870</v>
      </c>
      <c r="O1026">
        <v>2025</v>
      </c>
      <c r="P1026">
        <v>3</v>
      </c>
      <c r="Q1026" s="1" t="s">
        <v>24</v>
      </c>
    </row>
    <row r="1027" spans="1:17" x14ac:dyDescent="0.3">
      <c r="A1027" s="1" t="s">
        <v>1092</v>
      </c>
      <c r="B1027" s="1" t="s">
        <v>63</v>
      </c>
      <c r="C1027" s="1" t="s">
        <v>89</v>
      </c>
      <c r="D1027" s="1" t="s">
        <v>20</v>
      </c>
      <c r="E1027" s="1" t="s">
        <v>48</v>
      </c>
      <c r="F1027" s="1" t="s">
        <v>38</v>
      </c>
      <c r="G1027" s="2">
        <v>45843</v>
      </c>
      <c r="H1027" s="2"/>
      <c r="I1027" s="1" t="s">
        <v>23</v>
      </c>
      <c r="L1027">
        <v>14</v>
      </c>
      <c r="M1027" s="1" t="s">
        <v>40</v>
      </c>
      <c r="N1027" s="2">
        <v>45839</v>
      </c>
      <c r="O1027">
        <v>2025</v>
      </c>
      <c r="P1027">
        <v>3</v>
      </c>
      <c r="Q1027" s="1" t="s">
        <v>33</v>
      </c>
    </row>
    <row r="1028" spans="1:17" x14ac:dyDescent="0.3">
      <c r="A1028" s="1" t="s">
        <v>1093</v>
      </c>
      <c r="B1028" s="1" t="s">
        <v>35</v>
      </c>
      <c r="C1028" s="1" t="s">
        <v>99</v>
      </c>
      <c r="D1028" s="1" t="s">
        <v>51</v>
      </c>
      <c r="E1028" s="1" t="s">
        <v>21</v>
      </c>
      <c r="F1028" s="1" t="s">
        <v>52</v>
      </c>
      <c r="G1028" s="2">
        <v>45883</v>
      </c>
      <c r="H1028" s="2">
        <v>45888</v>
      </c>
      <c r="I1028" s="1" t="s">
        <v>23</v>
      </c>
      <c r="J1028">
        <v>4</v>
      </c>
      <c r="K1028">
        <v>5</v>
      </c>
      <c r="L1028">
        <v>10</v>
      </c>
      <c r="M1028" s="1" t="s">
        <v>24</v>
      </c>
      <c r="N1028" s="2">
        <v>45870</v>
      </c>
      <c r="O1028">
        <v>2025</v>
      </c>
      <c r="P1028">
        <v>3</v>
      </c>
      <c r="Q1028" s="1" t="s">
        <v>24</v>
      </c>
    </row>
    <row r="1029" spans="1:17" x14ac:dyDescent="0.3">
      <c r="A1029" s="1" t="s">
        <v>1094</v>
      </c>
      <c r="B1029" s="1" t="s">
        <v>42</v>
      </c>
      <c r="C1029" s="1" t="s">
        <v>76</v>
      </c>
      <c r="D1029" s="1" t="s">
        <v>20</v>
      </c>
      <c r="E1029" s="1" t="s">
        <v>21</v>
      </c>
      <c r="F1029" s="1" t="s">
        <v>22</v>
      </c>
      <c r="G1029" s="2">
        <v>45792</v>
      </c>
      <c r="H1029" s="2">
        <v>45806</v>
      </c>
      <c r="I1029" s="1" t="s">
        <v>28</v>
      </c>
      <c r="J1029">
        <v>3</v>
      </c>
      <c r="K1029">
        <v>14</v>
      </c>
      <c r="L1029">
        <v>14</v>
      </c>
      <c r="M1029" s="1" t="s">
        <v>24</v>
      </c>
      <c r="N1029" s="2">
        <v>45778</v>
      </c>
      <c r="O1029">
        <v>2025</v>
      </c>
      <c r="P1029">
        <v>2</v>
      </c>
      <c r="Q1029" s="1" t="s">
        <v>24</v>
      </c>
    </row>
    <row r="1030" spans="1:17" x14ac:dyDescent="0.3">
      <c r="A1030" s="1" t="s">
        <v>1095</v>
      </c>
      <c r="B1030" s="1" t="s">
        <v>63</v>
      </c>
      <c r="C1030" s="1" t="s">
        <v>64</v>
      </c>
      <c r="D1030" s="1" t="s">
        <v>20</v>
      </c>
      <c r="E1030" s="1" t="s">
        <v>37</v>
      </c>
      <c r="F1030" s="1" t="s">
        <v>38</v>
      </c>
      <c r="G1030" s="2">
        <v>45709</v>
      </c>
      <c r="H1030" s="2"/>
      <c r="I1030" s="1" t="s">
        <v>28</v>
      </c>
      <c r="L1030">
        <v>14</v>
      </c>
      <c r="M1030" s="1" t="s">
        <v>40</v>
      </c>
      <c r="N1030" s="2">
        <v>45689</v>
      </c>
      <c r="O1030">
        <v>2025</v>
      </c>
      <c r="P1030">
        <v>1</v>
      </c>
      <c r="Q1030" s="1" t="s">
        <v>33</v>
      </c>
    </row>
    <row r="1031" spans="1:17" x14ac:dyDescent="0.3">
      <c r="A1031" s="1" t="s">
        <v>1096</v>
      </c>
      <c r="B1031" s="1" t="s">
        <v>58</v>
      </c>
      <c r="C1031" s="1" t="s">
        <v>70</v>
      </c>
      <c r="D1031" s="1" t="s">
        <v>51</v>
      </c>
      <c r="E1031" s="1" t="s">
        <v>21</v>
      </c>
      <c r="F1031" s="1" t="s">
        <v>52</v>
      </c>
      <c r="G1031" s="2">
        <v>45891</v>
      </c>
      <c r="H1031" s="2">
        <v>45896</v>
      </c>
      <c r="I1031" s="1" t="s">
        <v>28</v>
      </c>
      <c r="J1031">
        <v>4</v>
      </c>
      <c r="K1031">
        <v>5</v>
      </c>
      <c r="L1031">
        <v>10</v>
      </c>
      <c r="M1031" s="1" t="s">
        <v>24</v>
      </c>
      <c r="N1031" s="2">
        <v>45870</v>
      </c>
      <c r="O1031">
        <v>2025</v>
      </c>
      <c r="P1031">
        <v>3</v>
      </c>
      <c r="Q1031" s="1" t="s">
        <v>24</v>
      </c>
    </row>
    <row r="1032" spans="1:17" x14ac:dyDescent="0.3">
      <c r="A1032" s="1" t="s">
        <v>1097</v>
      </c>
      <c r="B1032" s="1" t="s">
        <v>26</v>
      </c>
      <c r="C1032" s="1" t="s">
        <v>27</v>
      </c>
      <c r="D1032" s="1" t="s">
        <v>44</v>
      </c>
      <c r="E1032" s="1" t="s">
        <v>21</v>
      </c>
      <c r="F1032" s="1" t="s">
        <v>61</v>
      </c>
      <c r="G1032" s="2">
        <v>45731</v>
      </c>
      <c r="H1032" s="2">
        <v>45733</v>
      </c>
      <c r="I1032" s="1" t="s">
        <v>82</v>
      </c>
      <c r="J1032">
        <v>5</v>
      </c>
      <c r="K1032">
        <v>2</v>
      </c>
      <c r="L1032">
        <v>7</v>
      </c>
      <c r="M1032" s="1" t="s">
        <v>24</v>
      </c>
      <c r="N1032" s="2">
        <v>45717</v>
      </c>
      <c r="O1032">
        <v>2025</v>
      </c>
      <c r="P1032">
        <v>1</v>
      </c>
      <c r="Q1032" s="1" t="s">
        <v>24</v>
      </c>
    </row>
    <row r="1033" spans="1:17" x14ac:dyDescent="0.3">
      <c r="A1033" s="1" t="s">
        <v>1098</v>
      </c>
      <c r="B1033" s="1" t="s">
        <v>58</v>
      </c>
      <c r="C1033" s="1" t="s">
        <v>59</v>
      </c>
      <c r="D1033" s="1" t="s">
        <v>51</v>
      </c>
      <c r="E1033" s="1" t="s">
        <v>21</v>
      </c>
      <c r="F1033" s="1" t="s">
        <v>22</v>
      </c>
      <c r="G1033" s="2">
        <v>45983</v>
      </c>
      <c r="H1033" s="2">
        <v>45988</v>
      </c>
      <c r="I1033" s="1" t="s">
        <v>82</v>
      </c>
      <c r="J1033">
        <v>5</v>
      </c>
      <c r="K1033">
        <v>5</v>
      </c>
      <c r="L1033">
        <v>10</v>
      </c>
      <c r="M1033" s="1" t="s">
        <v>24</v>
      </c>
      <c r="N1033" s="2">
        <v>45962</v>
      </c>
      <c r="O1033">
        <v>2025</v>
      </c>
      <c r="P1033">
        <v>4</v>
      </c>
      <c r="Q1033" s="1" t="s">
        <v>24</v>
      </c>
    </row>
    <row r="1034" spans="1:17" x14ac:dyDescent="0.3">
      <c r="A1034" s="1" t="s">
        <v>1099</v>
      </c>
      <c r="B1034" s="1" t="s">
        <v>63</v>
      </c>
      <c r="C1034" s="1" t="s">
        <v>84</v>
      </c>
      <c r="D1034" s="1" t="s">
        <v>44</v>
      </c>
      <c r="E1034" s="1" t="s">
        <v>21</v>
      </c>
      <c r="F1034" s="1" t="s">
        <v>61</v>
      </c>
      <c r="G1034" s="2">
        <v>45685</v>
      </c>
      <c r="H1034" s="2">
        <v>45691</v>
      </c>
      <c r="I1034" s="1" t="s">
        <v>82</v>
      </c>
      <c r="J1034">
        <v>5</v>
      </c>
      <c r="K1034">
        <v>6</v>
      </c>
      <c r="L1034">
        <v>7</v>
      </c>
      <c r="M1034" s="1" t="s">
        <v>24</v>
      </c>
      <c r="N1034" s="2">
        <v>45658</v>
      </c>
      <c r="O1034">
        <v>2025</v>
      </c>
      <c r="P1034">
        <v>1</v>
      </c>
      <c r="Q1034" s="1" t="s">
        <v>24</v>
      </c>
    </row>
    <row r="1035" spans="1:17" x14ac:dyDescent="0.3">
      <c r="A1035" s="1" t="s">
        <v>1100</v>
      </c>
      <c r="B1035" s="1" t="s">
        <v>26</v>
      </c>
      <c r="C1035" s="1" t="s">
        <v>27</v>
      </c>
      <c r="D1035" s="1" t="s">
        <v>20</v>
      </c>
      <c r="E1035" s="1" t="s">
        <v>21</v>
      </c>
      <c r="F1035" s="1" t="s">
        <v>38</v>
      </c>
      <c r="G1035" s="2">
        <v>45898</v>
      </c>
      <c r="H1035" s="2">
        <v>45913</v>
      </c>
      <c r="I1035" s="1" t="s">
        <v>28</v>
      </c>
      <c r="J1035">
        <v>5</v>
      </c>
      <c r="K1035">
        <v>15</v>
      </c>
      <c r="L1035">
        <v>14</v>
      </c>
      <c r="M1035" s="1" t="s">
        <v>33</v>
      </c>
      <c r="N1035" s="2">
        <v>45870</v>
      </c>
      <c r="O1035">
        <v>2025</v>
      </c>
      <c r="P1035">
        <v>3</v>
      </c>
      <c r="Q1035" s="1" t="s">
        <v>24</v>
      </c>
    </row>
    <row r="1036" spans="1:17" x14ac:dyDescent="0.3">
      <c r="A1036" s="1" t="s">
        <v>1101</v>
      </c>
      <c r="B1036" s="1" t="s">
        <v>26</v>
      </c>
      <c r="C1036" s="1" t="s">
        <v>27</v>
      </c>
      <c r="D1036" s="1" t="s">
        <v>44</v>
      </c>
      <c r="E1036" s="1" t="s">
        <v>21</v>
      </c>
      <c r="F1036" s="1" t="s">
        <v>31</v>
      </c>
      <c r="G1036" s="2">
        <v>45918</v>
      </c>
      <c r="H1036" s="2">
        <v>45921</v>
      </c>
      <c r="I1036" s="1" t="s">
        <v>28</v>
      </c>
      <c r="J1036">
        <v>4</v>
      </c>
      <c r="K1036">
        <v>3</v>
      </c>
      <c r="L1036">
        <v>7</v>
      </c>
      <c r="M1036" s="1" t="s">
        <v>24</v>
      </c>
      <c r="N1036" s="2">
        <v>45901</v>
      </c>
      <c r="O1036">
        <v>2025</v>
      </c>
      <c r="P1036">
        <v>3</v>
      </c>
      <c r="Q1036" s="1" t="s">
        <v>24</v>
      </c>
    </row>
    <row r="1037" spans="1:17" x14ac:dyDescent="0.3">
      <c r="A1037" s="1" t="s">
        <v>1102</v>
      </c>
      <c r="B1037" s="1" t="s">
        <v>35</v>
      </c>
      <c r="C1037" s="1" t="s">
        <v>97</v>
      </c>
      <c r="D1037" s="1" t="s">
        <v>51</v>
      </c>
      <c r="E1037" s="1" t="s">
        <v>21</v>
      </c>
      <c r="F1037" s="1" t="s">
        <v>31</v>
      </c>
      <c r="G1037" s="2">
        <v>45911</v>
      </c>
      <c r="H1037" s="2">
        <v>45920</v>
      </c>
      <c r="I1037" s="1" t="s">
        <v>82</v>
      </c>
      <c r="J1037">
        <v>3</v>
      </c>
      <c r="K1037">
        <v>9</v>
      </c>
      <c r="L1037">
        <v>10</v>
      </c>
      <c r="M1037" s="1" t="s">
        <v>24</v>
      </c>
      <c r="N1037" s="2">
        <v>45901</v>
      </c>
      <c r="O1037">
        <v>2025</v>
      </c>
      <c r="P1037">
        <v>3</v>
      </c>
      <c r="Q1037" s="1" t="s">
        <v>24</v>
      </c>
    </row>
    <row r="1038" spans="1:17" x14ac:dyDescent="0.3">
      <c r="A1038" s="1" t="s">
        <v>1103</v>
      </c>
      <c r="B1038" s="1" t="s">
        <v>18</v>
      </c>
      <c r="C1038" s="1" t="s">
        <v>19</v>
      </c>
      <c r="D1038" s="1" t="s">
        <v>20</v>
      </c>
      <c r="E1038" s="1" t="s">
        <v>48</v>
      </c>
      <c r="F1038" s="1" t="s">
        <v>61</v>
      </c>
      <c r="G1038" s="2">
        <v>45889</v>
      </c>
      <c r="H1038" s="2"/>
      <c r="I1038" s="1" t="s">
        <v>39</v>
      </c>
      <c r="L1038">
        <v>14</v>
      </c>
      <c r="M1038" s="1" t="s">
        <v>40</v>
      </c>
      <c r="N1038" s="2">
        <v>45870</v>
      </c>
      <c r="O1038">
        <v>2025</v>
      </c>
      <c r="P1038">
        <v>3</v>
      </c>
      <c r="Q1038" s="1" t="s">
        <v>33</v>
      </c>
    </row>
    <row r="1039" spans="1:17" x14ac:dyDescent="0.3">
      <c r="A1039" s="1" t="s">
        <v>1104</v>
      </c>
      <c r="B1039" s="1" t="s">
        <v>63</v>
      </c>
      <c r="C1039" s="1" t="s">
        <v>84</v>
      </c>
      <c r="D1039" s="1" t="s">
        <v>51</v>
      </c>
      <c r="E1039" s="1" t="s">
        <v>21</v>
      </c>
      <c r="F1039" s="1" t="s">
        <v>38</v>
      </c>
      <c r="G1039" s="2">
        <v>45738</v>
      </c>
      <c r="H1039" s="2">
        <v>45745</v>
      </c>
      <c r="I1039" s="1" t="s">
        <v>28</v>
      </c>
      <c r="J1039">
        <v>3</v>
      </c>
      <c r="K1039">
        <v>7</v>
      </c>
      <c r="L1039">
        <v>10</v>
      </c>
      <c r="M1039" s="1" t="s">
        <v>24</v>
      </c>
      <c r="N1039" s="2">
        <v>45717</v>
      </c>
      <c r="O1039">
        <v>2025</v>
      </c>
      <c r="P1039">
        <v>1</v>
      </c>
      <c r="Q1039" s="1" t="s">
        <v>24</v>
      </c>
    </row>
    <row r="1040" spans="1:17" x14ac:dyDescent="0.3">
      <c r="A1040" s="1" t="s">
        <v>1105</v>
      </c>
      <c r="B1040" s="1" t="s">
        <v>42</v>
      </c>
      <c r="C1040" s="1" t="s">
        <v>43</v>
      </c>
      <c r="D1040" s="1" t="s">
        <v>51</v>
      </c>
      <c r="E1040" s="1" t="s">
        <v>21</v>
      </c>
      <c r="F1040" s="1" t="s">
        <v>22</v>
      </c>
      <c r="G1040" s="2">
        <v>45956</v>
      </c>
      <c r="H1040" s="2">
        <v>45958</v>
      </c>
      <c r="I1040" s="1" t="s">
        <v>32</v>
      </c>
      <c r="J1040">
        <v>4</v>
      </c>
      <c r="K1040">
        <v>2</v>
      </c>
      <c r="L1040">
        <v>10</v>
      </c>
      <c r="M1040" s="1" t="s">
        <v>24</v>
      </c>
      <c r="N1040" s="2">
        <v>45931</v>
      </c>
      <c r="O1040">
        <v>2025</v>
      </c>
      <c r="P1040">
        <v>4</v>
      </c>
      <c r="Q1040" s="1" t="s">
        <v>24</v>
      </c>
    </row>
    <row r="1041" spans="1:17" x14ac:dyDescent="0.3">
      <c r="A1041" s="1" t="s">
        <v>1106</v>
      </c>
      <c r="B1041" s="1" t="s">
        <v>58</v>
      </c>
      <c r="C1041" s="1" t="s">
        <v>145</v>
      </c>
      <c r="D1041" s="1" t="s">
        <v>51</v>
      </c>
      <c r="E1041" s="1" t="s">
        <v>21</v>
      </c>
      <c r="F1041" s="1" t="s">
        <v>38</v>
      </c>
      <c r="G1041" s="2">
        <v>45912</v>
      </c>
      <c r="H1041" s="2">
        <v>45919</v>
      </c>
      <c r="I1041" s="1" t="s">
        <v>28</v>
      </c>
      <c r="J1041">
        <v>3</v>
      </c>
      <c r="K1041">
        <v>7</v>
      </c>
      <c r="L1041">
        <v>10</v>
      </c>
      <c r="M1041" s="1" t="s">
        <v>24</v>
      </c>
      <c r="N1041" s="2">
        <v>45901</v>
      </c>
      <c r="O1041">
        <v>2025</v>
      </c>
      <c r="P1041">
        <v>3</v>
      </c>
      <c r="Q1041" s="1" t="s">
        <v>24</v>
      </c>
    </row>
    <row r="1042" spans="1:17" x14ac:dyDescent="0.3">
      <c r="A1042" s="1" t="s">
        <v>1107</v>
      </c>
      <c r="B1042" s="1" t="s">
        <v>58</v>
      </c>
      <c r="C1042" s="1" t="s">
        <v>108</v>
      </c>
      <c r="D1042" s="1" t="s">
        <v>51</v>
      </c>
      <c r="E1042" s="1" t="s">
        <v>21</v>
      </c>
      <c r="F1042" s="1" t="s">
        <v>22</v>
      </c>
      <c r="G1042" s="2">
        <v>45700</v>
      </c>
      <c r="H1042" s="2">
        <v>45706</v>
      </c>
      <c r="I1042" s="1" t="s">
        <v>82</v>
      </c>
      <c r="J1042">
        <v>5</v>
      </c>
      <c r="K1042">
        <v>6</v>
      </c>
      <c r="L1042">
        <v>10</v>
      </c>
      <c r="M1042" s="1" t="s">
        <v>24</v>
      </c>
      <c r="N1042" s="2">
        <v>45689</v>
      </c>
      <c r="O1042">
        <v>2025</v>
      </c>
      <c r="P1042">
        <v>1</v>
      </c>
      <c r="Q1042" s="1" t="s">
        <v>24</v>
      </c>
    </row>
    <row r="1043" spans="1:17" x14ac:dyDescent="0.3">
      <c r="A1043" s="1" t="s">
        <v>1108</v>
      </c>
      <c r="B1043" s="1" t="s">
        <v>18</v>
      </c>
      <c r="C1043" s="1" t="s">
        <v>19</v>
      </c>
      <c r="D1043" s="1" t="s">
        <v>44</v>
      </c>
      <c r="E1043" s="1" t="s">
        <v>48</v>
      </c>
      <c r="F1043" s="1" t="s">
        <v>38</v>
      </c>
      <c r="G1043" s="2">
        <v>45708</v>
      </c>
      <c r="H1043" s="2"/>
      <c r="I1043" s="1" t="s">
        <v>23</v>
      </c>
      <c r="L1043">
        <v>7</v>
      </c>
      <c r="M1043" s="1" t="s">
        <v>40</v>
      </c>
      <c r="N1043" s="2">
        <v>45689</v>
      </c>
      <c r="O1043">
        <v>2025</v>
      </c>
      <c r="P1043">
        <v>1</v>
      </c>
      <c r="Q1043" s="1" t="s">
        <v>33</v>
      </c>
    </row>
    <row r="1044" spans="1:17" x14ac:dyDescent="0.3">
      <c r="A1044" s="1" t="s">
        <v>1109</v>
      </c>
      <c r="B1044" s="1" t="s">
        <v>35</v>
      </c>
      <c r="C1044" s="1" t="s">
        <v>99</v>
      </c>
      <c r="D1044" s="1" t="s">
        <v>51</v>
      </c>
      <c r="E1044" s="1" t="s">
        <v>21</v>
      </c>
      <c r="F1044" s="1" t="s">
        <v>52</v>
      </c>
      <c r="G1044" s="2">
        <v>46003</v>
      </c>
      <c r="H1044" s="2">
        <v>46010</v>
      </c>
      <c r="I1044" s="1" t="s">
        <v>28</v>
      </c>
      <c r="J1044">
        <v>3</v>
      </c>
      <c r="K1044">
        <v>7</v>
      </c>
      <c r="L1044">
        <v>10</v>
      </c>
      <c r="M1044" s="1" t="s">
        <v>24</v>
      </c>
      <c r="N1044" s="2">
        <v>45992</v>
      </c>
      <c r="O1044">
        <v>2025</v>
      </c>
      <c r="P1044">
        <v>4</v>
      </c>
      <c r="Q1044" s="1" t="s">
        <v>24</v>
      </c>
    </row>
    <row r="1045" spans="1:17" x14ac:dyDescent="0.3">
      <c r="A1045" s="1" t="s">
        <v>1110</v>
      </c>
      <c r="B1045" s="1" t="s">
        <v>18</v>
      </c>
      <c r="C1045" s="1" t="s">
        <v>47</v>
      </c>
      <c r="D1045" s="1" t="s">
        <v>71</v>
      </c>
      <c r="E1045" s="1" t="s">
        <v>37</v>
      </c>
      <c r="F1045" s="1" t="s">
        <v>52</v>
      </c>
      <c r="G1045" s="2">
        <v>45936</v>
      </c>
      <c r="H1045" s="2"/>
      <c r="I1045" s="1" t="s">
        <v>23</v>
      </c>
      <c r="L1045">
        <v>3</v>
      </c>
      <c r="M1045" s="1" t="s">
        <v>40</v>
      </c>
      <c r="N1045" s="2">
        <v>45931</v>
      </c>
      <c r="O1045">
        <v>2025</v>
      </c>
      <c r="P1045">
        <v>4</v>
      </c>
      <c r="Q1045" s="1" t="s">
        <v>33</v>
      </c>
    </row>
    <row r="1046" spans="1:17" x14ac:dyDescent="0.3">
      <c r="A1046" s="1" t="s">
        <v>1111</v>
      </c>
      <c r="B1046" s="1" t="s">
        <v>35</v>
      </c>
      <c r="C1046" s="1" t="s">
        <v>97</v>
      </c>
      <c r="D1046" s="1" t="s">
        <v>44</v>
      </c>
      <c r="E1046" s="1" t="s">
        <v>37</v>
      </c>
      <c r="F1046" s="1" t="s">
        <v>31</v>
      </c>
      <c r="G1046" s="2">
        <v>45864</v>
      </c>
      <c r="H1046" s="2"/>
      <c r="I1046" s="1" t="s">
        <v>82</v>
      </c>
      <c r="L1046">
        <v>7</v>
      </c>
      <c r="M1046" s="1" t="s">
        <v>40</v>
      </c>
      <c r="N1046" s="2">
        <v>45839</v>
      </c>
      <c r="O1046">
        <v>2025</v>
      </c>
      <c r="P1046">
        <v>3</v>
      </c>
      <c r="Q1046" s="1" t="s">
        <v>33</v>
      </c>
    </row>
    <row r="1047" spans="1:17" x14ac:dyDescent="0.3">
      <c r="A1047" s="1" t="s">
        <v>1112</v>
      </c>
      <c r="B1047" s="1" t="s">
        <v>18</v>
      </c>
      <c r="C1047" s="1" t="s">
        <v>19</v>
      </c>
      <c r="D1047" s="1" t="s">
        <v>51</v>
      </c>
      <c r="E1047" s="1" t="s">
        <v>21</v>
      </c>
      <c r="F1047" s="1" t="s">
        <v>61</v>
      </c>
      <c r="G1047" s="2">
        <v>45734</v>
      </c>
      <c r="H1047" s="2">
        <v>45742</v>
      </c>
      <c r="I1047" s="1" t="s">
        <v>39</v>
      </c>
      <c r="J1047">
        <v>3</v>
      </c>
      <c r="K1047">
        <v>8</v>
      </c>
      <c r="L1047">
        <v>10</v>
      </c>
      <c r="M1047" s="1" t="s">
        <v>24</v>
      </c>
      <c r="N1047" s="2">
        <v>45717</v>
      </c>
      <c r="O1047">
        <v>2025</v>
      </c>
      <c r="P1047">
        <v>1</v>
      </c>
      <c r="Q1047" s="1" t="s">
        <v>24</v>
      </c>
    </row>
    <row r="1048" spans="1:17" x14ac:dyDescent="0.3">
      <c r="A1048" s="1" t="s">
        <v>1113</v>
      </c>
      <c r="B1048" s="1" t="s">
        <v>63</v>
      </c>
      <c r="C1048" s="1" t="s">
        <v>89</v>
      </c>
      <c r="D1048" s="1" t="s">
        <v>44</v>
      </c>
      <c r="E1048" s="1" t="s">
        <v>21</v>
      </c>
      <c r="F1048" s="1" t="s">
        <v>31</v>
      </c>
      <c r="G1048" s="2">
        <v>45701</v>
      </c>
      <c r="H1048" s="2">
        <v>45704</v>
      </c>
      <c r="I1048" s="1" t="s">
        <v>39</v>
      </c>
      <c r="J1048">
        <v>5</v>
      </c>
      <c r="K1048">
        <v>3</v>
      </c>
      <c r="L1048">
        <v>7</v>
      </c>
      <c r="M1048" s="1" t="s">
        <v>24</v>
      </c>
      <c r="N1048" s="2">
        <v>45689</v>
      </c>
      <c r="O1048">
        <v>2025</v>
      </c>
      <c r="P1048">
        <v>1</v>
      </c>
      <c r="Q1048" s="1" t="s">
        <v>24</v>
      </c>
    </row>
    <row r="1049" spans="1:17" x14ac:dyDescent="0.3">
      <c r="A1049" s="1" t="s">
        <v>1114</v>
      </c>
      <c r="B1049" s="1" t="s">
        <v>63</v>
      </c>
      <c r="C1049" s="1" t="s">
        <v>89</v>
      </c>
      <c r="D1049" s="1" t="s">
        <v>51</v>
      </c>
      <c r="E1049" s="1" t="s">
        <v>21</v>
      </c>
      <c r="F1049" s="1" t="s">
        <v>61</v>
      </c>
      <c r="G1049" s="2">
        <v>45849</v>
      </c>
      <c r="H1049" s="2">
        <v>45853</v>
      </c>
      <c r="I1049" s="1" t="s">
        <v>32</v>
      </c>
      <c r="J1049">
        <v>4</v>
      </c>
      <c r="K1049">
        <v>4</v>
      </c>
      <c r="L1049">
        <v>10</v>
      </c>
      <c r="M1049" s="1" t="s">
        <v>24</v>
      </c>
      <c r="N1049" s="2">
        <v>45839</v>
      </c>
      <c r="O1049">
        <v>2025</v>
      </c>
      <c r="P1049">
        <v>3</v>
      </c>
      <c r="Q1049" s="1" t="s">
        <v>24</v>
      </c>
    </row>
    <row r="1050" spans="1:17" x14ac:dyDescent="0.3">
      <c r="A1050" s="1" t="s">
        <v>1115</v>
      </c>
      <c r="B1050" s="1" t="s">
        <v>18</v>
      </c>
      <c r="C1050" s="1" t="s">
        <v>19</v>
      </c>
      <c r="D1050" s="1" t="s">
        <v>51</v>
      </c>
      <c r="E1050" s="1" t="s">
        <v>21</v>
      </c>
      <c r="F1050" s="1" t="s">
        <v>31</v>
      </c>
      <c r="G1050" s="2">
        <v>45839</v>
      </c>
      <c r="H1050" s="2">
        <v>45846</v>
      </c>
      <c r="I1050" s="1" t="s">
        <v>39</v>
      </c>
      <c r="J1050">
        <v>3</v>
      </c>
      <c r="K1050">
        <v>7</v>
      </c>
      <c r="L1050">
        <v>10</v>
      </c>
      <c r="M1050" s="1" t="s">
        <v>24</v>
      </c>
      <c r="N1050" s="2">
        <v>45839</v>
      </c>
      <c r="O1050">
        <v>2025</v>
      </c>
      <c r="P1050">
        <v>3</v>
      </c>
      <c r="Q1050" s="1" t="s">
        <v>24</v>
      </c>
    </row>
    <row r="1051" spans="1:17" x14ac:dyDescent="0.3">
      <c r="A1051" s="1" t="s">
        <v>1116</v>
      </c>
      <c r="B1051" s="1" t="s">
        <v>18</v>
      </c>
      <c r="C1051" s="1" t="s">
        <v>56</v>
      </c>
      <c r="D1051" s="1" t="s">
        <v>51</v>
      </c>
      <c r="E1051" s="1" t="s">
        <v>21</v>
      </c>
      <c r="F1051" s="1" t="s">
        <v>52</v>
      </c>
      <c r="G1051" s="2">
        <v>45674</v>
      </c>
      <c r="H1051" s="2">
        <v>45678</v>
      </c>
      <c r="I1051" s="1" t="s">
        <v>82</v>
      </c>
      <c r="J1051">
        <v>3</v>
      </c>
      <c r="K1051">
        <v>4</v>
      </c>
      <c r="L1051">
        <v>10</v>
      </c>
      <c r="M1051" s="1" t="s">
        <v>24</v>
      </c>
      <c r="N1051" s="2">
        <v>45658</v>
      </c>
      <c r="O1051">
        <v>2025</v>
      </c>
      <c r="P1051">
        <v>1</v>
      </c>
      <c r="Q1051" s="1" t="s">
        <v>24</v>
      </c>
    </row>
    <row r="1052" spans="1:17" x14ac:dyDescent="0.3">
      <c r="A1052" s="1" t="s">
        <v>1117</v>
      </c>
      <c r="B1052" s="1" t="s">
        <v>18</v>
      </c>
      <c r="C1052" s="1" t="s">
        <v>30</v>
      </c>
      <c r="D1052" s="1" t="s">
        <v>71</v>
      </c>
      <c r="E1052" s="1" t="s">
        <v>21</v>
      </c>
      <c r="F1052" s="1" t="s">
        <v>61</v>
      </c>
      <c r="G1052" s="2">
        <v>45858</v>
      </c>
      <c r="H1052" s="2">
        <v>45858</v>
      </c>
      <c r="I1052" s="1" t="s">
        <v>39</v>
      </c>
      <c r="J1052">
        <v>4</v>
      </c>
      <c r="K1052">
        <v>0</v>
      </c>
      <c r="L1052">
        <v>3</v>
      </c>
      <c r="M1052" s="1" t="s">
        <v>24</v>
      </c>
      <c r="N1052" s="2">
        <v>45839</v>
      </c>
      <c r="O1052">
        <v>2025</v>
      </c>
      <c r="P1052">
        <v>3</v>
      </c>
      <c r="Q1052" s="1" t="s">
        <v>24</v>
      </c>
    </row>
    <row r="1053" spans="1:17" x14ac:dyDescent="0.3">
      <c r="A1053" s="1" t="s">
        <v>1118</v>
      </c>
      <c r="B1053" s="1" t="s">
        <v>42</v>
      </c>
      <c r="C1053" s="1" t="s">
        <v>43</v>
      </c>
      <c r="D1053" s="1" t="s">
        <v>51</v>
      </c>
      <c r="E1053" s="1" t="s">
        <v>21</v>
      </c>
      <c r="F1053" s="1" t="s">
        <v>22</v>
      </c>
      <c r="G1053" s="2">
        <v>45813</v>
      </c>
      <c r="H1053" s="2">
        <v>45816</v>
      </c>
      <c r="I1053" s="1" t="s">
        <v>28</v>
      </c>
      <c r="J1053">
        <v>3</v>
      </c>
      <c r="K1053">
        <v>3</v>
      </c>
      <c r="L1053">
        <v>10</v>
      </c>
      <c r="M1053" s="1" t="s">
        <v>24</v>
      </c>
      <c r="N1053" s="2">
        <v>45809</v>
      </c>
      <c r="O1053">
        <v>2025</v>
      </c>
      <c r="P1053">
        <v>2</v>
      </c>
      <c r="Q1053" s="1" t="s">
        <v>24</v>
      </c>
    </row>
    <row r="1054" spans="1:17" x14ac:dyDescent="0.3">
      <c r="A1054" s="1" t="s">
        <v>1119</v>
      </c>
      <c r="B1054" s="1" t="s">
        <v>42</v>
      </c>
      <c r="C1054" s="1" t="s">
        <v>87</v>
      </c>
      <c r="D1054" s="1" t="s">
        <v>20</v>
      </c>
      <c r="E1054" s="1" t="s">
        <v>21</v>
      </c>
      <c r="F1054" s="1" t="s">
        <v>52</v>
      </c>
      <c r="G1054" s="2">
        <v>45855</v>
      </c>
      <c r="H1054" s="2">
        <v>45862</v>
      </c>
      <c r="I1054" s="1" t="s">
        <v>82</v>
      </c>
      <c r="J1054">
        <v>3</v>
      </c>
      <c r="K1054">
        <v>7</v>
      </c>
      <c r="L1054">
        <v>14</v>
      </c>
      <c r="M1054" s="1" t="s">
        <v>24</v>
      </c>
      <c r="N1054" s="2">
        <v>45839</v>
      </c>
      <c r="O1054">
        <v>2025</v>
      </c>
      <c r="P1054">
        <v>3</v>
      </c>
      <c r="Q1054" s="1" t="s">
        <v>24</v>
      </c>
    </row>
    <row r="1055" spans="1:17" x14ac:dyDescent="0.3">
      <c r="A1055" s="1" t="s">
        <v>1120</v>
      </c>
      <c r="B1055" s="1" t="s">
        <v>42</v>
      </c>
      <c r="C1055" s="1" t="s">
        <v>87</v>
      </c>
      <c r="D1055" s="1" t="s">
        <v>20</v>
      </c>
      <c r="E1055" s="1" t="s">
        <v>21</v>
      </c>
      <c r="F1055" s="1" t="s">
        <v>31</v>
      </c>
      <c r="G1055" s="2">
        <v>45745</v>
      </c>
      <c r="H1055" s="2">
        <v>45753</v>
      </c>
      <c r="I1055" s="1" t="s">
        <v>39</v>
      </c>
      <c r="J1055">
        <v>5</v>
      </c>
      <c r="K1055">
        <v>8</v>
      </c>
      <c r="L1055">
        <v>14</v>
      </c>
      <c r="M1055" s="1" t="s">
        <v>24</v>
      </c>
      <c r="N1055" s="2">
        <v>45717</v>
      </c>
      <c r="O1055">
        <v>2025</v>
      </c>
      <c r="P1055">
        <v>1</v>
      </c>
      <c r="Q1055" s="1" t="s">
        <v>24</v>
      </c>
    </row>
    <row r="1056" spans="1:17" x14ac:dyDescent="0.3">
      <c r="A1056" s="1" t="s">
        <v>1121</v>
      </c>
      <c r="B1056" s="1" t="s">
        <v>63</v>
      </c>
      <c r="C1056" s="1" t="s">
        <v>74</v>
      </c>
      <c r="D1056" s="1" t="s">
        <v>20</v>
      </c>
      <c r="E1056" s="1" t="s">
        <v>21</v>
      </c>
      <c r="F1056" s="1" t="s">
        <v>61</v>
      </c>
      <c r="G1056" s="2">
        <v>45693</v>
      </c>
      <c r="H1056" s="2">
        <v>45702</v>
      </c>
      <c r="I1056" s="1" t="s">
        <v>28</v>
      </c>
      <c r="J1056">
        <v>5</v>
      </c>
      <c r="K1056">
        <v>9</v>
      </c>
      <c r="L1056">
        <v>14</v>
      </c>
      <c r="M1056" s="1" t="s">
        <v>24</v>
      </c>
      <c r="N1056" s="2">
        <v>45689</v>
      </c>
      <c r="O1056">
        <v>2025</v>
      </c>
      <c r="P1056">
        <v>1</v>
      </c>
      <c r="Q1056" s="1" t="s">
        <v>24</v>
      </c>
    </row>
    <row r="1057" spans="1:17" x14ac:dyDescent="0.3">
      <c r="A1057" s="1" t="s">
        <v>1122</v>
      </c>
      <c r="B1057" s="1" t="s">
        <v>63</v>
      </c>
      <c r="C1057" s="1" t="s">
        <v>84</v>
      </c>
      <c r="D1057" s="1" t="s">
        <v>51</v>
      </c>
      <c r="E1057" s="1" t="s">
        <v>21</v>
      </c>
      <c r="F1057" s="1" t="s">
        <v>52</v>
      </c>
      <c r="G1057" s="2">
        <v>45901</v>
      </c>
      <c r="H1057" s="2">
        <v>45905</v>
      </c>
      <c r="I1057" s="1" t="s">
        <v>82</v>
      </c>
      <c r="J1057">
        <v>4</v>
      </c>
      <c r="K1057">
        <v>4</v>
      </c>
      <c r="L1057">
        <v>10</v>
      </c>
      <c r="M1057" s="1" t="s">
        <v>24</v>
      </c>
      <c r="N1057" s="2">
        <v>45901</v>
      </c>
      <c r="O1057">
        <v>2025</v>
      </c>
      <c r="P1057">
        <v>3</v>
      </c>
      <c r="Q1057" s="1" t="s">
        <v>24</v>
      </c>
    </row>
    <row r="1058" spans="1:17" x14ac:dyDescent="0.3">
      <c r="A1058" s="1" t="s">
        <v>1123</v>
      </c>
      <c r="B1058" s="1" t="s">
        <v>63</v>
      </c>
      <c r="C1058" s="1" t="s">
        <v>89</v>
      </c>
      <c r="D1058" s="1" t="s">
        <v>51</v>
      </c>
      <c r="E1058" s="1" t="s">
        <v>21</v>
      </c>
      <c r="F1058" s="1" t="s">
        <v>31</v>
      </c>
      <c r="G1058" s="2">
        <v>45731</v>
      </c>
      <c r="H1058" s="2">
        <v>45740</v>
      </c>
      <c r="I1058" s="1" t="s">
        <v>82</v>
      </c>
      <c r="J1058">
        <v>2</v>
      </c>
      <c r="K1058">
        <v>9</v>
      </c>
      <c r="L1058">
        <v>10</v>
      </c>
      <c r="M1058" s="1" t="s">
        <v>24</v>
      </c>
      <c r="N1058" s="2">
        <v>45717</v>
      </c>
      <c r="O1058">
        <v>2025</v>
      </c>
      <c r="P1058">
        <v>1</v>
      </c>
      <c r="Q1058" s="1" t="s">
        <v>24</v>
      </c>
    </row>
    <row r="1059" spans="1:17" x14ac:dyDescent="0.3">
      <c r="A1059" s="1" t="s">
        <v>1124</v>
      </c>
      <c r="B1059" s="1" t="s">
        <v>63</v>
      </c>
      <c r="C1059" s="1" t="s">
        <v>84</v>
      </c>
      <c r="D1059" s="1" t="s">
        <v>44</v>
      </c>
      <c r="E1059" s="1" t="s">
        <v>48</v>
      </c>
      <c r="F1059" s="1" t="s">
        <v>31</v>
      </c>
      <c r="G1059" s="2">
        <v>45893</v>
      </c>
      <c r="H1059" s="2"/>
      <c r="I1059" s="1" t="s">
        <v>82</v>
      </c>
      <c r="L1059">
        <v>7</v>
      </c>
      <c r="M1059" s="1" t="s">
        <v>40</v>
      </c>
      <c r="N1059" s="2">
        <v>45870</v>
      </c>
      <c r="O1059">
        <v>2025</v>
      </c>
      <c r="P1059">
        <v>3</v>
      </c>
      <c r="Q1059" s="1" t="s">
        <v>33</v>
      </c>
    </row>
    <row r="1060" spans="1:17" x14ac:dyDescent="0.3">
      <c r="A1060" s="1" t="s">
        <v>1125</v>
      </c>
      <c r="B1060" s="1" t="s">
        <v>42</v>
      </c>
      <c r="C1060" s="1" t="s">
        <v>81</v>
      </c>
      <c r="D1060" s="1" t="s">
        <v>51</v>
      </c>
      <c r="E1060" s="1" t="s">
        <v>48</v>
      </c>
      <c r="F1060" s="1" t="s">
        <v>52</v>
      </c>
      <c r="G1060" s="2">
        <v>45891</v>
      </c>
      <c r="H1060" s="2"/>
      <c r="I1060" s="1" t="s">
        <v>32</v>
      </c>
      <c r="L1060">
        <v>10</v>
      </c>
      <c r="M1060" s="1" t="s">
        <v>40</v>
      </c>
      <c r="N1060" s="2">
        <v>45870</v>
      </c>
      <c r="O1060">
        <v>2025</v>
      </c>
      <c r="P1060">
        <v>3</v>
      </c>
      <c r="Q1060" s="1" t="s">
        <v>33</v>
      </c>
    </row>
    <row r="1061" spans="1:17" x14ac:dyDescent="0.3">
      <c r="A1061" s="1" t="s">
        <v>1126</v>
      </c>
      <c r="B1061" s="1" t="s">
        <v>58</v>
      </c>
      <c r="C1061" s="1" t="s">
        <v>108</v>
      </c>
      <c r="D1061" s="1" t="s">
        <v>51</v>
      </c>
      <c r="E1061" s="1" t="s">
        <v>21</v>
      </c>
      <c r="F1061" s="1" t="s">
        <v>61</v>
      </c>
      <c r="G1061" s="2">
        <v>45974</v>
      </c>
      <c r="H1061" s="2">
        <v>45982</v>
      </c>
      <c r="I1061" s="1" t="s">
        <v>82</v>
      </c>
      <c r="J1061">
        <v>4</v>
      </c>
      <c r="K1061">
        <v>8</v>
      </c>
      <c r="L1061">
        <v>10</v>
      </c>
      <c r="M1061" s="1" t="s">
        <v>24</v>
      </c>
      <c r="N1061" s="2">
        <v>45962</v>
      </c>
      <c r="O1061">
        <v>2025</v>
      </c>
      <c r="P1061">
        <v>4</v>
      </c>
      <c r="Q1061" s="1" t="s">
        <v>24</v>
      </c>
    </row>
    <row r="1062" spans="1:17" x14ac:dyDescent="0.3">
      <c r="A1062" s="1" t="s">
        <v>1127</v>
      </c>
      <c r="B1062" s="1" t="s">
        <v>42</v>
      </c>
      <c r="C1062" s="1" t="s">
        <v>87</v>
      </c>
      <c r="D1062" s="1" t="s">
        <v>51</v>
      </c>
      <c r="E1062" s="1" t="s">
        <v>21</v>
      </c>
      <c r="F1062" s="1" t="s">
        <v>22</v>
      </c>
      <c r="G1062" s="2">
        <v>45738</v>
      </c>
      <c r="H1062" s="2">
        <v>45744</v>
      </c>
      <c r="I1062" s="1" t="s">
        <v>32</v>
      </c>
      <c r="J1062">
        <v>5</v>
      </c>
      <c r="K1062">
        <v>6</v>
      </c>
      <c r="L1062">
        <v>10</v>
      </c>
      <c r="M1062" s="1" t="s">
        <v>24</v>
      </c>
      <c r="N1062" s="2">
        <v>45717</v>
      </c>
      <c r="O1062">
        <v>2025</v>
      </c>
      <c r="P1062">
        <v>1</v>
      </c>
      <c r="Q1062" s="1" t="s">
        <v>24</v>
      </c>
    </row>
    <row r="1063" spans="1:17" x14ac:dyDescent="0.3">
      <c r="A1063" s="1" t="s">
        <v>1128</v>
      </c>
      <c r="B1063" s="1" t="s">
        <v>18</v>
      </c>
      <c r="C1063" s="1" t="s">
        <v>19</v>
      </c>
      <c r="D1063" s="1" t="s">
        <v>51</v>
      </c>
      <c r="E1063" s="1" t="s">
        <v>21</v>
      </c>
      <c r="F1063" s="1" t="s">
        <v>22</v>
      </c>
      <c r="G1063" s="2">
        <v>45769</v>
      </c>
      <c r="H1063" s="2">
        <v>45778</v>
      </c>
      <c r="I1063" s="1" t="s">
        <v>23</v>
      </c>
      <c r="J1063">
        <v>4</v>
      </c>
      <c r="K1063">
        <v>9</v>
      </c>
      <c r="L1063">
        <v>10</v>
      </c>
      <c r="M1063" s="1" t="s">
        <v>24</v>
      </c>
      <c r="N1063" s="2">
        <v>45748</v>
      </c>
      <c r="O1063">
        <v>2025</v>
      </c>
      <c r="P1063">
        <v>2</v>
      </c>
      <c r="Q1063" s="1" t="s">
        <v>24</v>
      </c>
    </row>
    <row r="1064" spans="1:17" x14ac:dyDescent="0.3">
      <c r="A1064" s="1" t="s">
        <v>1129</v>
      </c>
      <c r="B1064" s="1" t="s">
        <v>35</v>
      </c>
      <c r="C1064" s="1" t="s">
        <v>99</v>
      </c>
      <c r="D1064" s="1" t="s">
        <v>44</v>
      </c>
      <c r="E1064" s="1" t="s">
        <v>21</v>
      </c>
      <c r="F1064" s="1" t="s">
        <v>52</v>
      </c>
      <c r="G1064" s="2">
        <v>45824</v>
      </c>
      <c r="H1064" s="2">
        <v>45828</v>
      </c>
      <c r="I1064" s="1" t="s">
        <v>28</v>
      </c>
      <c r="J1064">
        <v>4</v>
      </c>
      <c r="K1064">
        <v>4</v>
      </c>
      <c r="L1064">
        <v>7</v>
      </c>
      <c r="M1064" s="1" t="s">
        <v>24</v>
      </c>
      <c r="N1064" s="2">
        <v>45809</v>
      </c>
      <c r="O1064">
        <v>2025</v>
      </c>
      <c r="P1064">
        <v>2</v>
      </c>
      <c r="Q1064" s="1" t="s">
        <v>24</v>
      </c>
    </row>
    <row r="1065" spans="1:17" x14ac:dyDescent="0.3">
      <c r="A1065" s="1" t="s">
        <v>1130</v>
      </c>
      <c r="B1065" s="1" t="s">
        <v>26</v>
      </c>
      <c r="C1065" s="1" t="s">
        <v>67</v>
      </c>
      <c r="D1065" s="1" t="s">
        <v>51</v>
      </c>
      <c r="E1065" s="1" t="s">
        <v>21</v>
      </c>
      <c r="F1065" s="1" t="s">
        <v>31</v>
      </c>
      <c r="G1065" s="2">
        <v>46013</v>
      </c>
      <c r="H1065" s="2">
        <v>46022</v>
      </c>
      <c r="I1065" s="1" t="s">
        <v>28</v>
      </c>
      <c r="J1065">
        <v>4</v>
      </c>
      <c r="K1065">
        <v>9</v>
      </c>
      <c r="L1065">
        <v>10</v>
      </c>
      <c r="M1065" s="1" t="s">
        <v>24</v>
      </c>
      <c r="N1065" s="2">
        <v>45992</v>
      </c>
      <c r="O1065">
        <v>2025</v>
      </c>
      <c r="P1065">
        <v>4</v>
      </c>
      <c r="Q1065" s="1" t="s">
        <v>24</v>
      </c>
    </row>
    <row r="1066" spans="1:17" x14ac:dyDescent="0.3">
      <c r="A1066" s="1" t="s">
        <v>1131</v>
      </c>
      <c r="B1066" s="1" t="s">
        <v>58</v>
      </c>
      <c r="C1066" s="1" t="s">
        <v>70</v>
      </c>
      <c r="D1066" s="1" t="s">
        <v>20</v>
      </c>
      <c r="E1066" s="1" t="s">
        <v>21</v>
      </c>
      <c r="F1066" s="1" t="s">
        <v>31</v>
      </c>
      <c r="G1066" s="2">
        <v>45727</v>
      </c>
      <c r="H1066" s="2">
        <v>45735</v>
      </c>
      <c r="I1066" s="1" t="s">
        <v>39</v>
      </c>
      <c r="J1066">
        <v>5</v>
      </c>
      <c r="K1066">
        <v>8</v>
      </c>
      <c r="L1066">
        <v>14</v>
      </c>
      <c r="M1066" s="1" t="s">
        <v>24</v>
      </c>
      <c r="N1066" s="2">
        <v>45717</v>
      </c>
      <c r="O1066">
        <v>2025</v>
      </c>
      <c r="P1066">
        <v>1</v>
      </c>
      <c r="Q1066" s="1" t="s">
        <v>24</v>
      </c>
    </row>
    <row r="1067" spans="1:17" x14ac:dyDescent="0.3">
      <c r="A1067" s="1" t="s">
        <v>1132</v>
      </c>
      <c r="B1067" s="1" t="s">
        <v>58</v>
      </c>
      <c r="C1067" s="1" t="s">
        <v>70</v>
      </c>
      <c r="D1067" s="1" t="s">
        <v>20</v>
      </c>
      <c r="E1067" s="1" t="s">
        <v>21</v>
      </c>
      <c r="F1067" s="1" t="s">
        <v>52</v>
      </c>
      <c r="G1067" s="2">
        <v>45882</v>
      </c>
      <c r="H1067" s="2">
        <v>45887</v>
      </c>
      <c r="I1067" s="1" t="s">
        <v>28</v>
      </c>
      <c r="J1067">
        <v>4</v>
      </c>
      <c r="K1067">
        <v>5</v>
      </c>
      <c r="L1067">
        <v>14</v>
      </c>
      <c r="M1067" s="1" t="s">
        <v>24</v>
      </c>
      <c r="N1067" s="2">
        <v>45870</v>
      </c>
      <c r="O1067">
        <v>2025</v>
      </c>
      <c r="P1067">
        <v>3</v>
      </c>
      <c r="Q1067" s="1" t="s">
        <v>24</v>
      </c>
    </row>
    <row r="1068" spans="1:17" x14ac:dyDescent="0.3">
      <c r="A1068" s="1" t="s">
        <v>1133</v>
      </c>
      <c r="B1068" s="1" t="s">
        <v>63</v>
      </c>
      <c r="C1068" s="1" t="s">
        <v>74</v>
      </c>
      <c r="D1068" s="1" t="s">
        <v>51</v>
      </c>
      <c r="E1068" s="1" t="s">
        <v>21</v>
      </c>
      <c r="F1068" s="1" t="s">
        <v>61</v>
      </c>
      <c r="G1068" s="2">
        <v>45721</v>
      </c>
      <c r="H1068" s="2">
        <v>45731</v>
      </c>
      <c r="I1068" s="1" t="s">
        <v>23</v>
      </c>
      <c r="J1068">
        <v>5</v>
      </c>
      <c r="K1068">
        <v>10</v>
      </c>
      <c r="L1068">
        <v>10</v>
      </c>
      <c r="M1068" s="1" t="s">
        <v>24</v>
      </c>
      <c r="N1068" s="2">
        <v>45717</v>
      </c>
      <c r="O1068">
        <v>2025</v>
      </c>
      <c r="P1068">
        <v>1</v>
      </c>
      <c r="Q1068" s="1" t="s">
        <v>24</v>
      </c>
    </row>
    <row r="1069" spans="1:17" x14ac:dyDescent="0.3">
      <c r="A1069" s="1" t="s">
        <v>1134</v>
      </c>
      <c r="B1069" s="1" t="s">
        <v>18</v>
      </c>
      <c r="C1069" s="1" t="s">
        <v>19</v>
      </c>
      <c r="D1069" s="1" t="s">
        <v>51</v>
      </c>
      <c r="E1069" s="1" t="s">
        <v>21</v>
      </c>
      <c r="F1069" s="1" t="s">
        <v>38</v>
      </c>
      <c r="G1069" s="2">
        <v>45841</v>
      </c>
      <c r="H1069" s="2">
        <v>45845</v>
      </c>
      <c r="I1069" s="1" t="s">
        <v>82</v>
      </c>
      <c r="J1069">
        <v>3</v>
      </c>
      <c r="K1069">
        <v>4</v>
      </c>
      <c r="L1069">
        <v>10</v>
      </c>
      <c r="M1069" s="1" t="s">
        <v>24</v>
      </c>
      <c r="N1069" s="2">
        <v>45839</v>
      </c>
      <c r="O1069">
        <v>2025</v>
      </c>
      <c r="P1069">
        <v>3</v>
      </c>
      <c r="Q1069" s="1" t="s">
        <v>24</v>
      </c>
    </row>
    <row r="1070" spans="1:17" x14ac:dyDescent="0.3">
      <c r="A1070" s="1" t="s">
        <v>1135</v>
      </c>
      <c r="B1070" s="1" t="s">
        <v>63</v>
      </c>
      <c r="C1070" s="1" t="s">
        <v>89</v>
      </c>
      <c r="D1070" s="1" t="s">
        <v>51</v>
      </c>
      <c r="E1070" s="1" t="s">
        <v>37</v>
      </c>
      <c r="F1070" s="1" t="s">
        <v>38</v>
      </c>
      <c r="G1070" s="2">
        <v>45925</v>
      </c>
      <c r="H1070" s="2"/>
      <c r="I1070" s="1" t="s">
        <v>39</v>
      </c>
      <c r="L1070">
        <v>10</v>
      </c>
      <c r="M1070" s="1" t="s">
        <v>40</v>
      </c>
      <c r="N1070" s="2">
        <v>45901</v>
      </c>
      <c r="O1070">
        <v>2025</v>
      </c>
      <c r="P1070">
        <v>3</v>
      </c>
      <c r="Q1070" s="1" t="s">
        <v>33</v>
      </c>
    </row>
    <row r="1071" spans="1:17" x14ac:dyDescent="0.3">
      <c r="A1071" s="1" t="s">
        <v>1136</v>
      </c>
      <c r="B1071" s="1" t="s">
        <v>18</v>
      </c>
      <c r="C1071" s="1" t="s">
        <v>56</v>
      </c>
      <c r="D1071" s="1" t="s">
        <v>51</v>
      </c>
      <c r="E1071" s="1" t="s">
        <v>21</v>
      </c>
      <c r="F1071" s="1" t="s">
        <v>61</v>
      </c>
      <c r="G1071" s="2">
        <v>45682</v>
      </c>
      <c r="H1071" s="2">
        <v>45690</v>
      </c>
      <c r="I1071" s="1" t="s">
        <v>32</v>
      </c>
      <c r="J1071">
        <v>5</v>
      </c>
      <c r="K1071">
        <v>8</v>
      </c>
      <c r="L1071">
        <v>10</v>
      </c>
      <c r="M1071" s="1" t="s">
        <v>24</v>
      </c>
      <c r="N1071" s="2">
        <v>45658</v>
      </c>
      <c r="O1071">
        <v>2025</v>
      </c>
      <c r="P1071">
        <v>1</v>
      </c>
      <c r="Q1071" s="1" t="s">
        <v>24</v>
      </c>
    </row>
    <row r="1072" spans="1:17" x14ac:dyDescent="0.3">
      <c r="A1072" s="1" t="s">
        <v>1137</v>
      </c>
      <c r="B1072" s="1" t="s">
        <v>63</v>
      </c>
      <c r="C1072" s="1" t="s">
        <v>64</v>
      </c>
      <c r="D1072" s="1" t="s">
        <v>20</v>
      </c>
      <c r="E1072" s="1" t="s">
        <v>21</v>
      </c>
      <c r="F1072" s="1" t="s">
        <v>38</v>
      </c>
      <c r="G1072" s="2">
        <v>45665</v>
      </c>
      <c r="H1072" s="2">
        <v>45673</v>
      </c>
      <c r="I1072" s="1" t="s">
        <v>28</v>
      </c>
      <c r="J1072">
        <v>5</v>
      </c>
      <c r="K1072">
        <v>8</v>
      </c>
      <c r="L1072">
        <v>14</v>
      </c>
      <c r="M1072" s="1" t="s">
        <v>24</v>
      </c>
      <c r="N1072" s="2">
        <v>45658</v>
      </c>
      <c r="O1072">
        <v>2025</v>
      </c>
      <c r="P1072">
        <v>1</v>
      </c>
      <c r="Q1072" s="1" t="s">
        <v>24</v>
      </c>
    </row>
    <row r="1073" spans="1:17" x14ac:dyDescent="0.3">
      <c r="A1073" s="1" t="s">
        <v>1138</v>
      </c>
      <c r="B1073" s="1" t="s">
        <v>42</v>
      </c>
      <c r="C1073" s="1" t="s">
        <v>76</v>
      </c>
      <c r="D1073" s="1" t="s">
        <v>44</v>
      </c>
      <c r="E1073" s="1" t="s">
        <v>21</v>
      </c>
      <c r="F1073" s="1" t="s">
        <v>52</v>
      </c>
      <c r="G1073" s="2">
        <v>45920</v>
      </c>
      <c r="H1073" s="2">
        <v>45921</v>
      </c>
      <c r="I1073" s="1" t="s">
        <v>82</v>
      </c>
      <c r="J1073">
        <v>5</v>
      </c>
      <c r="K1073">
        <v>1</v>
      </c>
      <c r="L1073">
        <v>7</v>
      </c>
      <c r="M1073" s="1" t="s">
        <v>24</v>
      </c>
      <c r="N1073" s="2">
        <v>45901</v>
      </c>
      <c r="O1073">
        <v>2025</v>
      </c>
      <c r="P1073">
        <v>3</v>
      </c>
      <c r="Q1073" s="1" t="s">
        <v>24</v>
      </c>
    </row>
    <row r="1074" spans="1:17" x14ac:dyDescent="0.3">
      <c r="A1074" s="1" t="s">
        <v>1139</v>
      </c>
      <c r="B1074" s="1" t="s">
        <v>18</v>
      </c>
      <c r="C1074" s="1" t="s">
        <v>47</v>
      </c>
      <c r="D1074" s="1" t="s">
        <v>51</v>
      </c>
      <c r="E1074" s="1" t="s">
        <v>48</v>
      </c>
      <c r="F1074" s="1" t="s">
        <v>31</v>
      </c>
      <c r="G1074" s="2">
        <v>45860</v>
      </c>
      <c r="H1074" s="2"/>
      <c r="I1074" s="1" t="s">
        <v>23</v>
      </c>
      <c r="L1074">
        <v>10</v>
      </c>
      <c r="M1074" s="1" t="s">
        <v>40</v>
      </c>
      <c r="N1074" s="2">
        <v>45839</v>
      </c>
      <c r="O1074">
        <v>2025</v>
      </c>
      <c r="P1074">
        <v>3</v>
      </c>
      <c r="Q1074" s="1" t="s">
        <v>33</v>
      </c>
    </row>
    <row r="1075" spans="1:17" x14ac:dyDescent="0.3">
      <c r="A1075" s="1" t="s">
        <v>1140</v>
      </c>
      <c r="B1075" s="1" t="s">
        <v>63</v>
      </c>
      <c r="C1075" s="1" t="s">
        <v>64</v>
      </c>
      <c r="D1075" s="1" t="s">
        <v>20</v>
      </c>
      <c r="E1075" s="1" t="s">
        <v>21</v>
      </c>
      <c r="F1075" s="1" t="s">
        <v>38</v>
      </c>
      <c r="G1075" s="2">
        <v>45665</v>
      </c>
      <c r="H1075" s="2">
        <v>45674</v>
      </c>
      <c r="I1075" s="1" t="s">
        <v>39</v>
      </c>
      <c r="J1075">
        <v>4</v>
      </c>
      <c r="K1075">
        <v>9</v>
      </c>
      <c r="L1075">
        <v>14</v>
      </c>
      <c r="M1075" s="1" t="s">
        <v>24</v>
      </c>
      <c r="N1075" s="2">
        <v>45658</v>
      </c>
      <c r="O1075">
        <v>2025</v>
      </c>
      <c r="P1075">
        <v>1</v>
      </c>
      <c r="Q1075" s="1" t="s">
        <v>24</v>
      </c>
    </row>
    <row r="1076" spans="1:17" x14ac:dyDescent="0.3">
      <c r="A1076" s="1" t="s">
        <v>1141</v>
      </c>
      <c r="B1076" s="1" t="s">
        <v>63</v>
      </c>
      <c r="C1076" s="1" t="s">
        <v>89</v>
      </c>
      <c r="D1076" s="1" t="s">
        <v>20</v>
      </c>
      <c r="E1076" s="1" t="s">
        <v>21</v>
      </c>
      <c r="F1076" s="1" t="s">
        <v>38</v>
      </c>
      <c r="G1076" s="2">
        <v>45800</v>
      </c>
      <c r="H1076" s="2">
        <v>45813</v>
      </c>
      <c r="I1076" s="1" t="s">
        <v>23</v>
      </c>
      <c r="J1076">
        <v>4</v>
      </c>
      <c r="K1076">
        <v>13</v>
      </c>
      <c r="L1076">
        <v>14</v>
      </c>
      <c r="M1076" s="1" t="s">
        <v>24</v>
      </c>
      <c r="N1076" s="2">
        <v>45778</v>
      </c>
      <c r="O1076">
        <v>2025</v>
      </c>
      <c r="P1076">
        <v>2</v>
      </c>
      <c r="Q1076" s="1" t="s">
        <v>24</v>
      </c>
    </row>
    <row r="1077" spans="1:17" x14ac:dyDescent="0.3">
      <c r="A1077" s="1" t="s">
        <v>1142</v>
      </c>
      <c r="B1077" s="1" t="s">
        <v>63</v>
      </c>
      <c r="C1077" s="1" t="s">
        <v>89</v>
      </c>
      <c r="D1077" s="1" t="s">
        <v>51</v>
      </c>
      <c r="E1077" s="1" t="s">
        <v>21</v>
      </c>
      <c r="F1077" s="1" t="s">
        <v>22</v>
      </c>
      <c r="G1077" s="2">
        <v>45710</v>
      </c>
      <c r="H1077" s="2">
        <v>45720</v>
      </c>
      <c r="I1077" s="1" t="s">
        <v>28</v>
      </c>
      <c r="J1077">
        <v>5</v>
      </c>
      <c r="K1077">
        <v>10</v>
      </c>
      <c r="L1077">
        <v>10</v>
      </c>
      <c r="M1077" s="1" t="s">
        <v>24</v>
      </c>
      <c r="N1077" s="2">
        <v>45689</v>
      </c>
      <c r="O1077">
        <v>2025</v>
      </c>
      <c r="P1077">
        <v>1</v>
      </c>
      <c r="Q1077" s="1" t="s">
        <v>24</v>
      </c>
    </row>
    <row r="1078" spans="1:17" x14ac:dyDescent="0.3">
      <c r="A1078" s="1" t="s">
        <v>1143</v>
      </c>
      <c r="B1078" s="1" t="s">
        <v>35</v>
      </c>
      <c r="C1078" s="1" t="s">
        <v>99</v>
      </c>
      <c r="D1078" s="1" t="s">
        <v>51</v>
      </c>
      <c r="E1078" s="1" t="s">
        <v>48</v>
      </c>
      <c r="F1078" s="1" t="s">
        <v>31</v>
      </c>
      <c r="G1078" s="2">
        <v>46014</v>
      </c>
      <c r="H1078" s="2"/>
      <c r="I1078" s="1" t="s">
        <v>28</v>
      </c>
      <c r="L1078">
        <v>10</v>
      </c>
      <c r="M1078" s="1" t="s">
        <v>40</v>
      </c>
      <c r="N1078" s="2">
        <v>45992</v>
      </c>
      <c r="O1078">
        <v>2025</v>
      </c>
      <c r="P1078">
        <v>4</v>
      </c>
      <c r="Q1078" s="1" t="s">
        <v>33</v>
      </c>
    </row>
    <row r="1079" spans="1:17" x14ac:dyDescent="0.3">
      <c r="A1079" s="1" t="s">
        <v>1144</v>
      </c>
      <c r="B1079" s="1" t="s">
        <v>35</v>
      </c>
      <c r="C1079" s="1" t="s">
        <v>36</v>
      </c>
      <c r="D1079" s="1" t="s">
        <v>51</v>
      </c>
      <c r="E1079" s="1" t="s">
        <v>48</v>
      </c>
      <c r="F1079" s="1" t="s">
        <v>31</v>
      </c>
      <c r="G1079" s="2">
        <v>45820</v>
      </c>
      <c r="H1079" s="2"/>
      <c r="I1079" s="1" t="s">
        <v>23</v>
      </c>
      <c r="L1079">
        <v>10</v>
      </c>
      <c r="M1079" s="1" t="s">
        <v>40</v>
      </c>
      <c r="N1079" s="2">
        <v>45809</v>
      </c>
      <c r="O1079">
        <v>2025</v>
      </c>
      <c r="P1079">
        <v>2</v>
      </c>
      <c r="Q1079" s="1" t="s">
        <v>33</v>
      </c>
    </row>
    <row r="1080" spans="1:17" x14ac:dyDescent="0.3">
      <c r="A1080" s="1" t="s">
        <v>1145</v>
      </c>
      <c r="B1080" s="1" t="s">
        <v>35</v>
      </c>
      <c r="C1080" s="1" t="s">
        <v>99</v>
      </c>
      <c r="D1080" s="1" t="s">
        <v>51</v>
      </c>
      <c r="E1080" s="1" t="s">
        <v>21</v>
      </c>
      <c r="F1080" s="1" t="s">
        <v>61</v>
      </c>
      <c r="G1080" s="2">
        <v>45853</v>
      </c>
      <c r="H1080" s="2">
        <v>45863</v>
      </c>
      <c r="I1080" s="1" t="s">
        <v>82</v>
      </c>
      <c r="J1080">
        <v>4</v>
      </c>
      <c r="K1080">
        <v>10</v>
      </c>
      <c r="L1080">
        <v>10</v>
      </c>
      <c r="M1080" s="1" t="s">
        <v>24</v>
      </c>
      <c r="N1080" s="2">
        <v>45839</v>
      </c>
      <c r="O1080">
        <v>2025</v>
      </c>
      <c r="P1080">
        <v>3</v>
      </c>
      <c r="Q1080" s="1" t="s">
        <v>24</v>
      </c>
    </row>
    <row r="1081" spans="1:17" x14ac:dyDescent="0.3">
      <c r="A1081" s="1" t="s">
        <v>1146</v>
      </c>
      <c r="B1081" s="1" t="s">
        <v>26</v>
      </c>
      <c r="C1081" s="1" t="s">
        <v>67</v>
      </c>
      <c r="D1081" s="1" t="s">
        <v>20</v>
      </c>
      <c r="E1081" s="1" t="s">
        <v>21</v>
      </c>
      <c r="F1081" s="1" t="s">
        <v>31</v>
      </c>
      <c r="G1081" s="2">
        <v>45721</v>
      </c>
      <c r="H1081" s="2">
        <v>45728</v>
      </c>
      <c r="I1081" s="1" t="s">
        <v>28</v>
      </c>
      <c r="J1081">
        <v>3</v>
      </c>
      <c r="K1081">
        <v>7</v>
      </c>
      <c r="L1081">
        <v>14</v>
      </c>
      <c r="M1081" s="1" t="s">
        <v>24</v>
      </c>
      <c r="N1081" s="2">
        <v>45717</v>
      </c>
      <c r="O1081">
        <v>2025</v>
      </c>
      <c r="P1081">
        <v>1</v>
      </c>
      <c r="Q1081" s="1" t="s">
        <v>24</v>
      </c>
    </row>
    <row r="1082" spans="1:17" x14ac:dyDescent="0.3">
      <c r="A1082" s="1" t="s">
        <v>1147</v>
      </c>
      <c r="B1082" s="1" t="s">
        <v>26</v>
      </c>
      <c r="C1082" s="1" t="s">
        <v>67</v>
      </c>
      <c r="D1082" s="1" t="s">
        <v>20</v>
      </c>
      <c r="E1082" s="1" t="s">
        <v>21</v>
      </c>
      <c r="F1082" s="1" t="s">
        <v>61</v>
      </c>
      <c r="G1082" s="2">
        <v>45809</v>
      </c>
      <c r="H1082" s="2">
        <v>45815</v>
      </c>
      <c r="I1082" s="1" t="s">
        <v>23</v>
      </c>
      <c r="J1082">
        <v>3</v>
      </c>
      <c r="K1082">
        <v>6</v>
      </c>
      <c r="L1082">
        <v>14</v>
      </c>
      <c r="M1082" s="1" t="s">
        <v>24</v>
      </c>
      <c r="N1082" s="2">
        <v>45809</v>
      </c>
      <c r="O1082">
        <v>2025</v>
      </c>
      <c r="P1082">
        <v>2</v>
      </c>
      <c r="Q1082" s="1" t="s">
        <v>24</v>
      </c>
    </row>
    <row r="1083" spans="1:17" x14ac:dyDescent="0.3">
      <c r="A1083" s="1" t="s">
        <v>1148</v>
      </c>
      <c r="B1083" s="1" t="s">
        <v>63</v>
      </c>
      <c r="C1083" s="1" t="s">
        <v>89</v>
      </c>
      <c r="D1083" s="1" t="s">
        <v>44</v>
      </c>
      <c r="E1083" s="1" t="s">
        <v>21</v>
      </c>
      <c r="F1083" s="1" t="s">
        <v>38</v>
      </c>
      <c r="G1083" s="2">
        <v>45800</v>
      </c>
      <c r="H1083" s="2">
        <v>45803</v>
      </c>
      <c r="I1083" s="1" t="s">
        <v>82</v>
      </c>
      <c r="J1083">
        <v>4</v>
      </c>
      <c r="K1083">
        <v>3</v>
      </c>
      <c r="L1083">
        <v>7</v>
      </c>
      <c r="M1083" s="1" t="s">
        <v>24</v>
      </c>
      <c r="N1083" s="2">
        <v>45778</v>
      </c>
      <c r="O1083">
        <v>2025</v>
      </c>
      <c r="P1083">
        <v>2</v>
      </c>
      <c r="Q1083" s="1" t="s">
        <v>24</v>
      </c>
    </row>
    <row r="1084" spans="1:17" x14ac:dyDescent="0.3">
      <c r="A1084" s="1" t="s">
        <v>1149</v>
      </c>
      <c r="B1084" s="1" t="s">
        <v>58</v>
      </c>
      <c r="C1084" s="1" t="s">
        <v>59</v>
      </c>
      <c r="D1084" s="1" t="s">
        <v>44</v>
      </c>
      <c r="E1084" s="1" t="s">
        <v>21</v>
      </c>
      <c r="F1084" s="1" t="s">
        <v>22</v>
      </c>
      <c r="G1084" s="2">
        <v>45827</v>
      </c>
      <c r="H1084" s="2">
        <v>45830</v>
      </c>
      <c r="I1084" s="1" t="s">
        <v>23</v>
      </c>
      <c r="J1084">
        <v>3</v>
      </c>
      <c r="K1084">
        <v>3</v>
      </c>
      <c r="L1084">
        <v>7</v>
      </c>
      <c r="M1084" s="1" t="s">
        <v>24</v>
      </c>
      <c r="N1084" s="2">
        <v>45809</v>
      </c>
      <c r="O1084">
        <v>2025</v>
      </c>
      <c r="P1084">
        <v>2</v>
      </c>
      <c r="Q1084" s="1" t="s">
        <v>24</v>
      </c>
    </row>
    <row r="1085" spans="1:17" x14ac:dyDescent="0.3">
      <c r="A1085" s="1" t="s">
        <v>1150</v>
      </c>
      <c r="B1085" s="1" t="s">
        <v>18</v>
      </c>
      <c r="C1085" s="1" t="s">
        <v>47</v>
      </c>
      <c r="D1085" s="1" t="s">
        <v>44</v>
      </c>
      <c r="E1085" s="1" t="s">
        <v>21</v>
      </c>
      <c r="F1085" s="1" t="s">
        <v>22</v>
      </c>
      <c r="G1085" s="2">
        <v>45771</v>
      </c>
      <c r="H1085" s="2">
        <v>45776</v>
      </c>
      <c r="I1085" s="1" t="s">
        <v>32</v>
      </c>
      <c r="J1085">
        <v>5</v>
      </c>
      <c r="K1085">
        <v>5</v>
      </c>
      <c r="L1085">
        <v>7</v>
      </c>
      <c r="M1085" s="1" t="s">
        <v>24</v>
      </c>
      <c r="N1085" s="2">
        <v>45748</v>
      </c>
      <c r="O1085">
        <v>2025</v>
      </c>
      <c r="P1085">
        <v>2</v>
      </c>
      <c r="Q1085" s="1" t="s">
        <v>24</v>
      </c>
    </row>
    <row r="1086" spans="1:17" x14ac:dyDescent="0.3">
      <c r="A1086" s="1" t="s">
        <v>1151</v>
      </c>
      <c r="B1086" s="1" t="s">
        <v>63</v>
      </c>
      <c r="C1086" s="1" t="s">
        <v>89</v>
      </c>
      <c r="D1086" s="1" t="s">
        <v>51</v>
      </c>
      <c r="E1086" s="1" t="s">
        <v>21</v>
      </c>
      <c r="F1086" s="1" t="s">
        <v>38</v>
      </c>
      <c r="G1086" s="2">
        <v>45909</v>
      </c>
      <c r="H1086" s="2">
        <v>45912</v>
      </c>
      <c r="I1086" s="1" t="s">
        <v>28</v>
      </c>
      <c r="J1086">
        <v>5</v>
      </c>
      <c r="K1086">
        <v>3</v>
      </c>
      <c r="L1086">
        <v>10</v>
      </c>
      <c r="M1086" s="1" t="s">
        <v>24</v>
      </c>
      <c r="N1086" s="2">
        <v>45901</v>
      </c>
      <c r="O1086">
        <v>2025</v>
      </c>
      <c r="P1086">
        <v>3</v>
      </c>
      <c r="Q1086" s="1" t="s">
        <v>24</v>
      </c>
    </row>
    <row r="1087" spans="1:17" x14ac:dyDescent="0.3">
      <c r="A1087" s="1" t="s">
        <v>1152</v>
      </c>
      <c r="B1087" s="1" t="s">
        <v>63</v>
      </c>
      <c r="C1087" s="1" t="s">
        <v>64</v>
      </c>
      <c r="D1087" s="1" t="s">
        <v>20</v>
      </c>
      <c r="E1087" s="1" t="s">
        <v>21</v>
      </c>
      <c r="F1087" s="1" t="s">
        <v>31</v>
      </c>
      <c r="G1087" s="2">
        <v>45762</v>
      </c>
      <c r="H1087" s="2">
        <v>45768</v>
      </c>
      <c r="I1087" s="1" t="s">
        <v>39</v>
      </c>
      <c r="J1087">
        <v>4</v>
      </c>
      <c r="K1087">
        <v>6</v>
      </c>
      <c r="L1087">
        <v>14</v>
      </c>
      <c r="M1087" s="1" t="s">
        <v>24</v>
      </c>
      <c r="N1087" s="2">
        <v>45748</v>
      </c>
      <c r="O1087">
        <v>2025</v>
      </c>
      <c r="P1087">
        <v>2</v>
      </c>
      <c r="Q1087" s="1" t="s">
        <v>24</v>
      </c>
    </row>
    <row r="1088" spans="1:17" x14ac:dyDescent="0.3">
      <c r="A1088" s="1" t="s">
        <v>1153</v>
      </c>
      <c r="B1088" s="1" t="s">
        <v>35</v>
      </c>
      <c r="C1088" s="1" t="s">
        <v>36</v>
      </c>
      <c r="D1088" s="1" t="s">
        <v>44</v>
      </c>
      <c r="E1088" s="1" t="s">
        <v>21</v>
      </c>
      <c r="F1088" s="1" t="s">
        <v>52</v>
      </c>
      <c r="G1088" s="2">
        <v>45748</v>
      </c>
      <c r="H1088" s="2">
        <v>45753</v>
      </c>
      <c r="I1088" s="1" t="s">
        <v>82</v>
      </c>
      <c r="J1088">
        <v>3</v>
      </c>
      <c r="K1088">
        <v>5</v>
      </c>
      <c r="L1088">
        <v>7</v>
      </c>
      <c r="M1088" s="1" t="s">
        <v>24</v>
      </c>
      <c r="N1088" s="2">
        <v>45748</v>
      </c>
      <c r="O1088">
        <v>2025</v>
      </c>
      <c r="P1088">
        <v>2</v>
      </c>
      <c r="Q1088" s="1" t="s">
        <v>24</v>
      </c>
    </row>
    <row r="1089" spans="1:17" x14ac:dyDescent="0.3">
      <c r="A1089" s="1" t="s">
        <v>1154</v>
      </c>
      <c r="B1089" s="1" t="s">
        <v>58</v>
      </c>
      <c r="C1089" s="1" t="s">
        <v>108</v>
      </c>
      <c r="D1089" s="1" t="s">
        <v>51</v>
      </c>
      <c r="E1089" s="1" t="s">
        <v>37</v>
      </c>
      <c r="F1089" s="1" t="s">
        <v>52</v>
      </c>
      <c r="G1089" s="2">
        <v>45698</v>
      </c>
      <c r="H1089" s="2"/>
      <c r="I1089" s="1" t="s">
        <v>39</v>
      </c>
      <c r="L1089">
        <v>10</v>
      </c>
      <c r="M1089" s="1" t="s">
        <v>40</v>
      </c>
      <c r="N1089" s="2">
        <v>45689</v>
      </c>
      <c r="O1089">
        <v>2025</v>
      </c>
      <c r="P1089">
        <v>1</v>
      </c>
      <c r="Q1089" s="1" t="s">
        <v>33</v>
      </c>
    </row>
    <row r="1090" spans="1:17" x14ac:dyDescent="0.3">
      <c r="A1090" s="1" t="s">
        <v>1155</v>
      </c>
      <c r="B1090" s="1" t="s">
        <v>58</v>
      </c>
      <c r="C1090" s="1" t="s">
        <v>108</v>
      </c>
      <c r="D1090" s="1" t="s">
        <v>51</v>
      </c>
      <c r="E1090" s="1" t="s">
        <v>21</v>
      </c>
      <c r="F1090" s="1" t="s">
        <v>31</v>
      </c>
      <c r="G1090" s="2">
        <v>45970</v>
      </c>
      <c r="H1090" s="2">
        <v>45978</v>
      </c>
      <c r="I1090" s="1" t="s">
        <v>23</v>
      </c>
      <c r="J1090">
        <v>5</v>
      </c>
      <c r="K1090">
        <v>8</v>
      </c>
      <c r="L1090">
        <v>10</v>
      </c>
      <c r="M1090" s="1" t="s">
        <v>24</v>
      </c>
      <c r="N1090" s="2">
        <v>45962</v>
      </c>
      <c r="O1090">
        <v>2025</v>
      </c>
      <c r="P1090">
        <v>4</v>
      </c>
      <c r="Q1090" s="1" t="s">
        <v>24</v>
      </c>
    </row>
    <row r="1091" spans="1:17" x14ac:dyDescent="0.3">
      <c r="A1091" s="1" t="s">
        <v>1156</v>
      </c>
      <c r="B1091" s="1" t="s">
        <v>58</v>
      </c>
      <c r="C1091" s="1" t="s">
        <v>145</v>
      </c>
      <c r="D1091" s="1" t="s">
        <v>44</v>
      </c>
      <c r="E1091" s="1" t="s">
        <v>37</v>
      </c>
      <c r="F1091" s="1" t="s">
        <v>22</v>
      </c>
      <c r="G1091" s="2">
        <v>45811</v>
      </c>
      <c r="H1091" s="2"/>
      <c r="I1091" s="1" t="s">
        <v>82</v>
      </c>
      <c r="L1091">
        <v>7</v>
      </c>
      <c r="M1091" s="1" t="s">
        <v>40</v>
      </c>
      <c r="N1091" s="2">
        <v>45809</v>
      </c>
      <c r="O1091">
        <v>2025</v>
      </c>
      <c r="P1091">
        <v>2</v>
      </c>
      <c r="Q1091" s="1" t="s">
        <v>33</v>
      </c>
    </row>
    <row r="1092" spans="1:17" x14ac:dyDescent="0.3">
      <c r="A1092" s="1" t="s">
        <v>1157</v>
      </c>
      <c r="B1092" s="1" t="s">
        <v>63</v>
      </c>
      <c r="C1092" s="1" t="s">
        <v>64</v>
      </c>
      <c r="D1092" s="1" t="s">
        <v>51</v>
      </c>
      <c r="E1092" s="1" t="s">
        <v>21</v>
      </c>
      <c r="F1092" s="1" t="s">
        <v>22</v>
      </c>
      <c r="G1092" s="2">
        <v>45890</v>
      </c>
      <c r="H1092" s="2">
        <v>45896</v>
      </c>
      <c r="I1092" s="1" t="s">
        <v>39</v>
      </c>
      <c r="J1092">
        <v>4</v>
      </c>
      <c r="K1092">
        <v>6</v>
      </c>
      <c r="L1092">
        <v>10</v>
      </c>
      <c r="M1092" s="1" t="s">
        <v>24</v>
      </c>
      <c r="N1092" s="2">
        <v>45870</v>
      </c>
      <c r="O1092">
        <v>2025</v>
      </c>
      <c r="P1092">
        <v>3</v>
      </c>
      <c r="Q1092" s="1" t="s">
        <v>24</v>
      </c>
    </row>
    <row r="1093" spans="1:17" x14ac:dyDescent="0.3">
      <c r="A1093" s="1" t="s">
        <v>1158</v>
      </c>
      <c r="B1093" s="1" t="s">
        <v>42</v>
      </c>
      <c r="C1093" s="1" t="s">
        <v>43</v>
      </c>
      <c r="D1093" s="1" t="s">
        <v>20</v>
      </c>
      <c r="E1093" s="1" t="s">
        <v>21</v>
      </c>
      <c r="F1093" s="1" t="s">
        <v>22</v>
      </c>
      <c r="G1093" s="2">
        <v>45737</v>
      </c>
      <c r="H1093" s="2">
        <v>45743</v>
      </c>
      <c r="I1093" s="1" t="s">
        <v>32</v>
      </c>
      <c r="J1093">
        <v>1</v>
      </c>
      <c r="K1093">
        <v>6</v>
      </c>
      <c r="L1093">
        <v>14</v>
      </c>
      <c r="M1093" s="1" t="s">
        <v>24</v>
      </c>
      <c r="N1093" s="2">
        <v>45717</v>
      </c>
      <c r="O1093">
        <v>2025</v>
      </c>
      <c r="P1093">
        <v>1</v>
      </c>
      <c r="Q1093" s="1" t="s">
        <v>24</v>
      </c>
    </row>
    <row r="1094" spans="1:17" x14ac:dyDescent="0.3">
      <c r="A1094" s="1" t="s">
        <v>1159</v>
      </c>
      <c r="B1094" s="1" t="s">
        <v>58</v>
      </c>
      <c r="C1094" s="1" t="s">
        <v>145</v>
      </c>
      <c r="D1094" s="1" t="s">
        <v>44</v>
      </c>
      <c r="E1094" s="1" t="s">
        <v>48</v>
      </c>
      <c r="F1094" s="1" t="s">
        <v>31</v>
      </c>
      <c r="G1094" s="2">
        <v>45849</v>
      </c>
      <c r="H1094" s="2"/>
      <c r="I1094" s="1" t="s">
        <v>39</v>
      </c>
      <c r="L1094">
        <v>7</v>
      </c>
      <c r="M1094" s="1" t="s">
        <v>40</v>
      </c>
      <c r="N1094" s="2">
        <v>45839</v>
      </c>
      <c r="O1094">
        <v>2025</v>
      </c>
      <c r="P1094">
        <v>3</v>
      </c>
      <c r="Q1094" s="1" t="s">
        <v>33</v>
      </c>
    </row>
    <row r="1095" spans="1:17" x14ac:dyDescent="0.3">
      <c r="A1095" s="1" t="s">
        <v>1160</v>
      </c>
      <c r="B1095" s="1" t="s">
        <v>35</v>
      </c>
      <c r="C1095" s="1" t="s">
        <v>99</v>
      </c>
      <c r="D1095" s="1" t="s">
        <v>51</v>
      </c>
      <c r="E1095" s="1" t="s">
        <v>21</v>
      </c>
      <c r="F1095" s="1" t="s">
        <v>61</v>
      </c>
      <c r="G1095" s="2">
        <v>45721</v>
      </c>
      <c r="H1095" s="2">
        <v>45729</v>
      </c>
      <c r="I1095" s="1" t="s">
        <v>28</v>
      </c>
      <c r="J1095">
        <v>5</v>
      </c>
      <c r="K1095">
        <v>8</v>
      </c>
      <c r="L1095">
        <v>10</v>
      </c>
      <c r="M1095" s="1" t="s">
        <v>24</v>
      </c>
      <c r="N1095" s="2">
        <v>45717</v>
      </c>
      <c r="O1095">
        <v>2025</v>
      </c>
      <c r="P1095">
        <v>1</v>
      </c>
      <c r="Q1095" s="1" t="s">
        <v>24</v>
      </c>
    </row>
    <row r="1096" spans="1:17" x14ac:dyDescent="0.3">
      <c r="A1096" s="1" t="s">
        <v>1161</v>
      </c>
      <c r="B1096" s="1" t="s">
        <v>58</v>
      </c>
      <c r="C1096" s="1" t="s">
        <v>59</v>
      </c>
      <c r="D1096" s="1" t="s">
        <v>44</v>
      </c>
      <c r="E1096" s="1" t="s">
        <v>37</v>
      </c>
      <c r="F1096" s="1" t="s">
        <v>22</v>
      </c>
      <c r="G1096" s="2">
        <v>45836</v>
      </c>
      <c r="H1096" s="2"/>
      <c r="I1096" s="1" t="s">
        <v>39</v>
      </c>
      <c r="L1096">
        <v>7</v>
      </c>
      <c r="M1096" s="1" t="s">
        <v>40</v>
      </c>
      <c r="N1096" s="2">
        <v>45809</v>
      </c>
      <c r="O1096">
        <v>2025</v>
      </c>
      <c r="P1096">
        <v>2</v>
      </c>
      <c r="Q1096" s="1" t="s">
        <v>33</v>
      </c>
    </row>
    <row r="1097" spans="1:17" x14ac:dyDescent="0.3">
      <c r="A1097" s="1" t="s">
        <v>1162</v>
      </c>
      <c r="B1097" s="1" t="s">
        <v>18</v>
      </c>
      <c r="C1097" s="1" t="s">
        <v>56</v>
      </c>
      <c r="D1097" s="1" t="s">
        <v>51</v>
      </c>
      <c r="E1097" s="1" t="s">
        <v>21</v>
      </c>
      <c r="F1097" s="1" t="s">
        <v>38</v>
      </c>
      <c r="G1097" s="2">
        <v>45875</v>
      </c>
      <c r="H1097" s="2">
        <v>45880</v>
      </c>
      <c r="I1097" s="1" t="s">
        <v>32</v>
      </c>
      <c r="J1097">
        <v>3</v>
      </c>
      <c r="K1097">
        <v>5</v>
      </c>
      <c r="L1097">
        <v>10</v>
      </c>
      <c r="M1097" s="1" t="s">
        <v>24</v>
      </c>
      <c r="N1097" s="2">
        <v>45870</v>
      </c>
      <c r="O1097">
        <v>2025</v>
      </c>
      <c r="P1097">
        <v>3</v>
      </c>
      <c r="Q1097" s="1" t="s">
        <v>24</v>
      </c>
    </row>
    <row r="1098" spans="1:17" x14ac:dyDescent="0.3">
      <c r="A1098" s="1" t="s">
        <v>1163</v>
      </c>
      <c r="B1098" s="1" t="s">
        <v>18</v>
      </c>
      <c r="C1098" s="1" t="s">
        <v>19</v>
      </c>
      <c r="D1098" s="1" t="s">
        <v>51</v>
      </c>
      <c r="E1098" s="1" t="s">
        <v>21</v>
      </c>
      <c r="F1098" s="1" t="s">
        <v>61</v>
      </c>
      <c r="G1098" s="2">
        <v>45791</v>
      </c>
      <c r="H1098" s="2">
        <v>45800</v>
      </c>
      <c r="I1098" s="1" t="s">
        <v>32</v>
      </c>
      <c r="J1098">
        <v>5</v>
      </c>
      <c r="K1098">
        <v>9</v>
      </c>
      <c r="L1098">
        <v>10</v>
      </c>
      <c r="M1098" s="1" t="s">
        <v>24</v>
      </c>
      <c r="N1098" s="2">
        <v>45778</v>
      </c>
      <c r="O1098">
        <v>2025</v>
      </c>
      <c r="P1098">
        <v>2</v>
      </c>
      <c r="Q1098" s="1" t="s">
        <v>24</v>
      </c>
    </row>
    <row r="1099" spans="1:17" x14ac:dyDescent="0.3">
      <c r="A1099" s="1" t="s">
        <v>1164</v>
      </c>
      <c r="B1099" s="1" t="s">
        <v>63</v>
      </c>
      <c r="C1099" s="1" t="s">
        <v>64</v>
      </c>
      <c r="D1099" s="1" t="s">
        <v>20</v>
      </c>
      <c r="E1099" s="1" t="s">
        <v>37</v>
      </c>
      <c r="F1099" s="1" t="s">
        <v>31</v>
      </c>
      <c r="G1099" s="2">
        <v>45987</v>
      </c>
      <c r="H1099" s="2"/>
      <c r="I1099" s="1" t="s">
        <v>39</v>
      </c>
      <c r="L1099">
        <v>14</v>
      </c>
      <c r="M1099" s="1" t="s">
        <v>40</v>
      </c>
      <c r="N1099" s="2">
        <v>45962</v>
      </c>
      <c r="O1099">
        <v>2025</v>
      </c>
      <c r="P1099">
        <v>4</v>
      </c>
      <c r="Q1099" s="1" t="s">
        <v>33</v>
      </c>
    </row>
    <row r="1100" spans="1:17" x14ac:dyDescent="0.3">
      <c r="A1100" s="1" t="s">
        <v>1165</v>
      </c>
      <c r="B1100" s="1" t="s">
        <v>18</v>
      </c>
      <c r="C1100" s="1" t="s">
        <v>19</v>
      </c>
      <c r="D1100" s="1" t="s">
        <v>51</v>
      </c>
      <c r="E1100" s="1" t="s">
        <v>21</v>
      </c>
      <c r="F1100" s="1" t="s">
        <v>52</v>
      </c>
      <c r="G1100" s="2">
        <v>45874</v>
      </c>
      <c r="H1100" s="2">
        <v>45878</v>
      </c>
      <c r="I1100" s="1" t="s">
        <v>32</v>
      </c>
      <c r="J1100">
        <v>5</v>
      </c>
      <c r="K1100">
        <v>4</v>
      </c>
      <c r="L1100">
        <v>10</v>
      </c>
      <c r="M1100" s="1" t="s">
        <v>24</v>
      </c>
      <c r="N1100" s="2">
        <v>45870</v>
      </c>
      <c r="O1100">
        <v>2025</v>
      </c>
      <c r="P1100">
        <v>3</v>
      </c>
      <c r="Q1100" s="1" t="s">
        <v>24</v>
      </c>
    </row>
    <row r="1101" spans="1:17" x14ac:dyDescent="0.3">
      <c r="A1101" s="1" t="s">
        <v>1166</v>
      </c>
      <c r="B1101" s="1" t="s">
        <v>26</v>
      </c>
      <c r="C1101" s="1" t="s">
        <v>27</v>
      </c>
      <c r="D1101" s="1" t="s">
        <v>51</v>
      </c>
      <c r="E1101" s="1" t="s">
        <v>21</v>
      </c>
      <c r="F1101" s="1" t="s">
        <v>52</v>
      </c>
      <c r="G1101" s="2">
        <v>45703</v>
      </c>
      <c r="H1101" s="2">
        <v>45706</v>
      </c>
      <c r="I1101" s="1" t="s">
        <v>28</v>
      </c>
      <c r="J1101">
        <v>4</v>
      </c>
      <c r="K1101">
        <v>3</v>
      </c>
      <c r="L1101">
        <v>10</v>
      </c>
      <c r="M1101" s="1" t="s">
        <v>24</v>
      </c>
      <c r="N1101" s="2">
        <v>45689</v>
      </c>
      <c r="O1101">
        <v>2025</v>
      </c>
      <c r="P1101">
        <v>1</v>
      </c>
      <c r="Q1101" s="1" t="s">
        <v>24</v>
      </c>
    </row>
    <row r="1102" spans="1:17" x14ac:dyDescent="0.3">
      <c r="A1102" s="1" t="s">
        <v>1167</v>
      </c>
      <c r="B1102" s="1" t="s">
        <v>35</v>
      </c>
      <c r="C1102" s="1" t="s">
        <v>36</v>
      </c>
      <c r="D1102" s="1" t="s">
        <v>44</v>
      </c>
      <c r="E1102" s="1" t="s">
        <v>21</v>
      </c>
      <c r="F1102" s="1" t="s">
        <v>31</v>
      </c>
      <c r="G1102" s="2">
        <v>45815</v>
      </c>
      <c r="H1102" s="2">
        <v>45816</v>
      </c>
      <c r="I1102" s="1" t="s">
        <v>23</v>
      </c>
      <c r="J1102">
        <v>5</v>
      </c>
      <c r="K1102">
        <v>1</v>
      </c>
      <c r="L1102">
        <v>7</v>
      </c>
      <c r="M1102" s="1" t="s">
        <v>24</v>
      </c>
      <c r="N1102" s="2">
        <v>45809</v>
      </c>
      <c r="O1102">
        <v>2025</v>
      </c>
      <c r="P1102">
        <v>2</v>
      </c>
      <c r="Q1102" s="1" t="s">
        <v>24</v>
      </c>
    </row>
    <row r="1103" spans="1:17" x14ac:dyDescent="0.3">
      <c r="A1103" s="1" t="s">
        <v>1168</v>
      </c>
      <c r="B1103" s="1" t="s">
        <v>42</v>
      </c>
      <c r="C1103" s="1" t="s">
        <v>81</v>
      </c>
      <c r="D1103" s="1" t="s">
        <v>44</v>
      </c>
      <c r="E1103" s="1" t="s">
        <v>21</v>
      </c>
      <c r="F1103" s="1" t="s">
        <v>31</v>
      </c>
      <c r="G1103" s="2">
        <v>45871</v>
      </c>
      <c r="H1103" s="2">
        <v>45877</v>
      </c>
      <c r="I1103" s="1" t="s">
        <v>28</v>
      </c>
      <c r="J1103">
        <v>3</v>
      </c>
      <c r="K1103">
        <v>6</v>
      </c>
      <c r="L1103">
        <v>7</v>
      </c>
      <c r="M1103" s="1" t="s">
        <v>24</v>
      </c>
      <c r="N1103" s="2">
        <v>45870</v>
      </c>
      <c r="O1103">
        <v>2025</v>
      </c>
      <c r="P1103">
        <v>3</v>
      </c>
      <c r="Q1103" s="1" t="s">
        <v>24</v>
      </c>
    </row>
    <row r="1104" spans="1:17" x14ac:dyDescent="0.3">
      <c r="A1104" s="1" t="s">
        <v>1169</v>
      </c>
      <c r="B1104" s="1" t="s">
        <v>63</v>
      </c>
      <c r="C1104" s="1" t="s">
        <v>84</v>
      </c>
      <c r="D1104" s="1" t="s">
        <v>20</v>
      </c>
      <c r="E1104" s="1" t="s">
        <v>21</v>
      </c>
      <c r="F1104" s="1" t="s">
        <v>38</v>
      </c>
      <c r="G1104" s="2">
        <v>45907</v>
      </c>
      <c r="H1104" s="2">
        <v>45912</v>
      </c>
      <c r="I1104" s="1" t="s">
        <v>39</v>
      </c>
      <c r="J1104">
        <v>4</v>
      </c>
      <c r="K1104">
        <v>5</v>
      </c>
      <c r="L1104">
        <v>14</v>
      </c>
      <c r="M1104" s="1" t="s">
        <v>24</v>
      </c>
      <c r="N1104" s="2">
        <v>45901</v>
      </c>
      <c r="O1104">
        <v>2025</v>
      </c>
      <c r="P1104">
        <v>3</v>
      </c>
      <c r="Q1104" s="1" t="s">
        <v>24</v>
      </c>
    </row>
    <row r="1105" spans="1:17" x14ac:dyDescent="0.3">
      <c r="A1105" s="1" t="s">
        <v>1170</v>
      </c>
      <c r="B1105" s="1" t="s">
        <v>26</v>
      </c>
      <c r="C1105" s="1" t="s">
        <v>54</v>
      </c>
      <c r="D1105" s="1" t="s">
        <v>20</v>
      </c>
      <c r="E1105" s="1" t="s">
        <v>21</v>
      </c>
      <c r="F1105" s="1" t="s">
        <v>52</v>
      </c>
      <c r="G1105" s="2">
        <v>45751</v>
      </c>
      <c r="H1105" s="2">
        <v>45766</v>
      </c>
      <c r="I1105" s="1" t="s">
        <v>39</v>
      </c>
      <c r="J1105">
        <v>5</v>
      </c>
      <c r="K1105">
        <v>15</v>
      </c>
      <c r="L1105">
        <v>14</v>
      </c>
      <c r="M1105" s="1" t="s">
        <v>33</v>
      </c>
      <c r="N1105" s="2">
        <v>45748</v>
      </c>
      <c r="O1105">
        <v>2025</v>
      </c>
      <c r="P1105">
        <v>2</v>
      </c>
      <c r="Q1105" s="1" t="s">
        <v>24</v>
      </c>
    </row>
    <row r="1106" spans="1:17" x14ac:dyDescent="0.3">
      <c r="A1106" s="1" t="s">
        <v>1171</v>
      </c>
      <c r="B1106" s="1" t="s">
        <v>58</v>
      </c>
      <c r="C1106" s="1" t="s">
        <v>70</v>
      </c>
      <c r="D1106" s="1" t="s">
        <v>44</v>
      </c>
      <c r="E1106" s="1" t="s">
        <v>21</v>
      </c>
      <c r="F1106" s="1" t="s">
        <v>52</v>
      </c>
      <c r="G1106" s="2">
        <v>45808</v>
      </c>
      <c r="H1106" s="2">
        <v>45809</v>
      </c>
      <c r="I1106" s="1" t="s">
        <v>23</v>
      </c>
      <c r="J1106">
        <v>4</v>
      </c>
      <c r="K1106">
        <v>1</v>
      </c>
      <c r="L1106">
        <v>7</v>
      </c>
      <c r="M1106" s="1" t="s">
        <v>24</v>
      </c>
      <c r="N1106" s="2">
        <v>45778</v>
      </c>
      <c r="O1106">
        <v>2025</v>
      </c>
      <c r="P1106">
        <v>2</v>
      </c>
      <c r="Q1106" s="1" t="s">
        <v>24</v>
      </c>
    </row>
    <row r="1107" spans="1:17" x14ac:dyDescent="0.3">
      <c r="A1107" s="1" t="s">
        <v>1172</v>
      </c>
      <c r="B1107" s="1" t="s">
        <v>35</v>
      </c>
      <c r="C1107" s="1" t="s">
        <v>99</v>
      </c>
      <c r="D1107" s="1" t="s">
        <v>51</v>
      </c>
      <c r="E1107" s="1" t="s">
        <v>21</v>
      </c>
      <c r="F1107" s="1" t="s">
        <v>52</v>
      </c>
      <c r="G1107" s="2">
        <v>46002</v>
      </c>
      <c r="H1107" s="2">
        <v>46005</v>
      </c>
      <c r="I1107" s="1" t="s">
        <v>23</v>
      </c>
      <c r="J1107">
        <v>1</v>
      </c>
      <c r="K1107">
        <v>3</v>
      </c>
      <c r="L1107">
        <v>10</v>
      </c>
      <c r="M1107" s="1" t="s">
        <v>24</v>
      </c>
      <c r="N1107" s="2">
        <v>45992</v>
      </c>
      <c r="O1107">
        <v>2025</v>
      </c>
      <c r="P1107">
        <v>4</v>
      </c>
      <c r="Q1107" s="1" t="s">
        <v>24</v>
      </c>
    </row>
    <row r="1108" spans="1:17" x14ac:dyDescent="0.3">
      <c r="A1108" s="1" t="s">
        <v>1173</v>
      </c>
      <c r="B1108" s="1" t="s">
        <v>18</v>
      </c>
      <c r="C1108" s="1" t="s">
        <v>19</v>
      </c>
      <c r="D1108" s="1" t="s">
        <v>20</v>
      </c>
      <c r="E1108" s="1" t="s">
        <v>21</v>
      </c>
      <c r="F1108" s="1" t="s">
        <v>52</v>
      </c>
      <c r="G1108" s="2">
        <v>45661</v>
      </c>
      <c r="H1108" s="2">
        <v>45670</v>
      </c>
      <c r="I1108" s="1" t="s">
        <v>39</v>
      </c>
      <c r="J1108">
        <v>4</v>
      </c>
      <c r="K1108">
        <v>9</v>
      </c>
      <c r="L1108">
        <v>14</v>
      </c>
      <c r="M1108" s="1" t="s">
        <v>24</v>
      </c>
      <c r="N1108" s="2">
        <v>45658</v>
      </c>
      <c r="O1108">
        <v>2025</v>
      </c>
      <c r="P1108">
        <v>1</v>
      </c>
      <c r="Q1108" s="1" t="s">
        <v>24</v>
      </c>
    </row>
    <row r="1109" spans="1:17" x14ac:dyDescent="0.3">
      <c r="A1109" s="1" t="s">
        <v>1174</v>
      </c>
      <c r="B1109" s="1" t="s">
        <v>58</v>
      </c>
      <c r="C1109" s="1" t="s">
        <v>59</v>
      </c>
      <c r="D1109" s="1" t="s">
        <v>51</v>
      </c>
      <c r="E1109" s="1" t="s">
        <v>21</v>
      </c>
      <c r="F1109" s="1" t="s">
        <v>61</v>
      </c>
      <c r="G1109" s="2">
        <v>46007</v>
      </c>
      <c r="H1109" s="2">
        <v>46014</v>
      </c>
      <c r="I1109" s="1" t="s">
        <v>32</v>
      </c>
      <c r="J1109">
        <v>5</v>
      </c>
      <c r="K1109">
        <v>7</v>
      </c>
      <c r="L1109">
        <v>10</v>
      </c>
      <c r="M1109" s="1" t="s">
        <v>24</v>
      </c>
      <c r="N1109" s="2">
        <v>45992</v>
      </c>
      <c r="O1109">
        <v>2025</v>
      </c>
      <c r="P1109">
        <v>4</v>
      </c>
      <c r="Q1109" s="1" t="s">
        <v>24</v>
      </c>
    </row>
    <row r="1110" spans="1:17" x14ac:dyDescent="0.3">
      <c r="A1110" s="1" t="s">
        <v>1175</v>
      </c>
      <c r="B1110" s="1" t="s">
        <v>18</v>
      </c>
      <c r="C1110" s="1" t="s">
        <v>30</v>
      </c>
      <c r="D1110" s="1" t="s">
        <v>51</v>
      </c>
      <c r="E1110" s="1" t="s">
        <v>21</v>
      </c>
      <c r="F1110" s="1" t="s">
        <v>38</v>
      </c>
      <c r="G1110" s="2">
        <v>45840</v>
      </c>
      <c r="H1110" s="2">
        <v>45847</v>
      </c>
      <c r="I1110" s="1" t="s">
        <v>39</v>
      </c>
      <c r="J1110">
        <v>5</v>
      </c>
      <c r="K1110">
        <v>7</v>
      </c>
      <c r="L1110">
        <v>10</v>
      </c>
      <c r="M1110" s="1" t="s">
        <v>24</v>
      </c>
      <c r="N1110" s="2">
        <v>45839</v>
      </c>
      <c r="O1110">
        <v>2025</v>
      </c>
      <c r="P1110">
        <v>3</v>
      </c>
      <c r="Q1110" s="1" t="s">
        <v>24</v>
      </c>
    </row>
    <row r="1111" spans="1:17" x14ac:dyDescent="0.3">
      <c r="A1111" s="1" t="s">
        <v>1176</v>
      </c>
      <c r="B1111" s="1" t="s">
        <v>18</v>
      </c>
      <c r="C1111" s="1" t="s">
        <v>30</v>
      </c>
      <c r="D1111" s="1" t="s">
        <v>44</v>
      </c>
      <c r="E1111" s="1" t="s">
        <v>48</v>
      </c>
      <c r="F1111" s="1" t="s">
        <v>38</v>
      </c>
      <c r="G1111" s="2">
        <v>45729</v>
      </c>
      <c r="H1111" s="2"/>
      <c r="I1111" s="1" t="s">
        <v>82</v>
      </c>
      <c r="L1111">
        <v>7</v>
      </c>
      <c r="M1111" s="1" t="s">
        <v>40</v>
      </c>
      <c r="N1111" s="2">
        <v>45717</v>
      </c>
      <c r="O1111">
        <v>2025</v>
      </c>
      <c r="P1111">
        <v>1</v>
      </c>
      <c r="Q1111" s="1" t="s">
        <v>33</v>
      </c>
    </row>
    <row r="1112" spans="1:17" x14ac:dyDescent="0.3">
      <c r="A1112" s="1" t="s">
        <v>1177</v>
      </c>
      <c r="B1112" s="1" t="s">
        <v>42</v>
      </c>
      <c r="C1112" s="1" t="s">
        <v>43</v>
      </c>
      <c r="D1112" s="1" t="s">
        <v>71</v>
      </c>
      <c r="E1112" s="1" t="s">
        <v>37</v>
      </c>
      <c r="F1112" s="1" t="s">
        <v>52</v>
      </c>
      <c r="G1112" s="2">
        <v>45785</v>
      </c>
      <c r="H1112" s="2"/>
      <c r="I1112" s="1" t="s">
        <v>39</v>
      </c>
      <c r="L1112">
        <v>3</v>
      </c>
      <c r="M1112" s="1" t="s">
        <v>40</v>
      </c>
      <c r="N1112" s="2">
        <v>45778</v>
      </c>
      <c r="O1112">
        <v>2025</v>
      </c>
      <c r="P1112">
        <v>2</v>
      </c>
      <c r="Q1112" s="1" t="s">
        <v>33</v>
      </c>
    </row>
    <row r="1113" spans="1:17" x14ac:dyDescent="0.3">
      <c r="A1113" s="1" t="s">
        <v>1178</v>
      </c>
      <c r="B1113" s="1" t="s">
        <v>26</v>
      </c>
      <c r="C1113" s="1" t="s">
        <v>27</v>
      </c>
      <c r="D1113" s="1" t="s">
        <v>51</v>
      </c>
      <c r="E1113" s="1" t="s">
        <v>21</v>
      </c>
      <c r="F1113" s="1" t="s">
        <v>52</v>
      </c>
      <c r="G1113" s="2">
        <v>45659</v>
      </c>
      <c r="H1113" s="2">
        <v>45666</v>
      </c>
      <c r="I1113" s="1" t="s">
        <v>23</v>
      </c>
      <c r="J1113">
        <v>1</v>
      </c>
      <c r="K1113">
        <v>7</v>
      </c>
      <c r="L1113">
        <v>10</v>
      </c>
      <c r="M1113" s="1" t="s">
        <v>24</v>
      </c>
      <c r="N1113" s="2">
        <v>45658</v>
      </c>
      <c r="O1113">
        <v>2025</v>
      </c>
      <c r="P1113">
        <v>1</v>
      </c>
      <c r="Q1113" s="1" t="s">
        <v>24</v>
      </c>
    </row>
    <row r="1114" spans="1:17" x14ac:dyDescent="0.3">
      <c r="A1114" s="1" t="s">
        <v>1179</v>
      </c>
      <c r="B1114" s="1" t="s">
        <v>18</v>
      </c>
      <c r="C1114" s="1" t="s">
        <v>56</v>
      </c>
      <c r="D1114" s="1" t="s">
        <v>51</v>
      </c>
      <c r="E1114" s="1" t="s">
        <v>21</v>
      </c>
      <c r="F1114" s="1" t="s">
        <v>38</v>
      </c>
      <c r="G1114" s="2">
        <v>45906</v>
      </c>
      <c r="H1114" s="2">
        <v>45914</v>
      </c>
      <c r="I1114" s="1" t="s">
        <v>32</v>
      </c>
      <c r="J1114">
        <v>5</v>
      </c>
      <c r="K1114">
        <v>8</v>
      </c>
      <c r="L1114">
        <v>10</v>
      </c>
      <c r="M1114" s="1" t="s">
        <v>24</v>
      </c>
      <c r="N1114" s="2">
        <v>45901</v>
      </c>
      <c r="O1114">
        <v>2025</v>
      </c>
      <c r="P1114">
        <v>3</v>
      </c>
      <c r="Q1114" s="1" t="s">
        <v>24</v>
      </c>
    </row>
    <row r="1115" spans="1:17" x14ac:dyDescent="0.3">
      <c r="A1115" s="1" t="s">
        <v>1180</v>
      </c>
      <c r="B1115" s="1" t="s">
        <v>58</v>
      </c>
      <c r="C1115" s="1" t="s">
        <v>145</v>
      </c>
      <c r="D1115" s="1" t="s">
        <v>71</v>
      </c>
      <c r="E1115" s="1" t="s">
        <v>37</v>
      </c>
      <c r="F1115" s="1" t="s">
        <v>31</v>
      </c>
      <c r="G1115" s="2">
        <v>45709</v>
      </c>
      <c r="H1115" s="2"/>
      <c r="I1115" s="1" t="s">
        <v>32</v>
      </c>
      <c r="L1115">
        <v>3</v>
      </c>
      <c r="M1115" s="1" t="s">
        <v>40</v>
      </c>
      <c r="N1115" s="2">
        <v>45689</v>
      </c>
      <c r="O1115">
        <v>2025</v>
      </c>
      <c r="P1115">
        <v>1</v>
      </c>
      <c r="Q1115" s="1" t="s">
        <v>33</v>
      </c>
    </row>
    <row r="1116" spans="1:17" x14ac:dyDescent="0.3">
      <c r="A1116" s="1" t="s">
        <v>1181</v>
      </c>
      <c r="B1116" s="1" t="s">
        <v>26</v>
      </c>
      <c r="C1116" s="1" t="s">
        <v>54</v>
      </c>
      <c r="D1116" s="1" t="s">
        <v>44</v>
      </c>
      <c r="E1116" s="1" t="s">
        <v>48</v>
      </c>
      <c r="F1116" s="1" t="s">
        <v>22</v>
      </c>
      <c r="G1116" s="2">
        <v>45950</v>
      </c>
      <c r="H1116" s="2"/>
      <c r="I1116" s="1" t="s">
        <v>23</v>
      </c>
      <c r="L1116">
        <v>7</v>
      </c>
      <c r="M1116" s="1" t="s">
        <v>40</v>
      </c>
      <c r="N1116" s="2">
        <v>45931</v>
      </c>
      <c r="O1116">
        <v>2025</v>
      </c>
      <c r="P1116">
        <v>4</v>
      </c>
      <c r="Q1116" s="1" t="s">
        <v>33</v>
      </c>
    </row>
    <row r="1117" spans="1:17" x14ac:dyDescent="0.3">
      <c r="A1117" s="1" t="s">
        <v>1182</v>
      </c>
      <c r="B1117" s="1" t="s">
        <v>63</v>
      </c>
      <c r="C1117" s="1" t="s">
        <v>89</v>
      </c>
      <c r="D1117" s="1" t="s">
        <v>44</v>
      </c>
      <c r="E1117" s="1" t="s">
        <v>21</v>
      </c>
      <c r="F1117" s="1" t="s">
        <v>31</v>
      </c>
      <c r="G1117" s="2">
        <v>46002</v>
      </c>
      <c r="H1117" s="2">
        <v>46007</v>
      </c>
      <c r="I1117" s="1" t="s">
        <v>28</v>
      </c>
      <c r="J1117">
        <v>5</v>
      </c>
      <c r="K1117">
        <v>5</v>
      </c>
      <c r="L1117">
        <v>7</v>
      </c>
      <c r="M1117" s="1" t="s">
        <v>24</v>
      </c>
      <c r="N1117" s="2">
        <v>45992</v>
      </c>
      <c r="O1117">
        <v>2025</v>
      </c>
      <c r="P1117">
        <v>4</v>
      </c>
      <c r="Q1117" s="1" t="s">
        <v>24</v>
      </c>
    </row>
    <row r="1118" spans="1:17" x14ac:dyDescent="0.3">
      <c r="A1118" s="1" t="s">
        <v>1183</v>
      </c>
      <c r="B1118" s="1" t="s">
        <v>58</v>
      </c>
      <c r="C1118" s="1" t="s">
        <v>70</v>
      </c>
      <c r="D1118" s="1" t="s">
        <v>51</v>
      </c>
      <c r="E1118" s="1" t="s">
        <v>21</v>
      </c>
      <c r="F1118" s="1" t="s">
        <v>38</v>
      </c>
      <c r="G1118" s="2">
        <v>45782</v>
      </c>
      <c r="H1118" s="2">
        <v>45787</v>
      </c>
      <c r="I1118" s="1" t="s">
        <v>23</v>
      </c>
      <c r="J1118">
        <v>3</v>
      </c>
      <c r="K1118">
        <v>5</v>
      </c>
      <c r="L1118">
        <v>10</v>
      </c>
      <c r="M1118" s="1" t="s">
        <v>24</v>
      </c>
      <c r="N1118" s="2">
        <v>45778</v>
      </c>
      <c r="O1118">
        <v>2025</v>
      </c>
      <c r="P1118">
        <v>2</v>
      </c>
      <c r="Q1118" s="1" t="s">
        <v>24</v>
      </c>
    </row>
    <row r="1119" spans="1:17" x14ac:dyDescent="0.3">
      <c r="A1119" s="1" t="s">
        <v>1184</v>
      </c>
      <c r="B1119" s="1" t="s">
        <v>58</v>
      </c>
      <c r="C1119" s="1" t="s">
        <v>70</v>
      </c>
      <c r="D1119" s="1" t="s">
        <v>20</v>
      </c>
      <c r="E1119" s="1" t="s">
        <v>48</v>
      </c>
      <c r="F1119" s="1" t="s">
        <v>52</v>
      </c>
      <c r="G1119" s="2">
        <v>45854</v>
      </c>
      <c r="H1119" s="2"/>
      <c r="I1119" s="1" t="s">
        <v>28</v>
      </c>
      <c r="L1119">
        <v>14</v>
      </c>
      <c r="M1119" s="1" t="s">
        <v>40</v>
      </c>
      <c r="N1119" s="2">
        <v>45839</v>
      </c>
      <c r="O1119">
        <v>2025</v>
      </c>
      <c r="P1119">
        <v>3</v>
      </c>
      <c r="Q1119" s="1" t="s">
        <v>33</v>
      </c>
    </row>
    <row r="1120" spans="1:17" x14ac:dyDescent="0.3">
      <c r="A1120" s="1" t="s">
        <v>1185</v>
      </c>
      <c r="B1120" s="1" t="s">
        <v>18</v>
      </c>
      <c r="C1120" s="1" t="s">
        <v>56</v>
      </c>
      <c r="D1120" s="1" t="s">
        <v>51</v>
      </c>
      <c r="E1120" s="1" t="s">
        <v>48</v>
      </c>
      <c r="F1120" s="1" t="s">
        <v>38</v>
      </c>
      <c r="G1120" s="2">
        <v>46001</v>
      </c>
      <c r="H1120" s="2"/>
      <c r="I1120" s="1" t="s">
        <v>28</v>
      </c>
      <c r="L1120">
        <v>10</v>
      </c>
      <c r="M1120" s="1" t="s">
        <v>40</v>
      </c>
      <c r="N1120" s="2">
        <v>45992</v>
      </c>
      <c r="O1120">
        <v>2025</v>
      </c>
      <c r="P1120">
        <v>4</v>
      </c>
      <c r="Q1120" s="1" t="s">
        <v>33</v>
      </c>
    </row>
    <row r="1121" spans="1:17" x14ac:dyDescent="0.3">
      <c r="A1121" s="1" t="s">
        <v>1186</v>
      </c>
      <c r="B1121" s="1" t="s">
        <v>26</v>
      </c>
      <c r="C1121" s="1" t="s">
        <v>27</v>
      </c>
      <c r="D1121" s="1" t="s">
        <v>20</v>
      </c>
      <c r="E1121" s="1" t="s">
        <v>21</v>
      </c>
      <c r="F1121" s="1" t="s">
        <v>22</v>
      </c>
      <c r="G1121" s="2">
        <v>45772</v>
      </c>
      <c r="H1121" s="2">
        <v>45784</v>
      </c>
      <c r="I1121" s="1" t="s">
        <v>23</v>
      </c>
      <c r="J1121">
        <v>5</v>
      </c>
      <c r="K1121">
        <v>12</v>
      </c>
      <c r="L1121">
        <v>14</v>
      </c>
      <c r="M1121" s="1" t="s">
        <v>24</v>
      </c>
      <c r="N1121" s="2">
        <v>45748</v>
      </c>
      <c r="O1121">
        <v>2025</v>
      </c>
      <c r="P1121">
        <v>2</v>
      </c>
      <c r="Q1121" s="1" t="s">
        <v>24</v>
      </c>
    </row>
    <row r="1122" spans="1:17" x14ac:dyDescent="0.3">
      <c r="A1122" s="1" t="s">
        <v>1187</v>
      </c>
      <c r="B1122" s="1" t="s">
        <v>18</v>
      </c>
      <c r="C1122" s="1" t="s">
        <v>56</v>
      </c>
      <c r="D1122" s="1" t="s">
        <v>51</v>
      </c>
      <c r="E1122" s="1" t="s">
        <v>21</v>
      </c>
      <c r="F1122" s="1" t="s">
        <v>31</v>
      </c>
      <c r="G1122" s="2">
        <v>45853</v>
      </c>
      <c r="H1122" s="2">
        <v>45863</v>
      </c>
      <c r="I1122" s="1" t="s">
        <v>28</v>
      </c>
      <c r="J1122">
        <v>5</v>
      </c>
      <c r="K1122">
        <v>10</v>
      </c>
      <c r="L1122">
        <v>10</v>
      </c>
      <c r="M1122" s="1" t="s">
        <v>24</v>
      </c>
      <c r="N1122" s="2">
        <v>45839</v>
      </c>
      <c r="O1122">
        <v>2025</v>
      </c>
      <c r="P1122">
        <v>3</v>
      </c>
      <c r="Q1122" s="1" t="s">
        <v>24</v>
      </c>
    </row>
    <row r="1123" spans="1:17" x14ac:dyDescent="0.3">
      <c r="A1123" s="1" t="s">
        <v>1188</v>
      </c>
      <c r="B1123" s="1" t="s">
        <v>63</v>
      </c>
      <c r="C1123" s="1" t="s">
        <v>84</v>
      </c>
      <c r="D1123" s="1" t="s">
        <v>20</v>
      </c>
      <c r="E1123" s="1" t="s">
        <v>21</v>
      </c>
      <c r="F1123" s="1" t="s">
        <v>61</v>
      </c>
      <c r="G1123" s="2">
        <v>45703</v>
      </c>
      <c r="H1123" s="2">
        <v>45711</v>
      </c>
      <c r="I1123" s="1" t="s">
        <v>23</v>
      </c>
      <c r="J1123">
        <v>5</v>
      </c>
      <c r="K1123">
        <v>8</v>
      </c>
      <c r="L1123">
        <v>14</v>
      </c>
      <c r="M1123" s="1" t="s">
        <v>24</v>
      </c>
      <c r="N1123" s="2">
        <v>45689</v>
      </c>
      <c r="O1123">
        <v>2025</v>
      </c>
      <c r="P1123">
        <v>1</v>
      </c>
      <c r="Q1123" s="1" t="s">
        <v>24</v>
      </c>
    </row>
    <row r="1124" spans="1:17" x14ac:dyDescent="0.3">
      <c r="A1124" s="1" t="s">
        <v>1189</v>
      </c>
      <c r="B1124" s="1" t="s">
        <v>26</v>
      </c>
      <c r="C1124" s="1" t="s">
        <v>123</v>
      </c>
      <c r="D1124" s="1" t="s">
        <v>20</v>
      </c>
      <c r="E1124" s="1" t="s">
        <v>21</v>
      </c>
      <c r="F1124" s="1" t="s">
        <v>52</v>
      </c>
      <c r="G1124" s="2">
        <v>45852</v>
      </c>
      <c r="H1124" s="2">
        <v>45864</v>
      </c>
      <c r="I1124" s="1" t="s">
        <v>23</v>
      </c>
      <c r="J1124">
        <v>5</v>
      </c>
      <c r="K1124">
        <v>12</v>
      </c>
      <c r="L1124">
        <v>14</v>
      </c>
      <c r="M1124" s="1" t="s">
        <v>24</v>
      </c>
      <c r="N1124" s="2">
        <v>45839</v>
      </c>
      <c r="O1124">
        <v>2025</v>
      </c>
      <c r="P1124">
        <v>3</v>
      </c>
      <c r="Q1124" s="1" t="s">
        <v>24</v>
      </c>
    </row>
    <row r="1125" spans="1:17" x14ac:dyDescent="0.3">
      <c r="A1125" s="1" t="s">
        <v>1190</v>
      </c>
      <c r="B1125" s="1" t="s">
        <v>26</v>
      </c>
      <c r="C1125" s="1" t="s">
        <v>54</v>
      </c>
      <c r="D1125" s="1" t="s">
        <v>44</v>
      </c>
      <c r="E1125" s="1" t="s">
        <v>48</v>
      </c>
      <c r="F1125" s="1" t="s">
        <v>52</v>
      </c>
      <c r="G1125" s="2">
        <v>45821</v>
      </c>
      <c r="H1125" s="2"/>
      <c r="I1125" s="1" t="s">
        <v>28</v>
      </c>
      <c r="L1125">
        <v>7</v>
      </c>
      <c r="M1125" s="1" t="s">
        <v>40</v>
      </c>
      <c r="N1125" s="2">
        <v>45809</v>
      </c>
      <c r="O1125">
        <v>2025</v>
      </c>
      <c r="P1125">
        <v>2</v>
      </c>
      <c r="Q1125" s="1" t="s">
        <v>33</v>
      </c>
    </row>
    <row r="1126" spans="1:17" x14ac:dyDescent="0.3">
      <c r="A1126" s="1" t="s">
        <v>1191</v>
      </c>
      <c r="B1126" s="1" t="s">
        <v>26</v>
      </c>
      <c r="C1126" s="1" t="s">
        <v>54</v>
      </c>
      <c r="D1126" s="1" t="s">
        <v>20</v>
      </c>
      <c r="E1126" s="1" t="s">
        <v>21</v>
      </c>
      <c r="F1126" s="1" t="s">
        <v>52</v>
      </c>
      <c r="G1126" s="2">
        <v>45893</v>
      </c>
      <c r="H1126" s="2">
        <v>45901</v>
      </c>
      <c r="I1126" s="1" t="s">
        <v>28</v>
      </c>
      <c r="J1126">
        <v>3</v>
      </c>
      <c r="K1126">
        <v>8</v>
      </c>
      <c r="L1126">
        <v>14</v>
      </c>
      <c r="M1126" s="1" t="s">
        <v>24</v>
      </c>
      <c r="N1126" s="2">
        <v>45870</v>
      </c>
      <c r="O1126">
        <v>2025</v>
      </c>
      <c r="P1126">
        <v>3</v>
      </c>
      <c r="Q1126" s="1" t="s">
        <v>24</v>
      </c>
    </row>
    <row r="1127" spans="1:17" x14ac:dyDescent="0.3">
      <c r="A1127" s="1" t="s">
        <v>1192</v>
      </c>
      <c r="B1127" s="1" t="s">
        <v>58</v>
      </c>
      <c r="C1127" s="1" t="s">
        <v>145</v>
      </c>
      <c r="D1127" s="1" t="s">
        <v>20</v>
      </c>
      <c r="E1127" s="1" t="s">
        <v>21</v>
      </c>
      <c r="F1127" s="1" t="s">
        <v>38</v>
      </c>
      <c r="G1127" s="2">
        <v>45998</v>
      </c>
      <c r="H1127" s="2">
        <v>46013</v>
      </c>
      <c r="I1127" s="1" t="s">
        <v>82</v>
      </c>
      <c r="J1127">
        <v>5</v>
      </c>
      <c r="K1127">
        <v>15</v>
      </c>
      <c r="L1127">
        <v>14</v>
      </c>
      <c r="M1127" s="1" t="s">
        <v>33</v>
      </c>
      <c r="N1127" s="2">
        <v>45992</v>
      </c>
      <c r="O1127">
        <v>2025</v>
      </c>
      <c r="P1127">
        <v>4</v>
      </c>
      <c r="Q1127" s="1" t="s">
        <v>24</v>
      </c>
    </row>
    <row r="1128" spans="1:17" x14ac:dyDescent="0.3">
      <c r="A1128" s="1" t="s">
        <v>1193</v>
      </c>
      <c r="B1128" s="1" t="s">
        <v>35</v>
      </c>
      <c r="C1128" s="1" t="s">
        <v>97</v>
      </c>
      <c r="D1128" s="1" t="s">
        <v>51</v>
      </c>
      <c r="E1128" s="1" t="s">
        <v>21</v>
      </c>
      <c r="F1128" s="1" t="s">
        <v>61</v>
      </c>
      <c r="G1128" s="2">
        <v>45798</v>
      </c>
      <c r="H1128" s="2">
        <v>45807</v>
      </c>
      <c r="I1128" s="1" t="s">
        <v>39</v>
      </c>
      <c r="J1128">
        <v>4</v>
      </c>
      <c r="K1128">
        <v>9</v>
      </c>
      <c r="L1128">
        <v>10</v>
      </c>
      <c r="M1128" s="1" t="s">
        <v>24</v>
      </c>
      <c r="N1128" s="2">
        <v>45778</v>
      </c>
      <c r="O1128">
        <v>2025</v>
      </c>
      <c r="P1128">
        <v>2</v>
      </c>
      <c r="Q1128" s="1" t="s">
        <v>24</v>
      </c>
    </row>
    <row r="1129" spans="1:17" x14ac:dyDescent="0.3">
      <c r="A1129" s="1" t="s">
        <v>1194</v>
      </c>
      <c r="B1129" s="1" t="s">
        <v>35</v>
      </c>
      <c r="C1129" s="1" t="s">
        <v>50</v>
      </c>
      <c r="D1129" s="1" t="s">
        <v>20</v>
      </c>
      <c r="E1129" s="1" t="s">
        <v>37</v>
      </c>
      <c r="F1129" s="1" t="s">
        <v>61</v>
      </c>
      <c r="G1129" s="2">
        <v>45736</v>
      </c>
      <c r="H1129" s="2"/>
      <c r="I1129" s="1" t="s">
        <v>28</v>
      </c>
      <c r="L1129">
        <v>14</v>
      </c>
      <c r="M1129" s="1" t="s">
        <v>40</v>
      </c>
      <c r="N1129" s="2">
        <v>45717</v>
      </c>
      <c r="O1129">
        <v>2025</v>
      </c>
      <c r="P1129">
        <v>1</v>
      </c>
      <c r="Q1129" s="1" t="s">
        <v>33</v>
      </c>
    </row>
    <row r="1130" spans="1:17" x14ac:dyDescent="0.3">
      <c r="A1130" s="1" t="s">
        <v>1195</v>
      </c>
      <c r="B1130" s="1" t="s">
        <v>18</v>
      </c>
      <c r="C1130" s="1" t="s">
        <v>19</v>
      </c>
      <c r="D1130" s="1" t="s">
        <v>44</v>
      </c>
      <c r="E1130" s="1" t="s">
        <v>37</v>
      </c>
      <c r="F1130" s="1" t="s">
        <v>31</v>
      </c>
      <c r="G1130" s="2">
        <v>45907</v>
      </c>
      <c r="H1130" s="2"/>
      <c r="I1130" s="1" t="s">
        <v>32</v>
      </c>
      <c r="L1130">
        <v>7</v>
      </c>
      <c r="M1130" s="1" t="s">
        <v>40</v>
      </c>
      <c r="N1130" s="2">
        <v>45901</v>
      </c>
      <c r="O1130">
        <v>2025</v>
      </c>
      <c r="P1130">
        <v>3</v>
      </c>
      <c r="Q1130" s="1" t="s">
        <v>33</v>
      </c>
    </row>
    <row r="1131" spans="1:17" x14ac:dyDescent="0.3">
      <c r="A1131" s="1" t="s">
        <v>1196</v>
      </c>
      <c r="B1131" s="1" t="s">
        <v>18</v>
      </c>
      <c r="C1131" s="1" t="s">
        <v>47</v>
      </c>
      <c r="D1131" s="1" t="s">
        <v>71</v>
      </c>
      <c r="E1131" s="1" t="s">
        <v>21</v>
      </c>
      <c r="F1131" s="1" t="s">
        <v>52</v>
      </c>
      <c r="G1131" s="2">
        <v>45830</v>
      </c>
      <c r="H1131" s="2">
        <v>45833</v>
      </c>
      <c r="I1131" s="1" t="s">
        <v>39</v>
      </c>
      <c r="J1131">
        <v>5</v>
      </c>
      <c r="K1131">
        <v>3</v>
      </c>
      <c r="L1131">
        <v>3</v>
      </c>
      <c r="M1131" s="1" t="s">
        <v>24</v>
      </c>
      <c r="N1131" s="2">
        <v>45809</v>
      </c>
      <c r="O1131">
        <v>2025</v>
      </c>
      <c r="P1131">
        <v>2</v>
      </c>
      <c r="Q1131" s="1" t="s">
        <v>24</v>
      </c>
    </row>
    <row r="1132" spans="1:17" x14ac:dyDescent="0.3">
      <c r="A1132" s="1" t="s">
        <v>1197</v>
      </c>
      <c r="B1132" s="1" t="s">
        <v>58</v>
      </c>
      <c r="C1132" s="1" t="s">
        <v>70</v>
      </c>
      <c r="D1132" s="1" t="s">
        <v>51</v>
      </c>
      <c r="E1132" s="1" t="s">
        <v>21</v>
      </c>
      <c r="F1132" s="1" t="s">
        <v>22</v>
      </c>
      <c r="G1132" s="2">
        <v>46014</v>
      </c>
      <c r="H1132" s="2">
        <v>46019</v>
      </c>
      <c r="I1132" s="1" t="s">
        <v>39</v>
      </c>
      <c r="J1132">
        <v>5</v>
      </c>
      <c r="K1132">
        <v>5</v>
      </c>
      <c r="L1132">
        <v>10</v>
      </c>
      <c r="M1132" s="1" t="s">
        <v>24</v>
      </c>
      <c r="N1132" s="2">
        <v>45992</v>
      </c>
      <c r="O1132">
        <v>2025</v>
      </c>
      <c r="P1132">
        <v>4</v>
      </c>
      <c r="Q1132" s="1" t="s">
        <v>24</v>
      </c>
    </row>
    <row r="1133" spans="1:17" x14ac:dyDescent="0.3">
      <c r="A1133" s="1" t="s">
        <v>1198</v>
      </c>
      <c r="B1133" s="1" t="s">
        <v>42</v>
      </c>
      <c r="C1133" s="1" t="s">
        <v>76</v>
      </c>
      <c r="D1133" s="1" t="s">
        <v>51</v>
      </c>
      <c r="E1133" s="1" t="s">
        <v>37</v>
      </c>
      <c r="F1133" s="1" t="s">
        <v>52</v>
      </c>
      <c r="G1133" s="2">
        <v>45685</v>
      </c>
      <c r="H1133" s="2"/>
      <c r="I1133" s="1" t="s">
        <v>39</v>
      </c>
      <c r="L1133">
        <v>10</v>
      </c>
      <c r="M1133" s="1" t="s">
        <v>40</v>
      </c>
      <c r="N1133" s="2">
        <v>45658</v>
      </c>
      <c r="O1133">
        <v>2025</v>
      </c>
      <c r="P1133">
        <v>1</v>
      </c>
      <c r="Q1133" s="1" t="s">
        <v>33</v>
      </c>
    </row>
    <row r="1134" spans="1:17" x14ac:dyDescent="0.3">
      <c r="A1134" s="1" t="s">
        <v>1199</v>
      </c>
      <c r="B1134" s="1" t="s">
        <v>18</v>
      </c>
      <c r="C1134" s="1" t="s">
        <v>47</v>
      </c>
      <c r="D1134" s="1" t="s">
        <v>51</v>
      </c>
      <c r="E1134" s="1" t="s">
        <v>21</v>
      </c>
      <c r="F1134" s="1" t="s">
        <v>61</v>
      </c>
      <c r="G1134" s="2">
        <v>45905</v>
      </c>
      <c r="H1134" s="2">
        <v>45911</v>
      </c>
      <c r="I1134" s="1" t="s">
        <v>28</v>
      </c>
      <c r="J1134">
        <v>5</v>
      </c>
      <c r="K1134">
        <v>6</v>
      </c>
      <c r="L1134">
        <v>10</v>
      </c>
      <c r="M1134" s="1" t="s">
        <v>24</v>
      </c>
      <c r="N1134" s="2">
        <v>45901</v>
      </c>
      <c r="O1134">
        <v>2025</v>
      </c>
      <c r="P1134">
        <v>3</v>
      </c>
      <c r="Q1134" s="1" t="s">
        <v>24</v>
      </c>
    </row>
    <row r="1135" spans="1:17" x14ac:dyDescent="0.3">
      <c r="A1135" s="1" t="s">
        <v>1200</v>
      </c>
      <c r="B1135" s="1" t="s">
        <v>18</v>
      </c>
      <c r="C1135" s="1" t="s">
        <v>47</v>
      </c>
      <c r="D1135" s="1" t="s">
        <v>44</v>
      </c>
      <c r="E1135" s="1" t="s">
        <v>21</v>
      </c>
      <c r="F1135" s="1" t="s">
        <v>61</v>
      </c>
      <c r="G1135" s="2">
        <v>45952</v>
      </c>
      <c r="H1135" s="2">
        <v>45953</v>
      </c>
      <c r="I1135" s="1" t="s">
        <v>39</v>
      </c>
      <c r="J1135">
        <v>5</v>
      </c>
      <c r="K1135">
        <v>1</v>
      </c>
      <c r="L1135">
        <v>7</v>
      </c>
      <c r="M1135" s="1" t="s">
        <v>24</v>
      </c>
      <c r="N1135" s="2">
        <v>45931</v>
      </c>
      <c r="O1135">
        <v>2025</v>
      </c>
      <c r="P1135">
        <v>4</v>
      </c>
      <c r="Q1135" s="1" t="s">
        <v>24</v>
      </c>
    </row>
    <row r="1136" spans="1:17" x14ac:dyDescent="0.3">
      <c r="A1136" s="1" t="s">
        <v>1201</v>
      </c>
      <c r="B1136" s="1" t="s">
        <v>58</v>
      </c>
      <c r="C1136" s="1" t="s">
        <v>108</v>
      </c>
      <c r="D1136" s="1" t="s">
        <v>44</v>
      </c>
      <c r="E1136" s="1" t="s">
        <v>21</v>
      </c>
      <c r="F1136" s="1" t="s">
        <v>38</v>
      </c>
      <c r="G1136" s="2">
        <v>45900</v>
      </c>
      <c r="H1136" s="2">
        <v>45902</v>
      </c>
      <c r="I1136" s="1" t="s">
        <v>82</v>
      </c>
      <c r="J1136">
        <v>5</v>
      </c>
      <c r="K1136">
        <v>2</v>
      </c>
      <c r="L1136">
        <v>7</v>
      </c>
      <c r="M1136" s="1" t="s">
        <v>24</v>
      </c>
      <c r="N1136" s="2">
        <v>45870</v>
      </c>
      <c r="O1136">
        <v>2025</v>
      </c>
      <c r="P1136">
        <v>3</v>
      </c>
      <c r="Q1136" s="1" t="s">
        <v>24</v>
      </c>
    </row>
    <row r="1137" spans="1:17" x14ac:dyDescent="0.3">
      <c r="A1137" s="1" t="s">
        <v>1202</v>
      </c>
      <c r="B1137" s="1" t="s">
        <v>18</v>
      </c>
      <c r="C1137" s="1" t="s">
        <v>56</v>
      </c>
      <c r="D1137" s="1" t="s">
        <v>51</v>
      </c>
      <c r="E1137" s="1" t="s">
        <v>48</v>
      </c>
      <c r="F1137" s="1" t="s">
        <v>31</v>
      </c>
      <c r="G1137" s="2">
        <v>45979</v>
      </c>
      <c r="H1137" s="2"/>
      <c r="I1137" s="1" t="s">
        <v>28</v>
      </c>
      <c r="L1137">
        <v>10</v>
      </c>
      <c r="M1137" s="1" t="s">
        <v>40</v>
      </c>
      <c r="N1137" s="2">
        <v>45962</v>
      </c>
      <c r="O1137">
        <v>2025</v>
      </c>
      <c r="P1137">
        <v>4</v>
      </c>
      <c r="Q1137" s="1" t="s">
        <v>33</v>
      </c>
    </row>
    <row r="1138" spans="1:17" x14ac:dyDescent="0.3">
      <c r="A1138" s="1" t="s">
        <v>1203</v>
      </c>
      <c r="B1138" s="1" t="s">
        <v>42</v>
      </c>
      <c r="C1138" s="1" t="s">
        <v>81</v>
      </c>
      <c r="D1138" s="1" t="s">
        <v>20</v>
      </c>
      <c r="E1138" s="1" t="s">
        <v>21</v>
      </c>
      <c r="F1138" s="1" t="s">
        <v>31</v>
      </c>
      <c r="G1138" s="2">
        <v>46010</v>
      </c>
      <c r="H1138" s="2">
        <v>46022</v>
      </c>
      <c r="I1138" s="1" t="s">
        <v>23</v>
      </c>
      <c r="J1138">
        <v>5</v>
      </c>
      <c r="K1138">
        <v>12</v>
      </c>
      <c r="L1138">
        <v>14</v>
      </c>
      <c r="M1138" s="1" t="s">
        <v>24</v>
      </c>
      <c r="N1138" s="2">
        <v>45992</v>
      </c>
      <c r="O1138">
        <v>2025</v>
      </c>
      <c r="P1138">
        <v>4</v>
      </c>
      <c r="Q1138" s="1" t="s">
        <v>24</v>
      </c>
    </row>
    <row r="1139" spans="1:17" x14ac:dyDescent="0.3">
      <c r="A1139" s="1" t="s">
        <v>1204</v>
      </c>
      <c r="B1139" s="1" t="s">
        <v>58</v>
      </c>
      <c r="C1139" s="1" t="s">
        <v>145</v>
      </c>
      <c r="D1139" s="1" t="s">
        <v>51</v>
      </c>
      <c r="E1139" s="1" t="s">
        <v>21</v>
      </c>
      <c r="F1139" s="1" t="s">
        <v>38</v>
      </c>
      <c r="G1139" s="2">
        <v>45846</v>
      </c>
      <c r="H1139" s="2">
        <v>45848</v>
      </c>
      <c r="I1139" s="1" t="s">
        <v>23</v>
      </c>
      <c r="J1139">
        <v>3</v>
      </c>
      <c r="K1139">
        <v>2</v>
      </c>
      <c r="L1139">
        <v>10</v>
      </c>
      <c r="M1139" s="1" t="s">
        <v>24</v>
      </c>
      <c r="N1139" s="2">
        <v>45839</v>
      </c>
      <c r="O1139">
        <v>2025</v>
      </c>
      <c r="P1139">
        <v>3</v>
      </c>
      <c r="Q1139" s="1" t="s">
        <v>24</v>
      </c>
    </row>
    <row r="1140" spans="1:17" x14ac:dyDescent="0.3">
      <c r="A1140" s="1" t="s">
        <v>1205</v>
      </c>
      <c r="B1140" s="1" t="s">
        <v>58</v>
      </c>
      <c r="C1140" s="1" t="s">
        <v>108</v>
      </c>
      <c r="D1140" s="1" t="s">
        <v>20</v>
      </c>
      <c r="E1140" s="1" t="s">
        <v>21</v>
      </c>
      <c r="F1140" s="1" t="s">
        <v>38</v>
      </c>
      <c r="G1140" s="2">
        <v>45951</v>
      </c>
      <c r="H1140" s="2">
        <v>45961</v>
      </c>
      <c r="I1140" s="1" t="s">
        <v>82</v>
      </c>
      <c r="J1140">
        <v>3</v>
      </c>
      <c r="K1140">
        <v>10</v>
      </c>
      <c r="L1140">
        <v>14</v>
      </c>
      <c r="M1140" s="1" t="s">
        <v>24</v>
      </c>
      <c r="N1140" s="2">
        <v>45931</v>
      </c>
      <c r="O1140">
        <v>2025</v>
      </c>
      <c r="P1140">
        <v>4</v>
      </c>
      <c r="Q1140" s="1" t="s">
        <v>24</v>
      </c>
    </row>
    <row r="1141" spans="1:17" x14ac:dyDescent="0.3">
      <c r="A1141" s="1" t="s">
        <v>1206</v>
      </c>
      <c r="B1141" s="1" t="s">
        <v>63</v>
      </c>
      <c r="C1141" s="1" t="s">
        <v>89</v>
      </c>
      <c r="D1141" s="1" t="s">
        <v>51</v>
      </c>
      <c r="E1141" s="1" t="s">
        <v>21</v>
      </c>
      <c r="F1141" s="1" t="s">
        <v>38</v>
      </c>
      <c r="G1141" s="2">
        <v>45880</v>
      </c>
      <c r="H1141" s="2">
        <v>45886</v>
      </c>
      <c r="I1141" s="1" t="s">
        <v>32</v>
      </c>
      <c r="J1141">
        <v>4</v>
      </c>
      <c r="K1141">
        <v>6</v>
      </c>
      <c r="L1141">
        <v>10</v>
      </c>
      <c r="M1141" s="1" t="s">
        <v>24</v>
      </c>
      <c r="N1141" s="2">
        <v>45870</v>
      </c>
      <c r="O1141">
        <v>2025</v>
      </c>
      <c r="P1141">
        <v>3</v>
      </c>
      <c r="Q1141" s="1" t="s">
        <v>24</v>
      </c>
    </row>
    <row r="1142" spans="1:17" x14ac:dyDescent="0.3">
      <c r="A1142" s="1" t="s">
        <v>1207</v>
      </c>
      <c r="B1142" s="1" t="s">
        <v>42</v>
      </c>
      <c r="C1142" s="1" t="s">
        <v>76</v>
      </c>
      <c r="D1142" s="1" t="s">
        <v>51</v>
      </c>
      <c r="E1142" s="1" t="s">
        <v>21</v>
      </c>
      <c r="F1142" s="1" t="s">
        <v>22</v>
      </c>
      <c r="G1142" s="2">
        <v>45859</v>
      </c>
      <c r="H1142" s="2">
        <v>45869</v>
      </c>
      <c r="I1142" s="1" t="s">
        <v>39</v>
      </c>
      <c r="J1142">
        <v>5</v>
      </c>
      <c r="K1142">
        <v>10</v>
      </c>
      <c r="L1142">
        <v>10</v>
      </c>
      <c r="M1142" s="1" t="s">
        <v>24</v>
      </c>
      <c r="N1142" s="2">
        <v>45839</v>
      </c>
      <c r="O1142">
        <v>2025</v>
      </c>
      <c r="P1142">
        <v>3</v>
      </c>
      <c r="Q1142" s="1" t="s">
        <v>24</v>
      </c>
    </row>
    <row r="1143" spans="1:17" x14ac:dyDescent="0.3">
      <c r="A1143" s="1" t="s">
        <v>1208</v>
      </c>
      <c r="B1143" s="1" t="s">
        <v>42</v>
      </c>
      <c r="C1143" s="1" t="s">
        <v>81</v>
      </c>
      <c r="D1143" s="1" t="s">
        <v>44</v>
      </c>
      <c r="E1143" s="1" t="s">
        <v>21</v>
      </c>
      <c r="F1143" s="1" t="s">
        <v>22</v>
      </c>
      <c r="G1143" s="2">
        <v>45995</v>
      </c>
      <c r="H1143" s="2">
        <v>45996</v>
      </c>
      <c r="I1143" s="1" t="s">
        <v>28</v>
      </c>
      <c r="J1143">
        <v>3</v>
      </c>
      <c r="K1143">
        <v>1</v>
      </c>
      <c r="L1143">
        <v>7</v>
      </c>
      <c r="M1143" s="1" t="s">
        <v>24</v>
      </c>
      <c r="N1143" s="2">
        <v>45992</v>
      </c>
      <c r="O1143">
        <v>2025</v>
      </c>
      <c r="P1143">
        <v>4</v>
      </c>
      <c r="Q1143" s="1" t="s">
        <v>24</v>
      </c>
    </row>
    <row r="1144" spans="1:17" x14ac:dyDescent="0.3">
      <c r="A1144" s="1" t="s">
        <v>1209</v>
      </c>
      <c r="B1144" s="1" t="s">
        <v>42</v>
      </c>
      <c r="C1144" s="1" t="s">
        <v>87</v>
      </c>
      <c r="D1144" s="1" t="s">
        <v>44</v>
      </c>
      <c r="E1144" s="1" t="s">
        <v>21</v>
      </c>
      <c r="F1144" s="1" t="s">
        <v>61</v>
      </c>
      <c r="G1144" s="2">
        <v>45723</v>
      </c>
      <c r="H1144" s="2">
        <v>45728</v>
      </c>
      <c r="I1144" s="1" t="s">
        <v>23</v>
      </c>
      <c r="J1144">
        <v>3</v>
      </c>
      <c r="K1144">
        <v>5</v>
      </c>
      <c r="L1144">
        <v>7</v>
      </c>
      <c r="M1144" s="1" t="s">
        <v>24</v>
      </c>
      <c r="N1144" s="2">
        <v>45717</v>
      </c>
      <c r="O1144">
        <v>2025</v>
      </c>
      <c r="P1144">
        <v>1</v>
      </c>
      <c r="Q1144" s="1" t="s">
        <v>24</v>
      </c>
    </row>
    <row r="1145" spans="1:17" x14ac:dyDescent="0.3">
      <c r="A1145" s="1" t="s">
        <v>1210</v>
      </c>
      <c r="B1145" s="1" t="s">
        <v>26</v>
      </c>
      <c r="C1145" s="1" t="s">
        <v>123</v>
      </c>
      <c r="D1145" s="1" t="s">
        <v>44</v>
      </c>
      <c r="E1145" s="1" t="s">
        <v>21</v>
      </c>
      <c r="F1145" s="1" t="s">
        <v>22</v>
      </c>
      <c r="G1145" s="2">
        <v>45721</v>
      </c>
      <c r="H1145" s="2">
        <v>45726</v>
      </c>
      <c r="I1145" s="1" t="s">
        <v>28</v>
      </c>
      <c r="J1145">
        <v>4</v>
      </c>
      <c r="K1145">
        <v>5</v>
      </c>
      <c r="L1145">
        <v>7</v>
      </c>
      <c r="M1145" s="1" t="s">
        <v>24</v>
      </c>
      <c r="N1145" s="2">
        <v>45717</v>
      </c>
      <c r="O1145">
        <v>2025</v>
      </c>
      <c r="P1145">
        <v>1</v>
      </c>
      <c r="Q1145" s="1" t="s">
        <v>24</v>
      </c>
    </row>
    <row r="1146" spans="1:17" x14ac:dyDescent="0.3">
      <c r="A1146" s="1" t="s">
        <v>1211</v>
      </c>
      <c r="B1146" s="1" t="s">
        <v>58</v>
      </c>
      <c r="C1146" s="1" t="s">
        <v>70</v>
      </c>
      <c r="D1146" s="1" t="s">
        <v>20</v>
      </c>
      <c r="E1146" s="1" t="s">
        <v>21</v>
      </c>
      <c r="F1146" s="1" t="s">
        <v>22</v>
      </c>
      <c r="G1146" s="2">
        <v>45923</v>
      </c>
      <c r="H1146" s="2">
        <v>45938</v>
      </c>
      <c r="I1146" s="1" t="s">
        <v>39</v>
      </c>
      <c r="J1146">
        <v>4</v>
      </c>
      <c r="K1146">
        <v>15</v>
      </c>
      <c r="L1146">
        <v>14</v>
      </c>
      <c r="M1146" s="1" t="s">
        <v>33</v>
      </c>
      <c r="N1146" s="2">
        <v>45901</v>
      </c>
      <c r="O1146">
        <v>2025</v>
      </c>
      <c r="P1146">
        <v>3</v>
      </c>
      <c r="Q1146" s="1" t="s">
        <v>24</v>
      </c>
    </row>
    <row r="1147" spans="1:17" x14ac:dyDescent="0.3">
      <c r="A1147" s="1" t="s">
        <v>1212</v>
      </c>
      <c r="B1147" s="1" t="s">
        <v>63</v>
      </c>
      <c r="C1147" s="1" t="s">
        <v>89</v>
      </c>
      <c r="D1147" s="1" t="s">
        <v>51</v>
      </c>
      <c r="E1147" s="1" t="s">
        <v>21</v>
      </c>
      <c r="F1147" s="1" t="s">
        <v>38</v>
      </c>
      <c r="G1147" s="2">
        <v>45838</v>
      </c>
      <c r="H1147" s="2">
        <v>45848</v>
      </c>
      <c r="I1147" s="1" t="s">
        <v>23</v>
      </c>
      <c r="J1147">
        <v>4</v>
      </c>
      <c r="K1147">
        <v>10</v>
      </c>
      <c r="L1147">
        <v>10</v>
      </c>
      <c r="M1147" s="1" t="s">
        <v>24</v>
      </c>
      <c r="N1147" s="2">
        <v>45809</v>
      </c>
      <c r="O1147">
        <v>2025</v>
      </c>
      <c r="P1147">
        <v>2</v>
      </c>
      <c r="Q1147" s="1" t="s">
        <v>24</v>
      </c>
    </row>
    <row r="1148" spans="1:17" x14ac:dyDescent="0.3">
      <c r="A1148" s="1" t="s">
        <v>1213</v>
      </c>
      <c r="B1148" s="1" t="s">
        <v>63</v>
      </c>
      <c r="C1148" s="1" t="s">
        <v>74</v>
      </c>
      <c r="D1148" s="1" t="s">
        <v>20</v>
      </c>
      <c r="E1148" s="1" t="s">
        <v>21</v>
      </c>
      <c r="F1148" s="1" t="s">
        <v>61</v>
      </c>
      <c r="G1148" s="2">
        <v>45768</v>
      </c>
      <c r="H1148" s="2">
        <v>45773</v>
      </c>
      <c r="I1148" s="1" t="s">
        <v>82</v>
      </c>
      <c r="J1148">
        <v>4</v>
      </c>
      <c r="K1148">
        <v>5</v>
      </c>
      <c r="L1148">
        <v>14</v>
      </c>
      <c r="M1148" s="1" t="s">
        <v>24</v>
      </c>
      <c r="N1148" s="2">
        <v>45748</v>
      </c>
      <c r="O1148">
        <v>2025</v>
      </c>
      <c r="P1148">
        <v>2</v>
      </c>
      <c r="Q1148" s="1" t="s">
        <v>24</v>
      </c>
    </row>
    <row r="1149" spans="1:17" x14ac:dyDescent="0.3">
      <c r="A1149" s="1" t="s">
        <v>1214</v>
      </c>
      <c r="B1149" s="1" t="s">
        <v>35</v>
      </c>
      <c r="C1149" s="1" t="s">
        <v>97</v>
      </c>
      <c r="D1149" s="1" t="s">
        <v>20</v>
      </c>
      <c r="E1149" s="1" t="s">
        <v>21</v>
      </c>
      <c r="F1149" s="1" t="s">
        <v>31</v>
      </c>
      <c r="G1149" s="2">
        <v>45696</v>
      </c>
      <c r="H1149" s="2">
        <v>45707</v>
      </c>
      <c r="I1149" s="1" t="s">
        <v>28</v>
      </c>
      <c r="J1149">
        <v>3</v>
      </c>
      <c r="K1149">
        <v>11</v>
      </c>
      <c r="L1149">
        <v>14</v>
      </c>
      <c r="M1149" s="1" t="s">
        <v>24</v>
      </c>
      <c r="N1149" s="2">
        <v>45689</v>
      </c>
      <c r="O1149">
        <v>2025</v>
      </c>
      <c r="P1149">
        <v>1</v>
      </c>
      <c r="Q1149" s="1" t="s">
        <v>24</v>
      </c>
    </row>
    <row r="1150" spans="1:17" x14ac:dyDescent="0.3">
      <c r="A1150" s="1" t="s">
        <v>1215</v>
      </c>
      <c r="B1150" s="1" t="s">
        <v>58</v>
      </c>
      <c r="C1150" s="1" t="s">
        <v>145</v>
      </c>
      <c r="D1150" s="1" t="s">
        <v>20</v>
      </c>
      <c r="E1150" s="1" t="s">
        <v>21</v>
      </c>
      <c r="F1150" s="1" t="s">
        <v>61</v>
      </c>
      <c r="G1150" s="2">
        <v>45875</v>
      </c>
      <c r="H1150" s="2">
        <v>45889</v>
      </c>
      <c r="I1150" s="1" t="s">
        <v>23</v>
      </c>
      <c r="J1150">
        <v>3</v>
      </c>
      <c r="K1150">
        <v>14</v>
      </c>
      <c r="L1150">
        <v>14</v>
      </c>
      <c r="M1150" s="1" t="s">
        <v>24</v>
      </c>
      <c r="N1150" s="2">
        <v>45870</v>
      </c>
      <c r="O1150">
        <v>2025</v>
      </c>
      <c r="P1150">
        <v>3</v>
      </c>
      <c r="Q1150" s="1" t="s">
        <v>24</v>
      </c>
    </row>
    <row r="1151" spans="1:17" x14ac:dyDescent="0.3">
      <c r="A1151" s="1" t="s">
        <v>1216</v>
      </c>
      <c r="B1151" s="1" t="s">
        <v>18</v>
      </c>
      <c r="C1151" s="1" t="s">
        <v>56</v>
      </c>
      <c r="D1151" s="1" t="s">
        <v>71</v>
      </c>
      <c r="E1151" s="1" t="s">
        <v>21</v>
      </c>
      <c r="F1151" s="1" t="s">
        <v>22</v>
      </c>
      <c r="G1151" s="2">
        <v>45756</v>
      </c>
      <c r="H1151" s="2">
        <v>45758</v>
      </c>
      <c r="I1151" s="1" t="s">
        <v>82</v>
      </c>
      <c r="J1151">
        <v>4</v>
      </c>
      <c r="K1151">
        <v>2</v>
      </c>
      <c r="L1151">
        <v>3</v>
      </c>
      <c r="M1151" s="1" t="s">
        <v>24</v>
      </c>
      <c r="N1151" s="2">
        <v>45748</v>
      </c>
      <c r="O1151">
        <v>2025</v>
      </c>
      <c r="P1151">
        <v>2</v>
      </c>
      <c r="Q1151" s="1" t="s">
        <v>24</v>
      </c>
    </row>
    <row r="1152" spans="1:17" x14ac:dyDescent="0.3">
      <c r="A1152" s="1" t="s">
        <v>1217</v>
      </c>
      <c r="B1152" s="1" t="s">
        <v>63</v>
      </c>
      <c r="C1152" s="1" t="s">
        <v>89</v>
      </c>
      <c r="D1152" s="1" t="s">
        <v>44</v>
      </c>
      <c r="E1152" s="1" t="s">
        <v>21</v>
      </c>
      <c r="F1152" s="1" t="s">
        <v>22</v>
      </c>
      <c r="G1152" s="2">
        <v>45880</v>
      </c>
      <c r="H1152" s="2">
        <v>45884</v>
      </c>
      <c r="I1152" s="1" t="s">
        <v>28</v>
      </c>
      <c r="J1152">
        <v>1</v>
      </c>
      <c r="K1152">
        <v>4</v>
      </c>
      <c r="L1152">
        <v>7</v>
      </c>
      <c r="M1152" s="1" t="s">
        <v>24</v>
      </c>
      <c r="N1152" s="2">
        <v>45870</v>
      </c>
      <c r="O1152">
        <v>2025</v>
      </c>
      <c r="P1152">
        <v>3</v>
      </c>
      <c r="Q1152" s="1" t="s">
        <v>24</v>
      </c>
    </row>
    <row r="1153" spans="1:17" x14ac:dyDescent="0.3">
      <c r="A1153" s="1" t="s">
        <v>1218</v>
      </c>
      <c r="B1153" s="1" t="s">
        <v>42</v>
      </c>
      <c r="C1153" s="1" t="s">
        <v>43</v>
      </c>
      <c r="D1153" s="1" t="s">
        <v>20</v>
      </c>
      <c r="E1153" s="1" t="s">
        <v>21</v>
      </c>
      <c r="F1153" s="1" t="s">
        <v>38</v>
      </c>
      <c r="G1153" s="2">
        <v>45938</v>
      </c>
      <c r="H1153" s="2">
        <v>45947</v>
      </c>
      <c r="I1153" s="1" t="s">
        <v>32</v>
      </c>
      <c r="J1153">
        <v>2</v>
      </c>
      <c r="K1153">
        <v>9</v>
      </c>
      <c r="L1153">
        <v>14</v>
      </c>
      <c r="M1153" s="1" t="s">
        <v>24</v>
      </c>
      <c r="N1153" s="2">
        <v>45931</v>
      </c>
      <c r="O1153">
        <v>2025</v>
      </c>
      <c r="P1153">
        <v>4</v>
      </c>
      <c r="Q1153" s="1" t="s">
        <v>24</v>
      </c>
    </row>
    <row r="1154" spans="1:17" x14ac:dyDescent="0.3">
      <c r="A1154" s="1" t="s">
        <v>1219</v>
      </c>
      <c r="B1154" s="1" t="s">
        <v>35</v>
      </c>
      <c r="C1154" s="1" t="s">
        <v>97</v>
      </c>
      <c r="D1154" s="1" t="s">
        <v>20</v>
      </c>
      <c r="E1154" s="1" t="s">
        <v>37</v>
      </c>
      <c r="F1154" s="1" t="s">
        <v>38</v>
      </c>
      <c r="G1154" s="2">
        <v>45798</v>
      </c>
      <c r="H1154" s="2"/>
      <c r="I1154" s="1" t="s">
        <v>23</v>
      </c>
      <c r="L1154">
        <v>14</v>
      </c>
      <c r="M1154" s="1" t="s">
        <v>40</v>
      </c>
      <c r="N1154" s="2">
        <v>45778</v>
      </c>
      <c r="O1154">
        <v>2025</v>
      </c>
      <c r="P1154">
        <v>2</v>
      </c>
      <c r="Q1154" s="1" t="s">
        <v>33</v>
      </c>
    </row>
    <row r="1155" spans="1:17" x14ac:dyDescent="0.3">
      <c r="A1155" s="1" t="s">
        <v>1220</v>
      </c>
      <c r="B1155" s="1" t="s">
        <v>58</v>
      </c>
      <c r="C1155" s="1" t="s">
        <v>108</v>
      </c>
      <c r="D1155" s="1" t="s">
        <v>51</v>
      </c>
      <c r="E1155" s="1" t="s">
        <v>21</v>
      </c>
      <c r="F1155" s="1" t="s">
        <v>52</v>
      </c>
      <c r="G1155" s="2">
        <v>45721</v>
      </c>
      <c r="H1155" s="2">
        <v>45725</v>
      </c>
      <c r="I1155" s="1" t="s">
        <v>82</v>
      </c>
      <c r="J1155">
        <v>4</v>
      </c>
      <c r="K1155">
        <v>4</v>
      </c>
      <c r="L1155">
        <v>10</v>
      </c>
      <c r="M1155" s="1" t="s">
        <v>24</v>
      </c>
      <c r="N1155" s="2">
        <v>45717</v>
      </c>
      <c r="O1155">
        <v>2025</v>
      </c>
      <c r="P1155">
        <v>1</v>
      </c>
      <c r="Q1155" s="1" t="s">
        <v>24</v>
      </c>
    </row>
    <row r="1156" spans="1:17" x14ac:dyDescent="0.3">
      <c r="A1156" s="1" t="s">
        <v>1221</v>
      </c>
      <c r="B1156" s="1" t="s">
        <v>58</v>
      </c>
      <c r="C1156" s="1" t="s">
        <v>70</v>
      </c>
      <c r="D1156" s="1" t="s">
        <v>51</v>
      </c>
      <c r="E1156" s="1" t="s">
        <v>21</v>
      </c>
      <c r="F1156" s="1" t="s">
        <v>38</v>
      </c>
      <c r="G1156" s="2">
        <v>45802</v>
      </c>
      <c r="H1156" s="2">
        <v>45812</v>
      </c>
      <c r="I1156" s="1" t="s">
        <v>23</v>
      </c>
      <c r="J1156">
        <v>3</v>
      </c>
      <c r="K1156">
        <v>10</v>
      </c>
      <c r="L1156">
        <v>10</v>
      </c>
      <c r="M1156" s="1" t="s">
        <v>24</v>
      </c>
      <c r="N1156" s="2">
        <v>45778</v>
      </c>
      <c r="O1156">
        <v>2025</v>
      </c>
      <c r="P1156">
        <v>2</v>
      </c>
      <c r="Q1156" s="1" t="s">
        <v>24</v>
      </c>
    </row>
    <row r="1157" spans="1:17" x14ac:dyDescent="0.3">
      <c r="A1157" s="1" t="s">
        <v>1222</v>
      </c>
      <c r="B1157" s="1" t="s">
        <v>63</v>
      </c>
      <c r="C1157" s="1" t="s">
        <v>84</v>
      </c>
      <c r="D1157" s="1" t="s">
        <v>71</v>
      </c>
      <c r="E1157" s="1" t="s">
        <v>21</v>
      </c>
      <c r="F1157" s="1" t="s">
        <v>61</v>
      </c>
      <c r="G1157" s="2">
        <v>45834</v>
      </c>
      <c r="H1157" s="2">
        <v>45837</v>
      </c>
      <c r="I1157" s="1" t="s">
        <v>32</v>
      </c>
      <c r="J1157">
        <v>4</v>
      </c>
      <c r="K1157">
        <v>3</v>
      </c>
      <c r="L1157">
        <v>3</v>
      </c>
      <c r="M1157" s="1" t="s">
        <v>24</v>
      </c>
      <c r="N1157" s="2">
        <v>45809</v>
      </c>
      <c r="O1157">
        <v>2025</v>
      </c>
      <c r="P1157">
        <v>2</v>
      </c>
      <c r="Q1157" s="1" t="s">
        <v>24</v>
      </c>
    </row>
    <row r="1158" spans="1:17" x14ac:dyDescent="0.3">
      <c r="A1158" s="1" t="s">
        <v>1223</v>
      </c>
      <c r="B1158" s="1" t="s">
        <v>42</v>
      </c>
      <c r="C1158" s="1" t="s">
        <v>76</v>
      </c>
      <c r="D1158" s="1" t="s">
        <v>51</v>
      </c>
      <c r="E1158" s="1" t="s">
        <v>21</v>
      </c>
      <c r="F1158" s="1" t="s">
        <v>52</v>
      </c>
      <c r="G1158" s="2">
        <v>45948</v>
      </c>
      <c r="H1158" s="2">
        <v>45954</v>
      </c>
      <c r="I1158" s="1" t="s">
        <v>28</v>
      </c>
      <c r="J1158">
        <v>2</v>
      </c>
      <c r="K1158">
        <v>6</v>
      </c>
      <c r="L1158">
        <v>10</v>
      </c>
      <c r="M1158" s="1" t="s">
        <v>24</v>
      </c>
      <c r="N1158" s="2">
        <v>45931</v>
      </c>
      <c r="O1158">
        <v>2025</v>
      </c>
      <c r="P1158">
        <v>4</v>
      </c>
      <c r="Q1158" s="1" t="s">
        <v>24</v>
      </c>
    </row>
    <row r="1159" spans="1:17" x14ac:dyDescent="0.3">
      <c r="A1159" s="1" t="s">
        <v>1224</v>
      </c>
      <c r="B1159" s="1" t="s">
        <v>18</v>
      </c>
      <c r="C1159" s="1" t="s">
        <v>30</v>
      </c>
      <c r="D1159" s="1" t="s">
        <v>44</v>
      </c>
      <c r="E1159" s="1" t="s">
        <v>21</v>
      </c>
      <c r="F1159" s="1" t="s">
        <v>52</v>
      </c>
      <c r="G1159" s="2">
        <v>45839</v>
      </c>
      <c r="H1159" s="2">
        <v>45846</v>
      </c>
      <c r="I1159" s="1" t="s">
        <v>32</v>
      </c>
      <c r="J1159">
        <v>4</v>
      </c>
      <c r="K1159">
        <v>7</v>
      </c>
      <c r="L1159">
        <v>7</v>
      </c>
      <c r="M1159" s="1" t="s">
        <v>24</v>
      </c>
      <c r="N1159" s="2">
        <v>45839</v>
      </c>
      <c r="O1159">
        <v>2025</v>
      </c>
      <c r="P1159">
        <v>3</v>
      </c>
      <c r="Q1159" s="1" t="s">
        <v>24</v>
      </c>
    </row>
    <row r="1160" spans="1:17" x14ac:dyDescent="0.3">
      <c r="A1160" s="1" t="s">
        <v>1225</v>
      </c>
      <c r="B1160" s="1" t="s">
        <v>58</v>
      </c>
      <c r="C1160" s="1" t="s">
        <v>108</v>
      </c>
      <c r="D1160" s="1" t="s">
        <v>51</v>
      </c>
      <c r="E1160" s="1" t="s">
        <v>37</v>
      </c>
      <c r="F1160" s="1" t="s">
        <v>31</v>
      </c>
      <c r="G1160" s="2">
        <v>45814</v>
      </c>
      <c r="H1160" s="2"/>
      <c r="I1160" s="1" t="s">
        <v>32</v>
      </c>
      <c r="L1160">
        <v>10</v>
      </c>
      <c r="M1160" s="1" t="s">
        <v>40</v>
      </c>
      <c r="N1160" s="2">
        <v>45809</v>
      </c>
      <c r="O1160">
        <v>2025</v>
      </c>
      <c r="P1160">
        <v>2</v>
      </c>
      <c r="Q1160" s="1" t="s">
        <v>33</v>
      </c>
    </row>
    <row r="1161" spans="1:17" x14ac:dyDescent="0.3">
      <c r="A1161" s="1" t="s">
        <v>1226</v>
      </c>
      <c r="B1161" s="1" t="s">
        <v>42</v>
      </c>
      <c r="C1161" s="1" t="s">
        <v>81</v>
      </c>
      <c r="D1161" s="1" t="s">
        <v>20</v>
      </c>
      <c r="E1161" s="1" t="s">
        <v>21</v>
      </c>
      <c r="F1161" s="1" t="s">
        <v>38</v>
      </c>
      <c r="G1161" s="2">
        <v>45705</v>
      </c>
      <c r="H1161" s="2">
        <v>45710</v>
      </c>
      <c r="I1161" s="1" t="s">
        <v>32</v>
      </c>
      <c r="J1161">
        <v>4</v>
      </c>
      <c r="K1161">
        <v>5</v>
      </c>
      <c r="L1161">
        <v>14</v>
      </c>
      <c r="M1161" s="1" t="s">
        <v>24</v>
      </c>
      <c r="N1161" s="2">
        <v>45689</v>
      </c>
      <c r="O1161">
        <v>2025</v>
      </c>
      <c r="P1161">
        <v>1</v>
      </c>
      <c r="Q1161" s="1" t="s">
        <v>24</v>
      </c>
    </row>
    <row r="1162" spans="1:17" x14ac:dyDescent="0.3">
      <c r="A1162" s="1" t="s">
        <v>1227</v>
      </c>
      <c r="B1162" s="1" t="s">
        <v>26</v>
      </c>
      <c r="C1162" s="1" t="s">
        <v>27</v>
      </c>
      <c r="D1162" s="1" t="s">
        <v>44</v>
      </c>
      <c r="E1162" s="1" t="s">
        <v>21</v>
      </c>
      <c r="F1162" s="1" t="s">
        <v>61</v>
      </c>
      <c r="G1162" s="2">
        <v>45875</v>
      </c>
      <c r="H1162" s="2">
        <v>45881</v>
      </c>
      <c r="I1162" s="1" t="s">
        <v>39</v>
      </c>
      <c r="J1162">
        <v>4</v>
      </c>
      <c r="K1162">
        <v>6</v>
      </c>
      <c r="L1162">
        <v>7</v>
      </c>
      <c r="M1162" s="1" t="s">
        <v>24</v>
      </c>
      <c r="N1162" s="2">
        <v>45870</v>
      </c>
      <c r="O1162">
        <v>2025</v>
      </c>
      <c r="P1162">
        <v>3</v>
      </c>
      <c r="Q1162" s="1" t="s">
        <v>24</v>
      </c>
    </row>
    <row r="1163" spans="1:17" x14ac:dyDescent="0.3">
      <c r="A1163" s="1" t="s">
        <v>1228</v>
      </c>
      <c r="B1163" s="1" t="s">
        <v>58</v>
      </c>
      <c r="C1163" s="1" t="s">
        <v>70</v>
      </c>
      <c r="D1163" s="1" t="s">
        <v>51</v>
      </c>
      <c r="E1163" s="1" t="s">
        <v>21</v>
      </c>
      <c r="F1163" s="1" t="s">
        <v>52</v>
      </c>
      <c r="G1163" s="2">
        <v>45661</v>
      </c>
      <c r="H1163" s="2">
        <v>45669</v>
      </c>
      <c r="I1163" s="1" t="s">
        <v>28</v>
      </c>
      <c r="J1163">
        <v>5</v>
      </c>
      <c r="K1163">
        <v>8</v>
      </c>
      <c r="L1163">
        <v>10</v>
      </c>
      <c r="M1163" s="1" t="s">
        <v>24</v>
      </c>
      <c r="N1163" s="2">
        <v>45658</v>
      </c>
      <c r="O1163">
        <v>2025</v>
      </c>
      <c r="P1163">
        <v>1</v>
      </c>
      <c r="Q1163" s="1" t="s">
        <v>24</v>
      </c>
    </row>
    <row r="1164" spans="1:17" x14ac:dyDescent="0.3">
      <c r="A1164" s="1" t="s">
        <v>1229</v>
      </c>
      <c r="B1164" s="1" t="s">
        <v>18</v>
      </c>
      <c r="C1164" s="1" t="s">
        <v>19</v>
      </c>
      <c r="D1164" s="1" t="s">
        <v>51</v>
      </c>
      <c r="E1164" s="1" t="s">
        <v>48</v>
      </c>
      <c r="F1164" s="1" t="s">
        <v>22</v>
      </c>
      <c r="G1164" s="2">
        <v>46003</v>
      </c>
      <c r="H1164" s="2"/>
      <c r="I1164" s="1" t="s">
        <v>28</v>
      </c>
      <c r="L1164">
        <v>10</v>
      </c>
      <c r="M1164" s="1" t="s">
        <v>40</v>
      </c>
      <c r="N1164" s="2">
        <v>45992</v>
      </c>
      <c r="O1164">
        <v>2025</v>
      </c>
      <c r="P1164">
        <v>4</v>
      </c>
      <c r="Q1164" s="1" t="s">
        <v>33</v>
      </c>
    </row>
    <row r="1165" spans="1:17" x14ac:dyDescent="0.3">
      <c r="A1165" s="1" t="s">
        <v>1230</v>
      </c>
      <c r="B1165" s="1" t="s">
        <v>63</v>
      </c>
      <c r="C1165" s="1" t="s">
        <v>74</v>
      </c>
      <c r="D1165" s="1" t="s">
        <v>51</v>
      </c>
      <c r="E1165" s="1" t="s">
        <v>21</v>
      </c>
      <c r="F1165" s="1" t="s">
        <v>31</v>
      </c>
      <c r="G1165" s="2">
        <v>45838</v>
      </c>
      <c r="H1165" s="2">
        <v>45840</v>
      </c>
      <c r="I1165" s="1" t="s">
        <v>28</v>
      </c>
      <c r="J1165">
        <v>4</v>
      </c>
      <c r="K1165">
        <v>2</v>
      </c>
      <c r="L1165">
        <v>10</v>
      </c>
      <c r="M1165" s="1" t="s">
        <v>24</v>
      </c>
      <c r="N1165" s="2">
        <v>45809</v>
      </c>
      <c r="O1165">
        <v>2025</v>
      </c>
      <c r="P1165">
        <v>2</v>
      </c>
      <c r="Q1165" s="1" t="s">
        <v>24</v>
      </c>
    </row>
    <row r="1166" spans="1:17" x14ac:dyDescent="0.3">
      <c r="A1166" s="1" t="s">
        <v>1231</v>
      </c>
      <c r="B1166" s="1" t="s">
        <v>35</v>
      </c>
      <c r="C1166" s="1" t="s">
        <v>99</v>
      </c>
      <c r="D1166" s="1" t="s">
        <v>51</v>
      </c>
      <c r="E1166" s="1" t="s">
        <v>21</v>
      </c>
      <c r="F1166" s="1" t="s">
        <v>31</v>
      </c>
      <c r="G1166" s="2">
        <v>45934</v>
      </c>
      <c r="H1166" s="2">
        <v>45937</v>
      </c>
      <c r="I1166" s="1" t="s">
        <v>32</v>
      </c>
      <c r="J1166">
        <v>4</v>
      </c>
      <c r="K1166">
        <v>3</v>
      </c>
      <c r="L1166">
        <v>10</v>
      </c>
      <c r="M1166" s="1" t="s">
        <v>24</v>
      </c>
      <c r="N1166" s="2">
        <v>45931</v>
      </c>
      <c r="O1166">
        <v>2025</v>
      </c>
      <c r="P1166">
        <v>4</v>
      </c>
      <c r="Q1166" s="1" t="s">
        <v>24</v>
      </c>
    </row>
    <row r="1167" spans="1:17" x14ac:dyDescent="0.3">
      <c r="A1167" s="1" t="s">
        <v>1232</v>
      </c>
      <c r="B1167" s="1" t="s">
        <v>35</v>
      </c>
      <c r="C1167" s="1" t="s">
        <v>36</v>
      </c>
      <c r="D1167" s="1" t="s">
        <v>20</v>
      </c>
      <c r="E1167" s="1" t="s">
        <v>21</v>
      </c>
      <c r="F1167" s="1" t="s">
        <v>22</v>
      </c>
      <c r="G1167" s="2">
        <v>45859</v>
      </c>
      <c r="H1167" s="2">
        <v>45865</v>
      </c>
      <c r="I1167" s="1" t="s">
        <v>23</v>
      </c>
      <c r="J1167">
        <v>5</v>
      </c>
      <c r="K1167">
        <v>6</v>
      </c>
      <c r="L1167">
        <v>14</v>
      </c>
      <c r="M1167" s="1" t="s">
        <v>24</v>
      </c>
      <c r="N1167" s="2">
        <v>45839</v>
      </c>
      <c r="O1167">
        <v>2025</v>
      </c>
      <c r="P1167">
        <v>3</v>
      </c>
      <c r="Q1167" s="1" t="s">
        <v>24</v>
      </c>
    </row>
    <row r="1168" spans="1:17" x14ac:dyDescent="0.3">
      <c r="A1168" s="1" t="s">
        <v>1233</v>
      </c>
      <c r="B1168" s="1" t="s">
        <v>58</v>
      </c>
      <c r="C1168" s="1" t="s">
        <v>145</v>
      </c>
      <c r="D1168" s="1" t="s">
        <v>20</v>
      </c>
      <c r="E1168" s="1" t="s">
        <v>21</v>
      </c>
      <c r="F1168" s="1" t="s">
        <v>38</v>
      </c>
      <c r="G1168" s="2">
        <v>45893</v>
      </c>
      <c r="H1168" s="2">
        <v>45901</v>
      </c>
      <c r="I1168" s="1" t="s">
        <v>23</v>
      </c>
      <c r="J1168">
        <v>4</v>
      </c>
      <c r="K1168">
        <v>8</v>
      </c>
      <c r="L1168">
        <v>14</v>
      </c>
      <c r="M1168" s="1" t="s">
        <v>24</v>
      </c>
      <c r="N1168" s="2">
        <v>45870</v>
      </c>
      <c r="O1168">
        <v>2025</v>
      </c>
      <c r="P1168">
        <v>3</v>
      </c>
      <c r="Q1168" s="1" t="s">
        <v>24</v>
      </c>
    </row>
    <row r="1169" spans="1:17" x14ac:dyDescent="0.3">
      <c r="A1169" s="1" t="s">
        <v>1234</v>
      </c>
      <c r="B1169" s="1" t="s">
        <v>35</v>
      </c>
      <c r="C1169" s="1" t="s">
        <v>36</v>
      </c>
      <c r="D1169" s="1" t="s">
        <v>51</v>
      </c>
      <c r="E1169" s="1" t="s">
        <v>21</v>
      </c>
      <c r="F1169" s="1" t="s">
        <v>22</v>
      </c>
      <c r="G1169" s="2">
        <v>45878</v>
      </c>
      <c r="H1169" s="2">
        <v>45887</v>
      </c>
      <c r="I1169" s="1" t="s">
        <v>82</v>
      </c>
      <c r="J1169">
        <v>3</v>
      </c>
      <c r="K1169">
        <v>9</v>
      </c>
      <c r="L1169">
        <v>10</v>
      </c>
      <c r="M1169" s="1" t="s">
        <v>24</v>
      </c>
      <c r="N1169" s="2">
        <v>45870</v>
      </c>
      <c r="O1169">
        <v>2025</v>
      </c>
      <c r="P1169">
        <v>3</v>
      </c>
      <c r="Q1169" s="1" t="s">
        <v>24</v>
      </c>
    </row>
    <row r="1170" spans="1:17" x14ac:dyDescent="0.3">
      <c r="A1170" s="1" t="s">
        <v>1235</v>
      </c>
      <c r="B1170" s="1" t="s">
        <v>63</v>
      </c>
      <c r="C1170" s="1" t="s">
        <v>89</v>
      </c>
      <c r="D1170" s="1" t="s">
        <v>20</v>
      </c>
      <c r="E1170" s="1" t="s">
        <v>21</v>
      </c>
      <c r="F1170" s="1" t="s">
        <v>61</v>
      </c>
      <c r="G1170" s="2">
        <v>45737</v>
      </c>
      <c r="H1170" s="2">
        <v>45752</v>
      </c>
      <c r="I1170" s="1" t="s">
        <v>39</v>
      </c>
      <c r="J1170">
        <v>4</v>
      </c>
      <c r="K1170">
        <v>15</v>
      </c>
      <c r="L1170">
        <v>14</v>
      </c>
      <c r="M1170" s="1" t="s">
        <v>33</v>
      </c>
      <c r="N1170" s="2">
        <v>45717</v>
      </c>
      <c r="O1170">
        <v>2025</v>
      </c>
      <c r="P1170">
        <v>1</v>
      </c>
      <c r="Q1170" s="1" t="s">
        <v>24</v>
      </c>
    </row>
    <row r="1171" spans="1:17" x14ac:dyDescent="0.3">
      <c r="A1171" s="1" t="s">
        <v>1236</v>
      </c>
      <c r="B1171" s="1" t="s">
        <v>58</v>
      </c>
      <c r="C1171" s="1" t="s">
        <v>59</v>
      </c>
      <c r="D1171" s="1" t="s">
        <v>51</v>
      </c>
      <c r="E1171" s="1" t="s">
        <v>21</v>
      </c>
      <c r="F1171" s="1" t="s">
        <v>38</v>
      </c>
      <c r="G1171" s="2">
        <v>45751</v>
      </c>
      <c r="H1171" s="2">
        <v>45761</v>
      </c>
      <c r="I1171" s="1" t="s">
        <v>39</v>
      </c>
      <c r="J1171">
        <v>5</v>
      </c>
      <c r="K1171">
        <v>10</v>
      </c>
      <c r="L1171">
        <v>10</v>
      </c>
      <c r="M1171" s="1" t="s">
        <v>24</v>
      </c>
      <c r="N1171" s="2">
        <v>45748</v>
      </c>
      <c r="O1171">
        <v>2025</v>
      </c>
      <c r="P1171">
        <v>2</v>
      </c>
      <c r="Q1171" s="1" t="s">
        <v>24</v>
      </c>
    </row>
    <row r="1172" spans="1:17" x14ac:dyDescent="0.3">
      <c r="A1172" s="1" t="s">
        <v>1237</v>
      </c>
      <c r="B1172" s="1" t="s">
        <v>18</v>
      </c>
      <c r="C1172" s="1" t="s">
        <v>30</v>
      </c>
      <c r="D1172" s="1" t="s">
        <v>20</v>
      </c>
      <c r="E1172" s="1" t="s">
        <v>21</v>
      </c>
      <c r="F1172" s="1" t="s">
        <v>61</v>
      </c>
      <c r="G1172" s="2">
        <v>45880</v>
      </c>
      <c r="H1172" s="2">
        <v>45883</v>
      </c>
      <c r="I1172" s="1" t="s">
        <v>23</v>
      </c>
      <c r="J1172">
        <v>4</v>
      </c>
      <c r="K1172">
        <v>3</v>
      </c>
      <c r="L1172">
        <v>14</v>
      </c>
      <c r="M1172" s="1" t="s">
        <v>24</v>
      </c>
      <c r="N1172" s="2">
        <v>45870</v>
      </c>
      <c r="O1172">
        <v>2025</v>
      </c>
      <c r="P1172">
        <v>3</v>
      </c>
      <c r="Q1172" s="1" t="s">
        <v>24</v>
      </c>
    </row>
    <row r="1173" spans="1:17" x14ac:dyDescent="0.3">
      <c r="A1173" s="1" t="s">
        <v>1238</v>
      </c>
      <c r="B1173" s="1" t="s">
        <v>63</v>
      </c>
      <c r="C1173" s="1" t="s">
        <v>84</v>
      </c>
      <c r="D1173" s="1" t="s">
        <v>20</v>
      </c>
      <c r="E1173" s="1" t="s">
        <v>21</v>
      </c>
      <c r="F1173" s="1" t="s">
        <v>61</v>
      </c>
      <c r="G1173" s="2">
        <v>45827</v>
      </c>
      <c r="H1173" s="2">
        <v>45830</v>
      </c>
      <c r="I1173" s="1" t="s">
        <v>39</v>
      </c>
      <c r="J1173">
        <v>3</v>
      </c>
      <c r="K1173">
        <v>3</v>
      </c>
      <c r="L1173">
        <v>14</v>
      </c>
      <c r="M1173" s="1" t="s">
        <v>24</v>
      </c>
      <c r="N1173" s="2">
        <v>45809</v>
      </c>
      <c r="O1173">
        <v>2025</v>
      </c>
      <c r="P1173">
        <v>2</v>
      </c>
      <c r="Q1173" s="1" t="s">
        <v>24</v>
      </c>
    </row>
    <row r="1174" spans="1:17" x14ac:dyDescent="0.3">
      <c r="A1174" s="1" t="s">
        <v>1239</v>
      </c>
      <c r="B1174" s="1" t="s">
        <v>18</v>
      </c>
      <c r="C1174" s="1" t="s">
        <v>56</v>
      </c>
      <c r="D1174" s="1" t="s">
        <v>20</v>
      </c>
      <c r="E1174" s="1" t="s">
        <v>21</v>
      </c>
      <c r="F1174" s="1" t="s">
        <v>61</v>
      </c>
      <c r="G1174" s="2">
        <v>45911</v>
      </c>
      <c r="H1174" s="2">
        <v>45926</v>
      </c>
      <c r="I1174" s="1" t="s">
        <v>32</v>
      </c>
      <c r="J1174">
        <v>5</v>
      </c>
      <c r="K1174">
        <v>15</v>
      </c>
      <c r="L1174">
        <v>14</v>
      </c>
      <c r="M1174" s="1" t="s">
        <v>33</v>
      </c>
      <c r="N1174" s="2">
        <v>45901</v>
      </c>
      <c r="O1174">
        <v>2025</v>
      </c>
      <c r="P1174">
        <v>3</v>
      </c>
      <c r="Q1174" s="1" t="s">
        <v>24</v>
      </c>
    </row>
    <row r="1175" spans="1:17" x14ac:dyDescent="0.3">
      <c r="A1175" s="1" t="s">
        <v>1240</v>
      </c>
      <c r="B1175" s="1" t="s">
        <v>58</v>
      </c>
      <c r="C1175" s="1" t="s">
        <v>145</v>
      </c>
      <c r="D1175" s="1" t="s">
        <v>20</v>
      </c>
      <c r="E1175" s="1" t="s">
        <v>48</v>
      </c>
      <c r="F1175" s="1" t="s">
        <v>61</v>
      </c>
      <c r="G1175" s="2">
        <v>45668</v>
      </c>
      <c r="H1175" s="2"/>
      <c r="I1175" s="1" t="s">
        <v>28</v>
      </c>
      <c r="L1175">
        <v>14</v>
      </c>
      <c r="M1175" s="1" t="s">
        <v>40</v>
      </c>
      <c r="N1175" s="2">
        <v>45658</v>
      </c>
      <c r="O1175">
        <v>2025</v>
      </c>
      <c r="P1175">
        <v>1</v>
      </c>
      <c r="Q1175" s="1" t="s">
        <v>33</v>
      </c>
    </row>
    <row r="1176" spans="1:17" x14ac:dyDescent="0.3">
      <c r="A1176" s="1" t="s">
        <v>1241</v>
      </c>
      <c r="B1176" s="1" t="s">
        <v>35</v>
      </c>
      <c r="C1176" s="1" t="s">
        <v>99</v>
      </c>
      <c r="D1176" s="1" t="s">
        <v>44</v>
      </c>
      <c r="E1176" s="1" t="s">
        <v>21</v>
      </c>
      <c r="F1176" s="1" t="s">
        <v>22</v>
      </c>
      <c r="G1176" s="2">
        <v>46005</v>
      </c>
      <c r="H1176" s="2">
        <v>46012</v>
      </c>
      <c r="I1176" s="1" t="s">
        <v>23</v>
      </c>
      <c r="J1176">
        <v>4</v>
      </c>
      <c r="K1176">
        <v>7</v>
      </c>
      <c r="L1176">
        <v>7</v>
      </c>
      <c r="M1176" s="1" t="s">
        <v>24</v>
      </c>
      <c r="N1176" s="2">
        <v>45992</v>
      </c>
      <c r="O1176">
        <v>2025</v>
      </c>
      <c r="P1176">
        <v>4</v>
      </c>
      <c r="Q1176" s="1" t="s">
        <v>24</v>
      </c>
    </row>
    <row r="1177" spans="1:17" x14ac:dyDescent="0.3">
      <c r="A1177" s="1" t="s">
        <v>1242</v>
      </c>
      <c r="B1177" s="1" t="s">
        <v>58</v>
      </c>
      <c r="C1177" s="1" t="s">
        <v>145</v>
      </c>
      <c r="D1177" s="1" t="s">
        <v>51</v>
      </c>
      <c r="E1177" s="1" t="s">
        <v>21</v>
      </c>
      <c r="F1177" s="1" t="s">
        <v>22</v>
      </c>
      <c r="G1177" s="2">
        <v>45877</v>
      </c>
      <c r="H1177" s="2">
        <v>45882</v>
      </c>
      <c r="I1177" s="1" t="s">
        <v>28</v>
      </c>
      <c r="J1177">
        <v>4</v>
      </c>
      <c r="K1177">
        <v>5</v>
      </c>
      <c r="L1177">
        <v>10</v>
      </c>
      <c r="M1177" s="1" t="s">
        <v>24</v>
      </c>
      <c r="N1177" s="2">
        <v>45870</v>
      </c>
      <c r="O1177">
        <v>2025</v>
      </c>
      <c r="P1177">
        <v>3</v>
      </c>
      <c r="Q1177" s="1" t="s">
        <v>24</v>
      </c>
    </row>
    <row r="1178" spans="1:17" x14ac:dyDescent="0.3">
      <c r="A1178" s="1" t="s">
        <v>1243</v>
      </c>
      <c r="B1178" s="1" t="s">
        <v>63</v>
      </c>
      <c r="C1178" s="1" t="s">
        <v>84</v>
      </c>
      <c r="D1178" s="1" t="s">
        <v>44</v>
      </c>
      <c r="E1178" s="1" t="s">
        <v>48</v>
      </c>
      <c r="F1178" s="1" t="s">
        <v>61</v>
      </c>
      <c r="G1178" s="2">
        <v>46016</v>
      </c>
      <c r="H1178" s="2"/>
      <c r="I1178" s="1" t="s">
        <v>39</v>
      </c>
      <c r="L1178">
        <v>7</v>
      </c>
      <c r="M1178" s="1" t="s">
        <v>40</v>
      </c>
      <c r="N1178" s="2">
        <v>45992</v>
      </c>
      <c r="O1178">
        <v>2025</v>
      </c>
      <c r="P1178">
        <v>4</v>
      </c>
      <c r="Q1178" s="1" t="s">
        <v>33</v>
      </c>
    </row>
    <row r="1179" spans="1:17" x14ac:dyDescent="0.3">
      <c r="A1179" s="1" t="s">
        <v>1244</v>
      </c>
      <c r="B1179" s="1" t="s">
        <v>63</v>
      </c>
      <c r="C1179" s="1" t="s">
        <v>89</v>
      </c>
      <c r="D1179" s="1" t="s">
        <v>44</v>
      </c>
      <c r="E1179" s="1" t="s">
        <v>37</v>
      </c>
      <c r="F1179" s="1" t="s">
        <v>22</v>
      </c>
      <c r="G1179" s="2">
        <v>46016</v>
      </c>
      <c r="H1179" s="2"/>
      <c r="I1179" s="1" t="s">
        <v>82</v>
      </c>
      <c r="L1179">
        <v>7</v>
      </c>
      <c r="M1179" s="1" t="s">
        <v>40</v>
      </c>
      <c r="N1179" s="2">
        <v>45992</v>
      </c>
      <c r="O1179">
        <v>2025</v>
      </c>
      <c r="P1179">
        <v>4</v>
      </c>
      <c r="Q1179" s="1" t="s">
        <v>33</v>
      </c>
    </row>
    <row r="1180" spans="1:17" x14ac:dyDescent="0.3">
      <c r="A1180" s="1" t="s">
        <v>1245</v>
      </c>
      <c r="B1180" s="1" t="s">
        <v>63</v>
      </c>
      <c r="C1180" s="1" t="s">
        <v>64</v>
      </c>
      <c r="D1180" s="1" t="s">
        <v>71</v>
      </c>
      <c r="E1180" s="1" t="s">
        <v>21</v>
      </c>
      <c r="F1180" s="1" t="s">
        <v>61</v>
      </c>
      <c r="G1180" s="2">
        <v>45982</v>
      </c>
      <c r="H1180" s="2">
        <v>45983</v>
      </c>
      <c r="I1180" s="1" t="s">
        <v>39</v>
      </c>
      <c r="J1180">
        <v>3</v>
      </c>
      <c r="K1180">
        <v>1</v>
      </c>
      <c r="L1180">
        <v>3</v>
      </c>
      <c r="M1180" s="1" t="s">
        <v>24</v>
      </c>
      <c r="N1180" s="2">
        <v>45962</v>
      </c>
      <c r="O1180">
        <v>2025</v>
      </c>
      <c r="P1180">
        <v>4</v>
      </c>
      <c r="Q1180" s="1" t="s">
        <v>24</v>
      </c>
    </row>
    <row r="1181" spans="1:17" x14ac:dyDescent="0.3">
      <c r="A1181" s="1" t="s">
        <v>1246</v>
      </c>
      <c r="B1181" s="1" t="s">
        <v>42</v>
      </c>
      <c r="C1181" s="1" t="s">
        <v>43</v>
      </c>
      <c r="D1181" s="1" t="s">
        <v>71</v>
      </c>
      <c r="E1181" s="1" t="s">
        <v>48</v>
      </c>
      <c r="F1181" s="1" t="s">
        <v>38</v>
      </c>
      <c r="G1181" s="2">
        <v>45876</v>
      </c>
      <c r="H1181" s="2"/>
      <c r="I1181" s="1" t="s">
        <v>82</v>
      </c>
      <c r="L1181">
        <v>3</v>
      </c>
      <c r="M1181" s="1" t="s">
        <v>40</v>
      </c>
      <c r="N1181" s="2">
        <v>45870</v>
      </c>
      <c r="O1181">
        <v>2025</v>
      </c>
      <c r="P1181">
        <v>3</v>
      </c>
      <c r="Q1181" s="1" t="s">
        <v>33</v>
      </c>
    </row>
    <row r="1182" spans="1:17" x14ac:dyDescent="0.3">
      <c r="A1182" s="1" t="s">
        <v>1247</v>
      </c>
      <c r="B1182" s="1" t="s">
        <v>63</v>
      </c>
      <c r="C1182" s="1" t="s">
        <v>74</v>
      </c>
      <c r="D1182" s="1" t="s">
        <v>44</v>
      </c>
      <c r="E1182" s="1" t="s">
        <v>21</v>
      </c>
      <c r="F1182" s="1" t="s">
        <v>61</v>
      </c>
      <c r="G1182" s="2">
        <v>45926</v>
      </c>
      <c r="H1182" s="2">
        <v>45929</v>
      </c>
      <c r="I1182" s="1" t="s">
        <v>28</v>
      </c>
      <c r="J1182">
        <v>5</v>
      </c>
      <c r="K1182">
        <v>3</v>
      </c>
      <c r="L1182">
        <v>7</v>
      </c>
      <c r="M1182" s="1" t="s">
        <v>24</v>
      </c>
      <c r="N1182" s="2">
        <v>45901</v>
      </c>
      <c r="O1182">
        <v>2025</v>
      </c>
      <c r="P1182">
        <v>3</v>
      </c>
      <c r="Q1182" s="1" t="s">
        <v>24</v>
      </c>
    </row>
    <row r="1183" spans="1:17" x14ac:dyDescent="0.3">
      <c r="A1183" s="1" t="s">
        <v>1248</v>
      </c>
      <c r="B1183" s="1" t="s">
        <v>35</v>
      </c>
      <c r="C1183" s="1" t="s">
        <v>50</v>
      </c>
      <c r="D1183" s="1" t="s">
        <v>51</v>
      </c>
      <c r="E1183" s="1" t="s">
        <v>21</v>
      </c>
      <c r="F1183" s="1" t="s">
        <v>52</v>
      </c>
      <c r="G1183" s="2">
        <v>45987</v>
      </c>
      <c r="H1183" s="2">
        <v>45989</v>
      </c>
      <c r="I1183" s="1" t="s">
        <v>32</v>
      </c>
      <c r="J1183">
        <v>4</v>
      </c>
      <c r="K1183">
        <v>2</v>
      </c>
      <c r="L1183">
        <v>10</v>
      </c>
      <c r="M1183" s="1" t="s">
        <v>24</v>
      </c>
      <c r="N1183" s="2">
        <v>45962</v>
      </c>
      <c r="O1183">
        <v>2025</v>
      </c>
      <c r="P1183">
        <v>4</v>
      </c>
      <c r="Q1183" s="1" t="s">
        <v>24</v>
      </c>
    </row>
    <row r="1184" spans="1:17" x14ac:dyDescent="0.3">
      <c r="A1184" s="1" t="s">
        <v>1249</v>
      </c>
      <c r="B1184" s="1" t="s">
        <v>35</v>
      </c>
      <c r="C1184" s="1" t="s">
        <v>97</v>
      </c>
      <c r="D1184" s="1" t="s">
        <v>44</v>
      </c>
      <c r="E1184" s="1" t="s">
        <v>21</v>
      </c>
      <c r="F1184" s="1" t="s">
        <v>38</v>
      </c>
      <c r="G1184" s="2">
        <v>45682</v>
      </c>
      <c r="H1184" s="2">
        <v>45684</v>
      </c>
      <c r="I1184" s="1" t="s">
        <v>32</v>
      </c>
      <c r="J1184">
        <v>2</v>
      </c>
      <c r="K1184">
        <v>2</v>
      </c>
      <c r="L1184">
        <v>7</v>
      </c>
      <c r="M1184" s="1" t="s">
        <v>24</v>
      </c>
      <c r="N1184" s="2">
        <v>45658</v>
      </c>
      <c r="O1184">
        <v>2025</v>
      </c>
      <c r="P1184">
        <v>1</v>
      </c>
      <c r="Q1184" s="1" t="s">
        <v>24</v>
      </c>
    </row>
    <row r="1185" spans="1:17" x14ac:dyDescent="0.3">
      <c r="A1185" s="1" t="s">
        <v>1250</v>
      </c>
      <c r="B1185" s="1" t="s">
        <v>63</v>
      </c>
      <c r="C1185" s="1" t="s">
        <v>84</v>
      </c>
      <c r="D1185" s="1" t="s">
        <v>51</v>
      </c>
      <c r="E1185" s="1" t="s">
        <v>48</v>
      </c>
      <c r="F1185" s="1" t="s">
        <v>31</v>
      </c>
      <c r="G1185" s="2">
        <v>45709</v>
      </c>
      <c r="H1185" s="2"/>
      <c r="I1185" s="1" t="s">
        <v>28</v>
      </c>
      <c r="L1185">
        <v>10</v>
      </c>
      <c r="M1185" s="1" t="s">
        <v>40</v>
      </c>
      <c r="N1185" s="2">
        <v>45689</v>
      </c>
      <c r="O1185">
        <v>2025</v>
      </c>
      <c r="P1185">
        <v>1</v>
      </c>
      <c r="Q1185" s="1" t="s">
        <v>33</v>
      </c>
    </row>
    <row r="1186" spans="1:17" x14ac:dyDescent="0.3">
      <c r="A1186" s="1" t="s">
        <v>1251</v>
      </c>
      <c r="B1186" s="1" t="s">
        <v>35</v>
      </c>
      <c r="C1186" s="1" t="s">
        <v>50</v>
      </c>
      <c r="D1186" s="1" t="s">
        <v>51</v>
      </c>
      <c r="E1186" s="1" t="s">
        <v>21</v>
      </c>
      <c r="F1186" s="1" t="s">
        <v>61</v>
      </c>
      <c r="G1186" s="2">
        <v>45707</v>
      </c>
      <c r="H1186" s="2">
        <v>45709</v>
      </c>
      <c r="I1186" s="1" t="s">
        <v>32</v>
      </c>
      <c r="J1186">
        <v>5</v>
      </c>
      <c r="K1186">
        <v>2</v>
      </c>
      <c r="L1186">
        <v>10</v>
      </c>
      <c r="M1186" s="1" t="s">
        <v>24</v>
      </c>
      <c r="N1186" s="2">
        <v>45689</v>
      </c>
      <c r="O1186">
        <v>2025</v>
      </c>
      <c r="P1186">
        <v>1</v>
      </c>
      <c r="Q1186" s="1" t="s">
        <v>24</v>
      </c>
    </row>
    <row r="1187" spans="1:17" x14ac:dyDescent="0.3">
      <c r="A1187" s="1" t="s">
        <v>1252</v>
      </c>
      <c r="B1187" s="1" t="s">
        <v>35</v>
      </c>
      <c r="C1187" s="1" t="s">
        <v>97</v>
      </c>
      <c r="D1187" s="1" t="s">
        <v>44</v>
      </c>
      <c r="E1187" s="1" t="s">
        <v>21</v>
      </c>
      <c r="F1187" s="1" t="s">
        <v>52</v>
      </c>
      <c r="G1187" s="2">
        <v>45967</v>
      </c>
      <c r="H1187" s="2">
        <v>45970</v>
      </c>
      <c r="I1187" s="1" t="s">
        <v>28</v>
      </c>
      <c r="J1187">
        <v>3</v>
      </c>
      <c r="K1187">
        <v>3</v>
      </c>
      <c r="L1187">
        <v>7</v>
      </c>
      <c r="M1187" s="1" t="s">
        <v>24</v>
      </c>
      <c r="N1187" s="2">
        <v>45962</v>
      </c>
      <c r="O1187">
        <v>2025</v>
      </c>
      <c r="P1187">
        <v>4</v>
      </c>
      <c r="Q1187" s="1" t="s">
        <v>24</v>
      </c>
    </row>
    <row r="1188" spans="1:17" x14ac:dyDescent="0.3">
      <c r="A1188" s="1" t="s">
        <v>1253</v>
      </c>
      <c r="B1188" s="1" t="s">
        <v>26</v>
      </c>
      <c r="C1188" s="1" t="s">
        <v>27</v>
      </c>
      <c r="D1188" s="1" t="s">
        <v>20</v>
      </c>
      <c r="E1188" s="1" t="s">
        <v>21</v>
      </c>
      <c r="F1188" s="1" t="s">
        <v>38</v>
      </c>
      <c r="G1188" s="2">
        <v>45980</v>
      </c>
      <c r="H1188" s="2">
        <v>45994</v>
      </c>
      <c r="I1188" s="1" t="s">
        <v>82</v>
      </c>
      <c r="J1188">
        <v>4</v>
      </c>
      <c r="K1188">
        <v>14</v>
      </c>
      <c r="L1188">
        <v>14</v>
      </c>
      <c r="M1188" s="1" t="s">
        <v>24</v>
      </c>
      <c r="N1188" s="2">
        <v>45962</v>
      </c>
      <c r="O1188">
        <v>2025</v>
      </c>
      <c r="P1188">
        <v>4</v>
      </c>
      <c r="Q1188" s="1" t="s">
        <v>24</v>
      </c>
    </row>
    <row r="1189" spans="1:17" x14ac:dyDescent="0.3">
      <c r="A1189" s="1" t="s">
        <v>1254</v>
      </c>
      <c r="B1189" s="1" t="s">
        <v>18</v>
      </c>
      <c r="C1189" s="1" t="s">
        <v>47</v>
      </c>
      <c r="D1189" s="1" t="s">
        <v>20</v>
      </c>
      <c r="E1189" s="1" t="s">
        <v>21</v>
      </c>
      <c r="F1189" s="1" t="s">
        <v>22</v>
      </c>
      <c r="G1189" s="2">
        <v>45708</v>
      </c>
      <c r="H1189" s="2">
        <v>45712</v>
      </c>
      <c r="I1189" s="1" t="s">
        <v>32</v>
      </c>
      <c r="J1189">
        <v>5</v>
      </c>
      <c r="K1189">
        <v>4</v>
      </c>
      <c r="L1189">
        <v>14</v>
      </c>
      <c r="M1189" s="1" t="s">
        <v>24</v>
      </c>
      <c r="N1189" s="2">
        <v>45689</v>
      </c>
      <c r="O1189">
        <v>2025</v>
      </c>
      <c r="P1189">
        <v>1</v>
      </c>
      <c r="Q1189" s="1" t="s">
        <v>24</v>
      </c>
    </row>
    <row r="1190" spans="1:17" x14ac:dyDescent="0.3">
      <c r="A1190" s="1" t="s">
        <v>1255</v>
      </c>
      <c r="B1190" s="1" t="s">
        <v>35</v>
      </c>
      <c r="C1190" s="1" t="s">
        <v>50</v>
      </c>
      <c r="D1190" s="1" t="s">
        <v>71</v>
      </c>
      <c r="E1190" s="1" t="s">
        <v>21</v>
      </c>
      <c r="F1190" s="1" t="s">
        <v>31</v>
      </c>
      <c r="G1190" s="2">
        <v>45736</v>
      </c>
      <c r="H1190" s="2">
        <v>45736</v>
      </c>
      <c r="I1190" s="1" t="s">
        <v>82</v>
      </c>
      <c r="J1190">
        <v>3</v>
      </c>
      <c r="K1190">
        <v>0</v>
      </c>
      <c r="L1190">
        <v>3</v>
      </c>
      <c r="M1190" s="1" t="s">
        <v>24</v>
      </c>
      <c r="N1190" s="2">
        <v>45717</v>
      </c>
      <c r="O1190">
        <v>2025</v>
      </c>
      <c r="P1190">
        <v>1</v>
      </c>
      <c r="Q1190" s="1" t="s">
        <v>24</v>
      </c>
    </row>
    <row r="1191" spans="1:17" x14ac:dyDescent="0.3">
      <c r="A1191" s="1" t="s">
        <v>1256</v>
      </c>
      <c r="B1191" s="1" t="s">
        <v>18</v>
      </c>
      <c r="C1191" s="1" t="s">
        <v>56</v>
      </c>
      <c r="D1191" s="1" t="s">
        <v>44</v>
      </c>
      <c r="E1191" s="1" t="s">
        <v>37</v>
      </c>
      <c r="F1191" s="1" t="s">
        <v>52</v>
      </c>
      <c r="G1191" s="2">
        <v>45944</v>
      </c>
      <c r="H1191" s="2"/>
      <c r="I1191" s="1" t="s">
        <v>32</v>
      </c>
      <c r="L1191">
        <v>7</v>
      </c>
      <c r="M1191" s="1" t="s">
        <v>40</v>
      </c>
      <c r="N1191" s="2">
        <v>45931</v>
      </c>
      <c r="O1191">
        <v>2025</v>
      </c>
      <c r="P1191">
        <v>4</v>
      </c>
      <c r="Q1191" s="1" t="s">
        <v>33</v>
      </c>
    </row>
    <row r="1192" spans="1:17" x14ac:dyDescent="0.3">
      <c r="A1192" s="1" t="s">
        <v>1257</v>
      </c>
      <c r="B1192" s="1" t="s">
        <v>58</v>
      </c>
      <c r="C1192" s="1" t="s">
        <v>70</v>
      </c>
      <c r="D1192" s="1" t="s">
        <v>44</v>
      </c>
      <c r="E1192" s="1" t="s">
        <v>21</v>
      </c>
      <c r="F1192" s="1" t="s">
        <v>22</v>
      </c>
      <c r="G1192" s="2">
        <v>45872</v>
      </c>
      <c r="H1192" s="2">
        <v>45877</v>
      </c>
      <c r="I1192" s="1" t="s">
        <v>23</v>
      </c>
      <c r="J1192">
        <v>5</v>
      </c>
      <c r="K1192">
        <v>5</v>
      </c>
      <c r="L1192">
        <v>7</v>
      </c>
      <c r="M1192" s="1" t="s">
        <v>24</v>
      </c>
      <c r="N1192" s="2">
        <v>45870</v>
      </c>
      <c r="O1192">
        <v>2025</v>
      </c>
      <c r="P1192">
        <v>3</v>
      </c>
      <c r="Q1192" s="1" t="s">
        <v>24</v>
      </c>
    </row>
    <row r="1193" spans="1:17" x14ac:dyDescent="0.3">
      <c r="A1193" s="1" t="s">
        <v>1258</v>
      </c>
      <c r="B1193" s="1" t="s">
        <v>63</v>
      </c>
      <c r="C1193" s="1" t="s">
        <v>84</v>
      </c>
      <c r="D1193" s="1" t="s">
        <v>51</v>
      </c>
      <c r="E1193" s="1" t="s">
        <v>21</v>
      </c>
      <c r="F1193" s="1" t="s">
        <v>61</v>
      </c>
      <c r="G1193" s="2">
        <v>45681</v>
      </c>
      <c r="H1193" s="2">
        <v>45683</v>
      </c>
      <c r="I1193" s="1" t="s">
        <v>39</v>
      </c>
      <c r="J1193">
        <v>5</v>
      </c>
      <c r="K1193">
        <v>2</v>
      </c>
      <c r="L1193">
        <v>10</v>
      </c>
      <c r="M1193" s="1" t="s">
        <v>24</v>
      </c>
      <c r="N1193" s="2">
        <v>45658</v>
      </c>
      <c r="O1193">
        <v>2025</v>
      </c>
      <c r="P1193">
        <v>1</v>
      </c>
      <c r="Q1193" s="1" t="s">
        <v>24</v>
      </c>
    </row>
    <row r="1194" spans="1:17" x14ac:dyDescent="0.3">
      <c r="A1194" s="1" t="s">
        <v>1259</v>
      </c>
      <c r="B1194" s="1" t="s">
        <v>58</v>
      </c>
      <c r="C1194" s="1" t="s">
        <v>70</v>
      </c>
      <c r="D1194" s="1" t="s">
        <v>20</v>
      </c>
      <c r="E1194" s="1" t="s">
        <v>37</v>
      </c>
      <c r="F1194" s="1" t="s">
        <v>22</v>
      </c>
      <c r="G1194" s="2">
        <v>45854</v>
      </c>
      <c r="H1194" s="2"/>
      <c r="I1194" s="1" t="s">
        <v>39</v>
      </c>
      <c r="L1194">
        <v>14</v>
      </c>
      <c r="M1194" s="1" t="s">
        <v>40</v>
      </c>
      <c r="N1194" s="2">
        <v>45839</v>
      </c>
      <c r="O1194">
        <v>2025</v>
      </c>
      <c r="P1194">
        <v>3</v>
      </c>
      <c r="Q1194" s="1" t="s">
        <v>33</v>
      </c>
    </row>
    <row r="1195" spans="1:17" x14ac:dyDescent="0.3">
      <c r="A1195" s="1" t="s">
        <v>1260</v>
      </c>
      <c r="B1195" s="1" t="s">
        <v>58</v>
      </c>
      <c r="C1195" s="1" t="s">
        <v>59</v>
      </c>
      <c r="D1195" s="1" t="s">
        <v>20</v>
      </c>
      <c r="E1195" s="1" t="s">
        <v>21</v>
      </c>
      <c r="F1195" s="1" t="s">
        <v>38</v>
      </c>
      <c r="G1195" s="2">
        <v>45950</v>
      </c>
      <c r="H1195" s="2">
        <v>45956</v>
      </c>
      <c r="I1195" s="1" t="s">
        <v>82</v>
      </c>
      <c r="J1195">
        <v>4</v>
      </c>
      <c r="K1195">
        <v>6</v>
      </c>
      <c r="L1195">
        <v>14</v>
      </c>
      <c r="M1195" s="1" t="s">
        <v>24</v>
      </c>
      <c r="N1195" s="2">
        <v>45931</v>
      </c>
      <c r="O1195">
        <v>2025</v>
      </c>
      <c r="P1195">
        <v>4</v>
      </c>
      <c r="Q1195" s="1" t="s">
        <v>24</v>
      </c>
    </row>
    <row r="1196" spans="1:17" x14ac:dyDescent="0.3">
      <c r="A1196" s="1" t="s">
        <v>1261</v>
      </c>
      <c r="B1196" s="1" t="s">
        <v>58</v>
      </c>
      <c r="C1196" s="1" t="s">
        <v>59</v>
      </c>
      <c r="D1196" s="1" t="s">
        <v>51</v>
      </c>
      <c r="E1196" s="1" t="s">
        <v>21</v>
      </c>
      <c r="F1196" s="1" t="s">
        <v>61</v>
      </c>
      <c r="G1196" s="2">
        <v>46020</v>
      </c>
      <c r="H1196" s="2">
        <v>46026</v>
      </c>
      <c r="I1196" s="1" t="s">
        <v>28</v>
      </c>
      <c r="J1196">
        <v>4</v>
      </c>
      <c r="K1196">
        <v>6</v>
      </c>
      <c r="L1196">
        <v>10</v>
      </c>
      <c r="M1196" s="1" t="s">
        <v>24</v>
      </c>
      <c r="N1196" s="2">
        <v>45992</v>
      </c>
      <c r="O1196">
        <v>2025</v>
      </c>
      <c r="P1196">
        <v>4</v>
      </c>
      <c r="Q1196" s="1" t="s">
        <v>24</v>
      </c>
    </row>
    <row r="1197" spans="1:17" x14ac:dyDescent="0.3">
      <c r="A1197" s="1" t="s">
        <v>1262</v>
      </c>
      <c r="B1197" s="1" t="s">
        <v>42</v>
      </c>
      <c r="C1197" s="1" t="s">
        <v>76</v>
      </c>
      <c r="D1197" s="1" t="s">
        <v>51</v>
      </c>
      <c r="E1197" s="1" t="s">
        <v>21</v>
      </c>
      <c r="F1197" s="1" t="s">
        <v>38</v>
      </c>
      <c r="G1197" s="2">
        <v>45800</v>
      </c>
      <c r="H1197" s="2">
        <v>45804</v>
      </c>
      <c r="I1197" s="1" t="s">
        <v>28</v>
      </c>
      <c r="J1197">
        <v>3</v>
      </c>
      <c r="K1197">
        <v>4</v>
      </c>
      <c r="L1197">
        <v>10</v>
      </c>
      <c r="M1197" s="1" t="s">
        <v>24</v>
      </c>
      <c r="N1197" s="2">
        <v>45778</v>
      </c>
      <c r="O1197">
        <v>2025</v>
      </c>
      <c r="P1197">
        <v>2</v>
      </c>
      <c r="Q1197" s="1" t="s">
        <v>24</v>
      </c>
    </row>
    <row r="1198" spans="1:17" x14ac:dyDescent="0.3">
      <c r="A1198" s="1" t="s">
        <v>1263</v>
      </c>
      <c r="B1198" s="1" t="s">
        <v>63</v>
      </c>
      <c r="C1198" s="1" t="s">
        <v>74</v>
      </c>
      <c r="D1198" s="1" t="s">
        <v>20</v>
      </c>
      <c r="E1198" s="1" t="s">
        <v>21</v>
      </c>
      <c r="F1198" s="1" t="s">
        <v>22</v>
      </c>
      <c r="G1198" s="2">
        <v>45967</v>
      </c>
      <c r="H1198" s="2">
        <v>45975</v>
      </c>
      <c r="I1198" s="1" t="s">
        <v>32</v>
      </c>
      <c r="J1198">
        <v>4</v>
      </c>
      <c r="K1198">
        <v>8</v>
      </c>
      <c r="L1198">
        <v>14</v>
      </c>
      <c r="M1198" s="1" t="s">
        <v>24</v>
      </c>
      <c r="N1198" s="2">
        <v>45962</v>
      </c>
      <c r="O1198">
        <v>2025</v>
      </c>
      <c r="P1198">
        <v>4</v>
      </c>
      <c r="Q1198" s="1" t="s">
        <v>24</v>
      </c>
    </row>
    <row r="1199" spans="1:17" x14ac:dyDescent="0.3">
      <c r="A1199" s="1" t="s">
        <v>1264</v>
      </c>
      <c r="B1199" s="1" t="s">
        <v>18</v>
      </c>
      <c r="C1199" s="1" t="s">
        <v>47</v>
      </c>
      <c r="D1199" s="1" t="s">
        <v>51</v>
      </c>
      <c r="E1199" s="1" t="s">
        <v>21</v>
      </c>
      <c r="F1199" s="1" t="s">
        <v>38</v>
      </c>
      <c r="G1199" s="2">
        <v>45824</v>
      </c>
      <c r="H1199" s="2">
        <v>45826</v>
      </c>
      <c r="I1199" s="1" t="s">
        <v>32</v>
      </c>
      <c r="J1199">
        <v>4</v>
      </c>
      <c r="K1199">
        <v>2</v>
      </c>
      <c r="L1199">
        <v>10</v>
      </c>
      <c r="M1199" s="1" t="s">
        <v>24</v>
      </c>
      <c r="N1199" s="2">
        <v>45809</v>
      </c>
      <c r="O1199">
        <v>2025</v>
      </c>
      <c r="P1199">
        <v>2</v>
      </c>
      <c r="Q1199" s="1" t="s">
        <v>24</v>
      </c>
    </row>
    <row r="1200" spans="1:17" x14ac:dyDescent="0.3">
      <c r="A1200" s="1" t="s">
        <v>1265</v>
      </c>
      <c r="B1200" s="1" t="s">
        <v>63</v>
      </c>
      <c r="C1200" s="1" t="s">
        <v>84</v>
      </c>
      <c r="D1200" s="1" t="s">
        <v>20</v>
      </c>
      <c r="E1200" s="1" t="s">
        <v>48</v>
      </c>
      <c r="F1200" s="1" t="s">
        <v>22</v>
      </c>
      <c r="G1200" s="2">
        <v>45933</v>
      </c>
      <c r="H1200" s="2"/>
      <c r="I1200" s="1" t="s">
        <v>23</v>
      </c>
      <c r="L1200">
        <v>14</v>
      </c>
      <c r="M1200" s="1" t="s">
        <v>40</v>
      </c>
      <c r="N1200" s="2">
        <v>45931</v>
      </c>
      <c r="O1200">
        <v>2025</v>
      </c>
      <c r="P1200">
        <v>4</v>
      </c>
      <c r="Q1200" s="1" t="s">
        <v>33</v>
      </c>
    </row>
    <row r="1201" spans="1:17" x14ac:dyDescent="0.3">
      <c r="A1201" s="1" t="s">
        <v>1266</v>
      </c>
      <c r="B1201" s="1" t="s">
        <v>18</v>
      </c>
      <c r="C1201" s="1" t="s">
        <v>30</v>
      </c>
      <c r="D1201" s="1" t="s">
        <v>71</v>
      </c>
      <c r="E1201" s="1" t="s">
        <v>21</v>
      </c>
      <c r="F1201" s="1" t="s">
        <v>61</v>
      </c>
      <c r="G1201" s="2">
        <v>45978</v>
      </c>
      <c r="H1201" s="2">
        <v>45979</v>
      </c>
      <c r="I1201" s="1" t="s">
        <v>32</v>
      </c>
      <c r="J1201">
        <v>5</v>
      </c>
      <c r="K1201">
        <v>1</v>
      </c>
      <c r="L1201">
        <v>3</v>
      </c>
      <c r="M1201" s="1" t="s">
        <v>24</v>
      </c>
      <c r="N1201" s="2">
        <v>45962</v>
      </c>
      <c r="O1201">
        <v>2025</v>
      </c>
      <c r="P1201">
        <v>4</v>
      </c>
      <c r="Q1201" s="1" t="s">
        <v>24</v>
      </c>
    </row>
    <row r="1202" spans="1:17" x14ac:dyDescent="0.3">
      <c r="A1202" s="1" t="s">
        <v>1267</v>
      </c>
      <c r="B1202" s="1" t="s">
        <v>35</v>
      </c>
      <c r="C1202" s="1" t="s">
        <v>36</v>
      </c>
      <c r="D1202" s="1" t="s">
        <v>51</v>
      </c>
      <c r="E1202" s="1" t="s">
        <v>37</v>
      </c>
      <c r="F1202" s="1" t="s">
        <v>61</v>
      </c>
      <c r="G1202" s="2">
        <v>45860</v>
      </c>
      <c r="H1202" s="2"/>
      <c r="I1202" s="1" t="s">
        <v>39</v>
      </c>
      <c r="L1202">
        <v>10</v>
      </c>
      <c r="M1202" s="1" t="s">
        <v>40</v>
      </c>
      <c r="N1202" s="2">
        <v>45839</v>
      </c>
      <c r="O1202">
        <v>2025</v>
      </c>
      <c r="P1202">
        <v>3</v>
      </c>
      <c r="Q1202" s="1" t="s">
        <v>33</v>
      </c>
    </row>
    <row r="1203" spans="1:17" x14ac:dyDescent="0.3">
      <c r="A1203" s="1" t="s">
        <v>1268</v>
      </c>
      <c r="B1203" s="1" t="s">
        <v>63</v>
      </c>
      <c r="C1203" s="1" t="s">
        <v>89</v>
      </c>
      <c r="D1203" s="1" t="s">
        <v>51</v>
      </c>
      <c r="E1203" s="1" t="s">
        <v>48</v>
      </c>
      <c r="F1203" s="1" t="s">
        <v>31</v>
      </c>
      <c r="G1203" s="2">
        <v>45705</v>
      </c>
      <c r="H1203" s="2"/>
      <c r="I1203" s="1" t="s">
        <v>28</v>
      </c>
      <c r="L1203">
        <v>10</v>
      </c>
      <c r="M1203" s="1" t="s">
        <v>40</v>
      </c>
      <c r="N1203" s="2">
        <v>45689</v>
      </c>
      <c r="O1203">
        <v>2025</v>
      </c>
      <c r="P1203">
        <v>1</v>
      </c>
      <c r="Q1203" s="1" t="s">
        <v>33</v>
      </c>
    </row>
    <row r="1204" spans="1:17" x14ac:dyDescent="0.3">
      <c r="A1204" s="1" t="s">
        <v>1269</v>
      </c>
      <c r="B1204" s="1" t="s">
        <v>58</v>
      </c>
      <c r="C1204" s="1" t="s">
        <v>108</v>
      </c>
      <c r="D1204" s="1" t="s">
        <v>44</v>
      </c>
      <c r="E1204" s="1" t="s">
        <v>21</v>
      </c>
      <c r="F1204" s="1" t="s">
        <v>61</v>
      </c>
      <c r="G1204" s="2">
        <v>45949</v>
      </c>
      <c r="H1204" s="2">
        <v>45953</v>
      </c>
      <c r="I1204" s="1" t="s">
        <v>32</v>
      </c>
      <c r="J1204">
        <v>5</v>
      </c>
      <c r="K1204">
        <v>4</v>
      </c>
      <c r="L1204">
        <v>7</v>
      </c>
      <c r="M1204" s="1" t="s">
        <v>24</v>
      </c>
      <c r="N1204" s="2">
        <v>45931</v>
      </c>
      <c r="O1204">
        <v>2025</v>
      </c>
      <c r="P1204">
        <v>4</v>
      </c>
      <c r="Q1204" s="1" t="s">
        <v>24</v>
      </c>
    </row>
    <row r="1205" spans="1:17" x14ac:dyDescent="0.3">
      <c r="A1205" s="1" t="s">
        <v>1270</v>
      </c>
      <c r="B1205" s="1" t="s">
        <v>42</v>
      </c>
      <c r="C1205" s="1" t="s">
        <v>43</v>
      </c>
      <c r="D1205" s="1" t="s">
        <v>20</v>
      </c>
      <c r="E1205" s="1" t="s">
        <v>21</v>
      </c>
      <c r="F1205" s="1" t="s">
        <v>38</v>
      </c>
      <c r="G1205" s="2">
        <v>45859</v>
      </c>
      <c r="H1205" s="2">
        <v>45872</v>
      </c>
      <c r="I1205" s="1" t="s">
        <v>28</v>
      </c>
      <c r="J1205">
        <v>4</v>
      </c>
      <c r="K1205">
        <v>13</v>
      </c>
      <c r="L1205">
        <v>14</v>
      </c>
      <c r="M1205" s="1" t="s">
        <v>24</v>
      </c>
      <c r="N1205" s="2">
        <v>45839</v>
      </c>
      <c r="O1205">
        <v>2025</v>
      </c>
      <c r="P1205">
        <v>3</v>
      </c>
      <c r="Q1205" s="1" t="s">
        <v>24</v>
      </c>
    </row>
    <row r="1206" spans="1:17" x14ac:dyDescent="0.3">
      <c r="A1206" s="1" t="s">
        <v>1271</v>
      </c>
      <c r="B1206" s="1" t="s">
        <v>42</v>
      </c>
      <c r="C1206" s="1" t="s">
        <v>87</v>
      </c>
      <c r="D1206" s="1" t="s">
        <v>20</v>
      </c>
      <c r="E1206" s="1" t="s">
        <v>48</v>
      </c>
      <c r="F1206" s="1" t="s">
        <v>38</v>
      </c>
      <c r="G1206" s="2">
        <v>45864</v>
      </c>
      <c r="H1206" s="2"/>
      <c r="I1206" s="1" t="s">
        <v>82</v>
      </c>
      <c r="L1206">
        <v>14</v>
      </c>
      <c r="M1206" s="1" t="s">
        <v>40</v>
      </c>
      <c r="N1206" s="2">
        <v>45839</v>
      </c>
      <c r="O1206">
        <v>2025</v>
      </c>
      <c r="P1206">
        <v>3</v>
      </c>
      <c r="Q1206" s="1" t="s">
        <v>33</v>
      </c>
    </row>
    <row r="1207" spans="1:17" x14ac:dyDescent="0.3">
      <c r="A1207" s="1" t="s">
        <v>1272</v>
      </c>
      <c r="B1207" s="1" t="s">
        <v>63</v>
      </c>
      <c r="C1207" s="1" t="s">
        <v>74</v>
      </c>
      <c r="D1207" s="1" t="s">
        <v>51</v>
      </c>
      <c r="E1207" s="1" t="s">
        <v>21</v>
      </c>
      <c r="F1207" s="1" t="s">
        <v>38</v>
      </c>
      <c r="G1207" s="2">
        <v>45668</v>
      </c>
      <c r="H1207" s="2">
        <v>45671</v>
      </c>
      <c r="I1207" s="1" t="s">
        <v>28</v>
      </c>
      <c r="J1207">
        <v>5</v>
      </c>
      <c r="K1207">
        <v>3</v>
      </c>
      <c r="L1207">
        <v>10</v>
      </c>
      <c r="M1207" s="1" t="s">
        <v>24</v>
      </c>
      <c r="N1207" s="2">
        <v>45658</v>
      </c>
      <c r="O1207">
        <v>2025</v>
      </c>
      <c r="P1207">
        <v>1</v>
      </c>
      <c r="Q1207" s="1" t="s">
        <v>24</v>
      </c>
    </row>
    <row r="1208" spans="1:17" x14ac:dyDescent="0.3">
      <c r="A1208" s="1" t="s">
        <v>1273</v>
      </c>
      <c r="B1208" s="1" t="s">
        <v>63</v>
      </c>
      <c r="C1208" s="1" t="s">
        <v>74</v>
      </c>
      <c r="D1208" s="1" t="s">
        <v>51</v>
      </c>
      <c r="E1208" s="1" t="s">
        <v>48</v>
      </c>
      <c r="F1208" s="1" t="s">
        <v>38</v>
      </c>
      <c r="G1208" s="2">
        <v>45965</v>
      </c>
      <c r="H1208" s="2"/>
      <c r="I1208" s="1" t="s">
        <v>23</v>
      </c>
      <c r="L1208">
        <v>10</v>
      </c>
      <c r="M1208" s="1" t="s">
        <v>40</v>
      </c>
      <c r="N1208" s="2">
        <v>45962</v>
      </c>
      <c r="O1208">
        <v>2025</v>
      </c>
      <c r="P1208">
        <v>4</v>
      </c>
      <c r="Q1208" s="1" t="s">
        <v>33</v>
      </c>
    </row>
    <row r="1209" spans="1:17" x14ac:dyDescent="0.3">
      <c r="A1209" s="1" t="s">
        <v>1274</v>
      </c>
      <c r="B1209" s="1" t="s">
        <v>42</v>
      </c>
      <c r="C1209" s="1" t="s">
        <v>43</v>
      </c>
      <c r="D1209" s="1" t="s">
        <v>44</v>
      </c>
      <c r="E1209" s="1" t="s">
        <v>21</v>
      </c>
      <c r="F1209" s="1" t="s">
        <v>31</v>
      </c>
      <c r="G1209" s="2">
        <v>45729</v>
      </c>
      <c r="H1209" s="2">
        <v>45733</v>
      </c>
      <c r="I1209" s="1" t="s">
        <v>28</v>
      </c>
      <c r="J1209">
        <v>5</v>
      </c>
      <c r="K1209">
        <v>4</v>
      </c>
      <c r="L1209">
        <v>7</v>
      </c>
      <c r="M1209" s="1" t="s">
        <v>24</v>
      </c>
      <c r="N1209" s="2">
        <v>45717</v>
      </c>
      <c r="O1209">
        <v>2025</v>
      </c>
      <c r="P1209">
        <v>1</v>
      </c>
      <c r="Q1209" s="1" t="s">
        <v>24</v>
      </c>
    </row>
    <row r="1210" spans="1:17" x14ac:dyDescent="0.3">
      <c r="A1210" s="1" t="s">
        <v>1275</v>
      </c>
      <c r="B1210" s="1" t="s">
        <v>35</v>
      </c>
      <c r="C1210" s="1" t="s">
        <v>97</v>
      </c>
      <c r="D1210" s="1" t="s">
        <v>51</v>
      </c>
      <c r="E1210" s="1" t="s">
        <v>21</v>
      </c>
      <c r="F1210" s="1" t="s">
        <v>38</v>
      </c>
      <c r="G1210" s="2">
        <v>45936</v>
      </c>
      <c r="H1210" s="2">
        <v>45942</v>
      </c>
      <c r="I1210" s="1" t="s">
        <v>23</v>
      </c>
      <c r="J1210">
        <v>4</v>
      </c>
      <c r="K1210">
        <v>6</v>
      </c>
      <c r="L1210">
        <v>10</v>
      </c>
      <c r="M1210" s="1" t="s">
        <v>24</v>
      </c>
      <c r="N1210" s="2">
        <v>45931</v>
      </c>
      <c r="O1210">
        <v>2025</v>
      </c>
      <c r="P1210">
        <v>4</v>
      </c>
      <c r="Q1210" s="1" t="s">
        <v>24</v>
      </c>
    </row>
    <row r="1211" spans="1:17" x14ac:dyDescent="0.3">
      <c r="A1211" s="1" t="s">
        <v>1276</v>
      </c>
      <c r="B1211" s="1" t="s">
        <v>42</v>
      </c>
      <c r="C1211" s="1" t="s">
        <v>81</v>
      </c>
      <c r="D1211" s="1" t="s">
        <v>51</v>
      </c>
      <c r="E1211" s="1" t="s">
        <v>21</v>
      </c>
      <c r="F1211" s="1" t="s">
        <v>61</v>
      </c>
      <c r="G1211" s="2">
        <v>45870</v>
      </c>
      <c r="H1211" s="2">
        <v>45874</v>
      </c>
      <c r="I1211" s="1" t="s">
        <v>23</v>
      </c>
      <c r="J1211">
        <v>1</v>
      </c>
      <c r="K1211">
        <v>4</v>
      </c>
      <c r="L1211">
        <v>10</v>
      </c>
      <c r="M1211" s="1" t="s">
        <v>24</v>
      </c>
      <c r="N1211" s="2">
        <v>45870</v>
      </c>
      <c r="O1211">
        <v>2025</v>
      </c>
      <c r="P1211">
        <v>3</v>
      </c>
      <c r="Q1211" s="1" t="s">
        <v>24</v>
      </c>
    </row>
    <row r="1212" spans="1:17" x14ac:dyDescent="0.3">
      <c r="A1212" s="1" t="s">
        <v>1277</v>
      </c>
      <c r="B1212" s="1" t="s">
        <v>63</v>
      </c>
      <c r="C1212" s="1" t="s">
        <v>89</v>
      </c>
      <c r="D1212" s="1" t="s">
        <v>51</v>
      </c>
      <c r="E1212" s="1" t="s">
        <v>21</v>
      </c>
      <c r="F1212" s="1" t="s">
        <v>31</v>
      </c>
      <c r="G1212" s="2">
        <v>45804</v>
      </c>
      <c r="H1212" s="2">
        <v>45809</v>
      </c>
      <c r="I1212" s="1" t="s">
        <v>23</v>
      </c>
      <c r="J1212">
        <v>5</v>
      </c>
      <c r="K1212">
        <v>5</v>
      </c>
      <c r="L1212">
        <v>10</v>
      </c>
      <c r="M1212" s="1" t="s">
        <v>24</v>
      </c>
      <c r="N1212" s="2">
        <v>45778</v>
      </c>
      <c r="O1212">
        <v>2025</v>
      </c>
      <c r="P1212">
        <v>2</v>
      </c>
      <c r="Q1212" s="1" t="s">
        <v>24</v>
      </c>
    </row>
    <row r="1213" spans="1:17" x14ac:dyDescent="0.3">
      <c r="A1213" s="1" t="s">
        <v>1278</v>
      </c>
      <c r="B1213" s="1" t="s">
        <v>58</v>
      </c>
      <c r="C1213" s="1" t="s">
        <v>108</v>
      </c>
      <c r="D1213" s="1" t="s">
        <v>71</v>
      </c>
      <c r="E1213" s="1" t="s">
        <v>21</v>
      </c>
      <c r="F1213" s="1" t="s">
        <v>52</v>
      </c>
      <c r="G1213" s="2">
        <v>45802</v>
      </c>
      <c r="H1213" s="2">
        <v>45804</v>
      </c>
      <c r="I1213" s="1" t="s">
        <v>23</v>
      </c>
      <c r="J1213">
        <v>2</v>
      </c>
      <c r="K1213">
        <v>2</v>
      </c>
      <c r="L1213">
        <v>3</v>
      </c>
      <c r="M1213" s="1" t="s">
        <v>24</v>
      </c>
      <c r="N1213" s="2">
        <v>45778</v>
      </c>
      <c r="O1213">
        <v>2025</v>
      </c>
      <c r="P1213">
        <v>2</v>
      </c>
      <c r="Q1213" s="1" t="s">
        <v>24</v>
      </c>
    </row>
    <row r="1214" spans="1:17" x14ac:dyDescent="0.3">
      <c r="A1214" s="1" t="s">
        <v>1279</v>
      </c>
      <c r="B1214" s="1" t="s">
        <v>35</v>
      </c>
      <c r="C1214" s="1" t="s">
        <v>99</v>
      </c>
      <c r="D1214" s="1" t="s">
        <v>44</v>
      </c>
      <c r="E1214" s="1" t="s">
        <v>21</v>
      </c>
      <c r="F1214" s="1" t="s">
        <v>22</v>
      </c>
      <c r="G1214" s="2">
        <v>45749</v>
      </c>
      <c r="H1214" s="2">
        <v>45753</v>
      </c>
      <c r="I1214" s="1" t="s">
        <v>28</v>
      </c>
      <c r="J1214">
        <v>4</v>
      </c>
      <c r="K1214">
        <v>4</v>
      </c>
      <c r="L1214">
        <v>7</v>
      </c>
      <c r="M1214" s="1" t="s">
        <v>24</v>
      </c>
      <c r="N1214" s="2">
        <v>45748</v>
      </c>
      <c r="O1214">
        <v>2025</v>
      </c>
      <c r="P1214">
        <v>2</v>
      </c>
      <c r="Q1214" s="1" t="s">
        <v>24</v>
      </c>
    </row>
    <row r="1215" spans="1:17" x14ac:dyDescent="0.3">
      <c r="A1215" s="1" t="s">
        <v>1280</v>
      </c>
      <c r="B1215" s="1" t="s">
        <v>18</v>
      </c>
      <c r="C1215" s="1" t="s">
        <v>30</v>
      </c>
      <c r="D1215" s="1" t="s">
        <v>20</v>
      </c>
      <c r="E1215" s="1" t="s">
        <v>21</v>
      </c>
      <c r="F1215" s="1" t="s">
        <v>52</v>
      </c>
      <c r="G1215" s="2">
        <v>45812</v>
      </c>
      <c r="H1215" s="2">
        <v>45824</v>
      </c>
      <c r="I1215" s="1" t="s">
        <v>23</v>
      </c>
      <c r="J1215">
        <v>5</v>
      </c>
      <c r="K1215">
        <v>12</v>
      </c>
      <c r="L1215">
        <v>14</v>
      </c>
      <c r="M1215" s="1" t="s">
        <v>24</v>
      </c>
      <c r="N1215" s="2">
        <v>45809</v>
      </c>
      <c r="O1215">
        <v>2025</v>
      </c>
      <c r="P1215">
        <v>2</v>
      </c>
      <c r="Q1215" s="1" t="s">
        <v>24</v>
      </c>
    </row>
    <row r="1216" spans="1:17" x14ac:dyDescent="0.3">
      <c r="A1216" s="1" t="s">
        <v>1281</v>
      </c>
      <c r="B1216" s="1" t="s">
        <v>35</v>
      </c>
      <c r="C1216" s="1" t="s">
        <v>50</v>
      </c>
      <c r="D1216" s="1" t="s">
        <v>51</v>
      </c>
      <c r="E1216" s="1" t="s">
        <v>48</v>
      </c>
      <c r="F1216" s="1" t="s">
        <v>38</v>
      </c>
      <c r="G1216" s="2">
        <v>46022</v>
      </c>
      <c r="H1216" s="2"/>
      <c r="I1216" s="1" t="s">
        <v>23</v>
      </c>
      <c r="L1216">
        <v>10</v>
      </c>
      <c r="M1216" s="1" t="s">
        <v>40</v>
      </c>
      <c r="N1216" s="2">
        <v>45992</v>
      </c>
      <c r="O1216">
        <v>2025</v>
      </c>
      <c r="P1216">
        <v>4</v>
      </c>
      <c r="Q1216" s="1" t="s">
        <v>33</v>
      </c>
    </row>
    <row r="1217" spans="1:17" x14ac:dyDescent="0.3">
      <c r="A1217" s="1" t="s">
        <v>1282</v>
      </c>
      <c r="B1217" s="1" t="s">
        <v>63</v>
      </c>
      <c r="C1217" s="1" t="s">
        <v>64</v>
      </c>
      <c r="D1217" s="1" t="s">
        <v>51</v>
      </c>
      <c r="E1217" s="1" t="s">
        <v>21</v>
      </c>
      <c r="F1217" s="1" t="s">
        <v>31</v>
      </c>
      <c r="G1217" s="2">
        <v>45902</v>
      </c>
      <c r="H1217" s="2">
        <v>45905</v>
      </c>
      <c r="I1217" s="1" t="s">
        <v>32</v>
      </c>
      <c r="J1217">
        <v>3</v>
      </c>
      <c r="K1217">
        <v>3</v>
      </c>
      <c r="L1217">
        <v>10</v>
      </c>
      <c r="M1217" s="1" t="s">
        <v>24</v>
      </c>
      <c r="N1217" s="2">
        <v>45901</v>
      </c>
      <c r="O1217">
        <v>2025</v>
      </c>
      <c r="P1217">
        <v>3</v>
      </c>
      <c r="Q1217" s="1" t="s">
        <v>24</v>
      </c>
    </row>
    <row r="1218" spans="1:17" x14ac:dyDescent="0.3">
      <c r="A1218" s="1" t="s">
        <v>1283</v>
      </c>
      <c r="B1218" s="1" t="s">
        <v>63</v>
      </c>
      <c r="C1218" s="1" t="s">
        <v>74</v>
      </c>
      <c r="D1218" s="1" t="s">
        <v>51</v>
      </c>
      <c r="E1218" s="1" t="s">
        <v>21</v>
      </c>
      <c r="F1218" s="1" t="s">
        <v>31</v>
      </c>
      <c r="G1218" s="2">
        <v>45855</v>
      </c>
      <c r="H1218" s="2">
        <v>45862</v>
      </c>
      <c r="I1218" s="1" t="s">
        <v>39</v>
      </c>
      <c r="J1218">
        <v>4</v>
      </c>
      <c r="K1218">
        <v>7</v>
      </c>
      <c r="L1218">
        <v>10</v>
      </c>
      <c r="M1218" s="1" t="s">
        <v>24</v>
      </c>
      <c r="N1218" s="2">
        <v>45839</v>
      </c>
      <c r="O1218">
        <v>2025</v>
      </c>
      <c r="P1218">
        <v>3</v>
      </c>
      <c r="Q1218" s="1" t="s">
        <v>24</v>
      </c>
    </row>
    <row r="1219" spans="1:17" x14ac:dyDescent="0.3">
      <c r="A1219" s="1" t="s">
        <v>1284</v>
      </c>
      <c r="B1219" s="1" t="s">
        <v>18</v>
      </c>
      <c r="C1219" s="1" t="s">
        <v>30</v>
      </c>
      <c r="D1219" s="1" t="s">
        <v>51</v>
      </c>
      <c r="E1219" s="1" t="s">
        <v>21</v>
      </c>
      <c r="F1219" s="1" t="s">
        <v>22</v>
      </c>
      <c r="G1219" s="2">
        <v>45728</v>
      </c>
      <c r="H1219" s="2">
        <v>45733</v>
      </c>
      <c r="I1219" s="1" t="s">
        <v>39</v>
      </c>
      <c r="J1219">
        <v>4</v>
      </c>
      <c r="K1219">
        <v>5</v>
      </c>
      <c r="L1219">
        <v>10</v>
      </c>
      <c r="M1219" s="1" t="s">
        <v>24</v>
      </c>
      <c r="N1219" s="2">
        <v>45717</v>
      </c>
      <c r="O1219">
        <v>2025</v>
      </c>
      <c r="P1219">
        <v>1</v>
      </c>
      <c r="Q1219" s="1" t="s">
        <v>24</v>
      </c>
    </row>
    <row r="1220" spans="1:17" x14ac:dyDescent="0.3">
      <c r="A1220" s="1" t="s">
        <v>1285</v>
      </c>
      <c r="B1220" s="1" t="s">
        <v>26</v>
      </c>
      <c r="C1220" s="1" t="s">
        <v>27</v>
      </c>
      <c r="D1220" s="1" t="s">
        <v>51</v>
      </c>
      <c r="E1220" s="1" t="s">
        <v>37</v>
      </c>
      <c r="F1220" s="1" t="s">
        <v>38</v>
      </c>
      <c r="G1220" s="2">
        <v>45854</v>
      </c>
      <c r="H1220" s="2"/>
      <c r="I1220" s="1" t="s">
        <v>82</v>
      </c>
      <c r="L1220">
        <v>10</v>
      </c>
      <c r="M1220" s="1" t="s">
        <v>40</v>
      </c>
      <c r="N1220" s="2">
        <v>45839</v>
      </c>
      <c r="O1220">
        <v>2025</v>
      </c>
      <c r="P1220">
        <v>3</v>
      </c>
      <c r="Q1220" s="1" t="s">
        <v>33</v>
      </c>
    </row>
    <row r="1221" spans="1:17" x14ac:dyDescent="0.3">
      <c r="A1221" s="1" t="s">
        <v>1286</v>
      </c>
      <c r="B1221" s="1" t="s">
        <v>18</v>
      </c>
      <c r="C1221" s="1" t="s">
        <v>30</v>
      </c>
      <c r="D1221" s="1" t="s">
        <v>51</v>
      </c>
      <c r="E1221" s="1" t="s">
        <v>37</v>
      </c>
      <c r="F1221" s="1" t="s">
        <v>38</v>
      </c>
      <c r="G1221" s="2">
        <v>45770</v>
      </c>
      <c r="H1221" s="2"/>
      <c r="I1221" s="1" t="s">
        <v>28</v>
      </c>
      <c r="L1221">
        <v>10</v>
      </c>
      <c r="M1221" s="1" t="s">
        <v>40</v>
      </c>
      <c r="N1221" s="2">
        <v>45748</v>
      </c>
      <c r="O1221">
        <v>2025</v>
      </c>
      <c r="P1221">
        <v>2</v>
      </c>
      <c r="Q1221" s="1" t="s">
        <v>33</v>
      </c>
    </row>
    <row r="1222" spans="1:17" x14ac:dyDescent="0.3">
      <c r="A1222" s="1" t="s">
        <v>1287</v>
      </c>
      <c r="B1222" s="1" t="s">
        <v>35</v>
      </c>
      <c r="C1222" s="1" t="s">
        <v>99</v>
      </c>
      <c r="D1222" s="1" t="s">
        <v>20</v>
      </c>
      <c r="E1222" s="1" t="s">
        <v>37</v>
      </c>
      <c r="F1222" s="1" t="s">
        <v>22</v>
      </c>
      <c r="G1222" s="2">
        <v>45843</v>
      </c>
      <c r="H1222" s="2"/>
      <c r="I1222" s="1" t="s">
        <v>39</v>
      </c>
      <c r="L1222">
        <v>14</v>
      </c>
      <c r="M1222" s="1" t="s">
        <v>40</v>
      </c>
      <c r="N1222" s="2">
        <v>45839</v>
      </c>
      <c r="O1222">
        <v>2025</v>
      </c>
      <c r="P1222">
        <v>3</v>
      </c>
      <c r="Q1222" s="1" t="s">
        <v>33</v>
      </c>
    </row>
    <row r="1223" spans="1:17" x14ac:dyDescent="0.3">
      <c r="A1223" s="1" t="s">
        <v>1288</v>
      </c>
      <c r="B1223" s="1" t="s">
        <v>63</v>
      </c>
      <c r="C1223" s="1" t="s">
        <v>74</v>
      </c>
      <c r="D1223" s="1" t="s">
        <v>20</v>
      </c>
      <c r="E1223" s="1" t="s">
        <v>21</v>
      </c>
      <c r="F1223" s="1" t="s">
        <v>22</v>
      </c>
      <c r="G1223" s="2">
        <v>45729</v>
      </c>
      <c r="H1223" s="2">
        <v>45736</v>
      </c>
      <c r="I1223" s="1" t="s">
        <v>39</v>
      </c>
      <c r="J1223">
        <v>4</v>
      </c>
      <c r="K1223">
        <v>7</v>
      </c>
      <c r="L1223">
        <v>14</v>
      </c>
      <c r="M1223" s="1" t="s">
        <v>24</v>
      </c>
      <c r="N1223" s="2">
        <v>45717</v>
      </c>
      <c r="O1223">
        <v>2025</v>
      </c>
      <c r="P1223">
        <v>1</v>
      </c>
      <c r="Q1223" s="1" t="s">
        <v>24</v>
      </c>
    </row>
    <row r="1224" spans="1:17" x14ac:dyDescent="0.3">
      <c r="A1224" s="1" t="s">
        <v>1289</v>
      </c>
      <c r="B1224" s="1" t="s">
        <v>63</v>
      </c>
      <c r="C1224" s="1" t="s">
        <v>64</v>
      </c>
      <c r="D1224" s="1" t="s">
        <v>44</v>
      </c>
      <c r="E1224" s="1" t="s">
        <v>21</v>
      </c>
      <c r="F1224" s="1" t="s">
        <v>61</v>
      </c>
      <c r="G1224" s="2">
        <v>45728</v>
      </c>
      <c r="H1224" s="2">
        <v>45729</v>
      </c>
      <c r="I1224" s="1" t="s">
        <v>39</v>
      </c>
      <c r="J1224">
        <v>5</v>
      </c>
      <c r="K1224">
        <v>1</v>
      </c>
      <c r="L1224">
        <v>7</v>
      </c>
      <c r="M1224" s="1" t="s">
        <v>24</v>
      </c>
      <c r="N1224" s="2">
        <v>45717</v>
      </c>
      <c r="O1224">
        <v>2025</v>
      </c>
      <c r="P1224">
        <v>1</v>
      </c>
      <c r="Q1224" s="1" t="s">
        <v>24</v>
      </c>
    </row>
    <row r="1225" spans="1:17" x14ac:dyDescent="0.3">
      <c r="A1225" s="1" t="s">
        <v>1290</v>
      </c>
      <c r="B1225" s="1" t="s">
        <v>18</v>
      </c>
      <c r="C1225" s="1" t="s">
        <v>19</v>
      </c>
      <c r="D1225" s="1" t="s">
        <v>51</v>
      </c>
      <c r="E1225" s="1" t="s">
        <v>21</v>
      </c>
      <c r="F1225" s="1" t="s">
        <v>38</v>
      </c>
      <c r="G1225" s="2">
        <v>45685</v>
      </c>
      <c r="H1225" s="2">
        <v>45688</v>
      </c>
      <c r="I1225" s="1" t="s">
        <v>39</v>
      </c>
      <c r="J1225">
        <v>5</v>
      </c>
      <c r="K1225">
        <v>3</v>
      </c>
      <c r="L1225">
        <v>10</v>
      </c>
      <c r="M1225" s="1" t="s">
        <v>24</v>
      </c>
      <c r="N1225" s="2">
        <v>45658</v>
      </c>
      <c r="O1225">
        <v>2025</v>
      </c>
      <c r="P1225">
        <v>1</v>
      </c>
      <c r="Q1225" s="1" t="s">
        <v>24</v>
      </c>
    </row>
    <row r="1226" spans="1:17" x14ac:dyDescent="0.3">
      <c r="A1226" s="1" t="s">
        <v>1291</v>
      </c>
      <c r="B1226" s="1" t="s">
        <v>26</v>
      </c>
      <c r="C1226" s="1" t="s">
        <v>54</v>
      </c>
      <c r="D1226" s="1" t="s">
        <v>20</v>
      </c>
      <c r="E1226" s="1" t="s">
        <v>21</v>
      </c>
      <c r="F1226" s="1" t="s">
        <v>22</v>
      </c>
      <c r="G1226" s="2">
        <v>45698</v>
      </c>
      <c r="H1226" s="2">
        <v>45704</v>
      </c>
      <c r="I1226" s="1" t="s">
        <v>39</v>
      </c>
      <c r="J1226">
        <v>2</v>
      </c>
      <c r="K1226">
        <v>6</v>
      </c>
      <c r="L1226">
        <v>14</v>
      </c>
      <c r="M1226" s="1" t="s">
        <v>24</v>
      </c>
      <c r="N1226" s="2">
        <v>45689</v>
      </c>
      <c r="O1226">
        <v>2025</v>
      </c>
      <c r="P1226">
        <v>1</v>
      </c>
      <c r="Q1226" s="1" t="s">
        <v>24</v>
      </c>
    </row>
    <row r="1227" spans="1:17" x14ac:dyDescent="0.3">
      <c r="A1227" s="1" t="s">
        <v>1292</v>
      </c>
      <c r="B1227" s="1" t="s">
        <v>63</v>
      </c>
      <c r="C1227" s="1" t="s">
        <v>64</v>
      </c>
      <c r="D1227" s="1" t="s">
        <v>51</v>
      </c>
      <c r="E1227" s="1" t="s">
        <v>21</v>
      </c>
      <c r="F1227" s="1" t="s">
        <v>52</v>
      </c>
      <c r="G1227" s="2">
        <v>45928</v>
      </c>
      <c r="H1227" s="2">
        <v>45934</v>
      </c>
      <c r="I1227" s="1" t="s">
        <v>39</v>
      </c>
      <c r="J1227">
        <v>4</v>
      </c>
      <c r="K1227">
        <v>6</v>
      </c>
      <c r="L1227">
        <v>10</v>
      </c>
      <c r="M1227" s="1" t="s">
        <v>24</v>
      </c>
      <c r="N1227" s="2">
        <v>45901</v>
      </c>
      <c r="O1227">
        <v>2025</v>
      </c>
      <c r="P1227">
        <v>3</v>
      </c>
      <c r="Q1227" s="1" t="s">
        <v>24</v>
      </c>
    </row>
    <row r="1228" spans="1:17" x14ac:dyDescent="0.3">
      <c r="A1228" s="1" t="s">
        <v>1293</v>
      </c>
      <c r="B1228" s="1" t="s">
        <v>18</v>
      </c>
      <c r="C1228" s="1" t="s">
        <v>19</v>
      </c>
      <c r="D1228" s="1" t="s">
        <v>51</v>
      </c>
      <c r="E1228" s="1" t="s">
        <v>21</v>
      </c>
      <c r="F1228" s="1" t="s">
        <v>61</v>
      </c>
      <c r="G1228" s="2">
        <v>45986</v>
      </c>
      <c r="H1228" s="2">
        <v>45988</v>
      </c>
      <c r="I1228" s="1" t="s">
        <v>82</v>
      </c>
      <c r="J1228">
        <v>4</v>
      </c>
      <c r="K1228">
        <v>2</v>
      </c>
      <c r="L1228">
        <v>10</v>
      </c>
      <c r="M1228" s="1" t="s">
        <v>24</v>
      </c>
      <c r="N1228" s="2">
        <v>45962</v>
      </c>
      <c r="O1228">
        <v>2025</v>
      </c>
      <c r="P1228">
        <v>4</v>
      </c>
      <c r="Q1228" s="1" t="s">
        <v>24</v>
      </c>
    </row>
    <row r="1229" spans="1:17" x14ac:dyDescent="0.3">
      <c r="A1229" s="1" t="s">
        <v>1294</v>
      </c>
      <c r="B1229" s="1" t="s">
        <v>63</v>
      </c>
      <c r="C1229" s="1" t="s">
        <v>74</v>
      </c>
      <c r="D1229" s="1" t="s">
        <v>51</v>
      </c>
      <c r="E1229" s="1" t="s">
        <v>21</v>
      </c>
      <c r="F1229" s="1" t="s">
        <v>52</v>
      </c>
      <c r="G1229" s="2">
        <v>45890</v>
      </c>
      <c r="H1229" s="2">
        <v>45900</v>
      </c>
      <c r="I1229" s="1" t="s">
        <v>82</v>
      </c>
      <c r="J1229">
        <v>5</v>
      </c>
      <c r="K1229">
        <v>10</v>
      </c>
      <c r="L1229">
        <v>10</v>
      </c>
      <c r="M1229" s="1" t="s">
        <v>24</v>
      </c>
      <c r="N1229" s="2">
        <v>45870</v>
      </c>
      <c r="O1229">
        <v>2025</v>
      </c>
      <c r="P1229">
        <v>3</v>
      </c>
      <c r="Q1229" s="1" t="s">
        <v>24</v>
      </c>
    </row>
    <row r="1230" spans="1:17" x14ac:dyDescent="0.3">
      <c r="A1230" s="1" t="s">
        <v>1295</v>
      </c>
      <c r="B1230" s="1" t="s">
        <v>26</v>
      </c>
      <c r="C1230" s="1" t="s">
        <v>123</v>
      </c>
      <c r="D1230" s="1" t="s">
        <v>44</v>
      </c>
      <c r="E1230" s="1" t="s">
        <v>21</v>
      </c>
      <c r="F1230" s="1" t="s">
        <v>22</v>
      </c>
      <c r="G1230" s="2">
        <v>45738</v>
      </c>
      <c r="H1230" s="2">
        <v>45741</v>
      </c>
      <c r="I1230" s="1" t="s">
        <v>39</v>
      </c>
      <c r="J1230">
        <v>5</v>
      </c>
      <c r="K1230">
        <v>3</v>
      </c>
      <c r="L1230">
        <v>7</v>
      </c>
      <c r="M1230" s="1" t="s">
        <v>24</v>
      </c>
      <c r="N1230" s="2">
        <v>45717</v>
      </c>
      <c r="O1230">
        <v>2025</v>
      </c>
      <c r="P1230">
        <v>1</v>
      </c>
      <c r="Q1230" s="1" t="s">
        <v>24</v>
      </c>
    </row>
    <row r="1231" spans="1:17" x14ac:dyDescent="0.3">
      <c r="A1231" s="1" t="s">
        <v>1296</v>
      </c>
      <c r="B1231" s="1" t="s">
        <v>63</v>
      </c>
      <c r="C1231" s="1" t="s">
        <v>64</v>
      </c>
      <c r="D1231" s="1" t="s">
        <v>51</v>
      </c>
      <c r="E1231" s="1" t="s">
        <v>21</v>
      </c>
      <c r="F1231" s="1" t="s">
        <v>22</v>
      </c>
      <c r="G1231" s="2">
        <v>45858</v>
      </c>
      <c r="H1231" s="2">
        <v>45862</v>
      </c>
      <c r="I1231" s="1" t="s">
        <v>82</v>
      </c>
      <c r="J1231">
        <v>5</v>
      </c>
      <c r="K1231">
        <v>4</v>
      </c>
      <c r="L1231">
        <v>10</v>
      </c>
      <c r="M1231" s="1" t="s">
        <v>24</v>
      </c>
      <c r="N1231" s="2">
        <v>45839</v>
      </c>
      <c r="O1231">
        <v>2025</v>
      </c>
      <c r="P1231">
        <v>3</v>
      </c>
      <c r="Q1231" s="1" t="s">
        <v>24</v>
      </c>
    </row>
    <row r="1232" spans="1:17" x14ac:dyDescent="0.3">
      <c r="A1232" s="1" t="s">
        <v>1297</v>
      </c>
      <c r="B1232" s="1" t="s">
        <v>42</v>
      </c>
      <c r="C1232" s="1" t="s">
        <v>87</v>
      </c>
      <c r="D1232" s="1" t="s">
        <v>51</v>
      </c>
      <c r="E1232" s="1" t="s">
        <v>21</v>
      </c>
      <c r="F1232" s="1" t="s">
        <v>52</v>
      </c>
      <c r="G1232" s="2">
        <v>45865</v>
      </c>
      <c r="H1232" s="2">
        <v>45873</v>
      </c>
      <c r="I1232" s="1" t="s">
        <v>39</v>
      </c>
      <c r="J1232">
        <v>3</v>
      </c>
      <c r="K1232">
        <v>8</v>
      </c>
      <c r="L1232">
        <v>10</v>
      </c>
      <c r="M1232" s="1" t="s">
        <v>24</v>
      </c>
      <c r="N1232" s="2">
        <v>45839</v>
      </c>
      <c r="O1232">
        <v>2025</v>
      </c>
      <c r="P1232">
        <v>3</v>
      </c>
      <c r="Q1232" s="1" t="s">
        <v>24</v>
      </c>
    </row>
    <row r="1233" spans="1:17" x14ac:dyDescent="0.3">
      <c r="A1233" s="1" t="s">
        <v>1298</v>
      </c>
      <c r="B1233" s="1" t="s">
        <v>63</v>
      </c>
      <c r="C1233" s="1" t="s">
        <v>84</v>
      </c>
      <c r="D1233" s="1" t="s">
        <v>20</v>
      </c>
      <c r="E1233" s="1" t="s">
        <v>21</v>
      </c>
      <c r="F1233" s="1" t="s">
        <v>38</v>
      </c>
      <c r="G1233" s="2">
        <v>45966</v>
      </c>
      <c r="H1233" s="2">
        <v>45981</v>
      </c>
      <c r="I1233" s="1" t="s">
        <v>28</v>
      </c>
      <c r="J1233">
        <v>5</v>
      </c>
      <c r="K1233">
        <v>15</v>
      </c>
      <c r="L1233">
        <v>14</v>
      </c>
      <c r="M1233" s="1" t="s">
        <v>33</v>
      </c>
      <c r="N1233" s="2">
        <v>45962</v>
      </c>
      <c r="O1233">
        <v>2025</v>
      </c>
      <c r="P1233">
        <v>4</v>
      </c>
      <c r="Q1233" s="1" t="s">
        <v>24</v>
      </c>
    </row>
    <row r="1234" spans="1:17" x14ac:dyDescent="0.3">
      <c r="A1234" s="1" t="s">
        <v>1299</v>
      </c>
      <c r="B1234" s="1" t="s">
        <v>35</v>
      </c>
      <c r="C1234" s="1" t="s">
        <v>36</v>
      </c>
      <c r="D1234" s="1" t="s">
        <v>51</v>
      </c>
      <c r="E1234" s="1" t="s">
        <v>21</v>
      </c>
      <c r="F1234" s="1" t="s">
        <v>52</v>
      </c>
      <c r="G1234" s="2">
        <v>45963</v>
      </c>
      <c r="H1234" s="2">
        <v>45965</v>
      </c>
      <c r="I1234" s="1" t="s">
        <v>28</v>
      </c>
      <c r="J1234">
        <v>5</v>
      </c>
      <c r="K1234">
        <v>2</v>
      </c>
      <c r="L1234">
        <v>10</v>
      </c>
      <c r="M1234" s="1" t="s">
        <v>24</v>
      </c>
      <c r="N1234" s="2">
        <v>45962</v>
      </c>
      <c r="O1234">
        <v>2025</v>
      </c>
      <c r="P1234">
        <v>4</v>
      </c>
      <c r="Q1234" s="1" t="s">
        <v>24</v>
      </c>
    </row>
    <row r="1235" spans="1:17" x14ac:dyDescent="0.3">
      <c r="A1235" s="1" t="s">
        <v>1300</v>
      </c>
      <c r="B1235" s="1" t="s">
        <v>26</v>
      </c>
      <c r="C1235" s="1" t="s">
        <v>54</v>
      </c>
      <c r="D1235" s="1" t="s">
        <v>51</v>
      </c>
      <c r="E1235" s="1" t="s">
        <v>21</v>
      </c>
      <c r="F1235" s="1" t="s">
        <v>22</v>
      </c>
      <c r="G1235" s="2">
        <v>45795</v>
      </c>
      <c r="H1235" s="2">
        <v>45798</v>
      </c>
      <c r="I1235" s="1" t="s">
        <v>23</v>
      </c>
      <c r="J1235">
        <v>5</v>
      </c>
      <c r="K1235">
        <v>3</v>
      </c>
      <c r="L1235">
        <v>10</v>
      </c>
      <c r="M1235" s="1" t="s">
        <v>24</v>
      </c>
      <c r="N1235" s="2">
        <v>45778</v>
      </c>
      <c r="O1235">
        <v>2025</v>
      </c>
      <c r="P1235">
        <v>2</v>
      </c>
      <c r="Q1235" s="1" t="s">
        <v>24</v>
      </c>
    </row>
    <row r="1236" spans="1:17" x14ac:dyDescent="0.3">
      <c r="A1236" s="1" t="s">
        <v>1301</v>
      </c>
      <c r="B1236" s="1" t="s">
        <v>26</v>
      </c>
      <c r="C1236" s="1" t="s">
        <v>27</v>
      </c>
      <c r="D1236" s="1" t="s">
        <v>20</v>
      </c>
      <c r="E1236" s="1" t="s">
        <v>21</v>
      </c>
      <c r="F1236" s="1" t="s">
        <v>52</v>
      </c>
      <c r="G1236" s="2">
        <v>45816</v>
      </c>
      <c r="H1236" s="2">
        <v>45819</v>
      </c>
      <c r="I1236" s="1" t="s">
        <v>39</v>
      </c>
      <c r="J1236">
        <v>5</v>
      </c>
      <c r="K1236">
        <v>3</v>
      </c>
      <c r="L1236">
        <v>14</v>
      </c>
      <c r="M1236" s="1" t="s">
        <v>24</v>
      </c>
      <c r="N1236" s="2">
        <v>45809</v>
      </c>
      <c r="O1236">
        <v>2025</v>
      </c>
      <c r="P1236">
        <v>2</v>
      </c>
      <c r="Q1236" s="1" t="s">
        <v>24</v>
      </c>
    </row>
    <row r="1237" spans="1:17" x14ac:dyDescent="0.3">
      <c r="A1237" s="1" t="s">
        <v>1302</v>
      </c>
      <c r="B1237" s="1" t="s">
        <v>26</v>
      </c>
      <c r="C1237" s="1" t="s">
        <v>54</v>
      </c>
      <c r="D1237" s="1" t="s">
        <v>51</v>
      </c>
      <c r="E1237" s="1" t="s">
        <v>21</v>
      </c>
      <c r="F1237" s="1" t="s">
        <v>38</v>
      </c>
      <c r="G1237" s="2">
        <v>45840</v>
      </c>
      <c r="H1237" s="2">
        <v>45844</v>
      </c>
      <c r="I1237" s="1" t="s">
        <v>32</v>
      </c>
      <c r="J1237">
        <v>5</v>
      </c>
      <c r="K1237">
        <v>4</v>
      </c>
      <c r="L1237">
        <v>10</v>
      </c>
      <c r="M1237" s="1" t="s">
        <v>24</v>
      </c>
      <c r="N1237" s="2">
        <v>45839</v>
      </c>
      <c r="O1237">
        <v>2025</v>
      </c>
      <c r="P1237">
        <v>3</v>
      </c>
      <c r="Q1237" s="1" t="s">
        <v>24</v>
      </c>
    </row>
    <row r="1238" spans="1:17" x14ac:dyDescent="0.3">
      <c r="A1238" s="1" t="s">
        <v>1303</v>
      </c>
      <c r="B1238" s="1" t="s">
        <v>58</v>
      </c>
      <c r="C1238" s="1" t="s">
        <v>70</v>
      </c>
      <c r="D1238" s="1" t="s">
        <v>51</v>
      </c>
      <c r="E1238" s="1" t="s">
        <v>37</v>
      </c>
      <c r="F1238" s="1" t="s">
        <v>22</v>
      </c>
      <c r="G1238" s="2">
        <v>45670</v>
      </c>
      <c r="H1238" s="2"/>
      <c r="I1238" s="1" t="s">
        <v>39</v>
      </c>
      <c r="L1238">
        <v>10</v>
      </c>
      <c r="M1238" s="1" t="s">
        <v>40</v>
      </c>
      <c r="N1238" s="2">
        <v>45658</v>
      </c>
      <c r="O1238">
        <v>2025</v>
      </c>
      <c r="P1238">
        <v>1</v>
      </c>
      <c r="Q1238" s="1" t="s">
        <v>33</v>
      </c>
    </row>
    <row r="1239" spans="1:17" x14ac:dyDescent="0.3">
      <c r="A1239" s="1" t="s">
        <v>1304</v>
      </c>
      <c r="B1239" s="1" t="s">
        <v>58</v>
      </c>
      <c r="C1239" s="1" t="s">
        <v>70</v>
      </c>
      <c r="D1239" s="1" t="s">
        <v>51</v>
      </c>
      <c r="E1239" s="1" t="s">
        <v>21</v>
      </c>
      <c r="F1239" s="1" t="s">
        <v>38</v>
      </c>
      <c r="G1239" s="2">
        <v>45895</v>
      </c>
      <c r="H1239" s="2">
        <v>45898</v>
      </c>
      <c r="I1239" s="1" t="s">
        <v>28</v>
      </c>
      <c r="J1239">
        <v>5</v>
      </c>
      <c r="K1239">
        <v>3</v>
      </c>
      <c r="L1239">
        <v>10</v>
      </c>
      <c r="M1239" s="1" t="s">
        <v>24</v>
      </c>
      <c r="N1239" s="2">
        <v>45870</v>
      </c>
      <c r="O1239">
        <v>2025</v>
      </c>
      <c r="P1239">
        <v>3</v>
      </c>
      <c r="Q1239" s="1" t="s">
        <v>24</v>
      </c>
    </row>
    <row r="1240" spans="1:17" x14ac:dyDescent="0.3">
      <c r="A1240" s="1" t="s">
        <v>1305</v>
      </c>
      <c r="B1240" s="1" t="s">
        <v>63</v>
      </c>
      <c r="C1240" s="1" t="s">
        <v>64</v>
      </c>
      <c r="D1240" s="1" t="s">
        <v>44</v>
      </c>
      <c r="E1240" s="1" t="s">
        <v>21</v>
      </c>
      <c r="F1240" s="1" t="s">
        <v>22</v>
      </c>
      <c r="G1240" s="2">
        <v>45914</v>
      </c>
      <c r="H1240" s="2">
        <v>45919</v>
      </c>
      <c r="I1240" s="1" t="s">
        <v>82</v>
      </c>
      <c r="J1240">
        <v>5</v>
      </c>
      <c r="K1240">
        <v>5</v>
      </c>
      <c r="L1240">
        <v>7</v>
      </c>
      <c r="M1240" s="1" t="s">
        <v>24</v>
      </c>
      <c r="N1240" s="2">
        <v>45901</v>
      </c>
      <c r="O1240">
        <v>2025</v>
      </c>
      <c r="P1240">
        <v>3</v>
      </c>
      <c r="Q1240" s="1" t="s">
        <v>24</v>
      </c>
    </row>
    <row r="1241" spans="1:17" x14ac:dyDescent="0.3">
      <c r="A1241" s="1" t="s">
        <v>1306</v>
      </c>
      <c r="B1241" s="1" t="s">
        <v>35</v>
      </c>
      <c r="C1241" s="1" t="s">
        <v>50</v>
      </c>
      <c r="D1241" s="1" t="s">
        <v>44</v>
      </c>
      <c r="E1241" s="1" t="s">
        <v>21</v>
      </c>
      <c r="F1241" s="1" t="s">
        <v>31</v>
      </c>
      <c r="G1241" s="2">
        <v>45842</v>
      </c>
      <c r="H1241" s="2">
        <v>45847</v>
      </c>
      <c r="I1241" s="1" t="s">
        <v>23</v>
      </c>
      <c r="J1241">
        <v>5</v>
      </c>
      <c r="K1241">
        <v>5</v>
      </c>
      <c r="L1241">
        <v>7</v>
      </c>
      <c r="M1241" s="1" t="s">
        <v>24</v>
      </c>
      <c r="N1241" s="2">
        <v>45839</v>
      </c>
      <c r="O1241">
        <v>2025</v>
      </c>
      <c r="P1241">
        <v>3</v>
      </c>
      <c r="Q1241" s="1" t="s">
        <v>24</v>
      </c>
    </row>
    <row r="1242" spans="1:17" x14ac:dyDescent="0.3">
      <c r="A1242" s="1" t="s">
        <v>1307</v>
      </c>
      <c r="B1242" s="1" t="s">
        <v>18</v>
      </c>
      <c r="C1242" s="1" t="s">
        <v>30</v>
      </c>
      <c r="D1242" s="1" t="s">
        <v>20</v>
      </c>
      <c r="E1242" s="1" t="s">
        <v>48</v>
      </c>
      <c r="F1242" s="1" t="s">
        <v>38</v>
      </c>
      <c r="G1242" s="2">
        <v>45968</v>
      </c>
      <c r="H1242" s="2"/>
      <c r="I1242" s="1" t="s">
        <v>28</v>
      </c>
      <c r="L1242">
        <v>14</v>
      </c>
      <c r="M1242" s="1" t="s">
        <v>40</v>
      </c>
      <c r="N1242" s="2">
        <v>45962</v>
      </c>
      <c r="O1242">
        <v>2025</v>
      </c>
      <c r="P1242">
        <v>4</v>
      </c>
      <c r="Q1242" s="1" t="s">
        <v>33</v>
      </c>
    </row>
    <row r="1243" spans="1:17" x14ac:dyDescent="0.3">
      <c r="A1243" s="1" t="s">
        <v>1308</v>
      </c>
      <c r="B1243" s="1" t="s">
        <v>26</v>
      </c>
      <c r="C1243" s="1" t="s">
        <v>27</v>
      </c>
      <c r="D1243" s="1" t="s">
        <v>20</v>
      </c>
      <c r="E1243" s="1" t="s">
        <v>21</v>
      </c>
      <c r="F1243" s="1" t="s">
        <v>38</v>
      </c>
      <c r="G1243" s="2">
        <v>45816</v>
      </c>
      <c r="H1243" s="2">
        <v>45827</v>
      </c>
      <c r="I1243" s="1" t="s">
        <v>39</v>
      </c>
      <c r="J1243">
        <v>5</v>
      </c>
      <c r="K1243">
        <v>11</v>
      </c>
      <c r="L1243">
        <v>14</v>
      </c>
      <c r="M1243" s="1" t="s">
        <v>24</v>
      </c>
      <c r="N1243" s="2">
        <v>45809</v>
      </c>
      <c r="O1243">
        <v>2025</v>
      </c>
      <c r="P1243">
        <v>2</v>
      </c>
      <c r="Q1243" s="1" t="s">
        <v>24</v>
      </c>
    </row>
    <row r="1244" spans="1:17" x14ac:dyDescent="0.3">
      <c r="A1244" s="1" t="s">
        <v>1309</v>
      </c>
      <c r="B1244" s="1" t="s">
        <v>42</v>
      </c>
      <c r="C1244" s="1" t="s">
        <v>87</v>
      </c>
      <c r="D1244" s="1" t="s">
        <v>51</v>
      </c>
      <c r="E1244" s="1" t="s">
        <v>48</v>
      </c>
      <c r="F1244" s="1" t="s">
        <v>38</v>
      </c>
      <c r="G1244" s="2">
        <v>45740</v>
      </c>
      <c r="H1244" s="2"/>
      <c r="I1244" s="1" t="s">
        <v>32</v>
      </c>
      <c r="L1244">
        <v>10</v>
      </c>
      <c r="M1244" s="1" t="s">
        <v>40</v>
      </c>
      <c r="N1244" s="2">
        <v>45717</v>
      </c>
      <c r="O1244">
        <v>2025</v>
      </c>
      <c r="P1244">
        <v>1</v>
      </c>
      <c r="Q1244" s="1" t="s">
        <v>33</v>
      </c>
    </row>
    <row r="1245" spans="1:17" x14ac:dyDescent="0.3">
      <c r="A1245" s="1" t="s">
        <v>1310</v>
      </c>
      <c r="B1245" s="1" t="s">
        <v>26</v>
      </c>
      <c r="C1245" s="1" t="s">
        <v>123</v>
      </c>
      <c r="D1245" s="1" t="s">
        <v>51</v>
      </c>
      <c r="E1245" s="1" t="s">
        <v>21</v>
      </c>
      <c r="F1245" s="1" t="s">
        <v>31</v>
      </c>
      <c r="G1245" s="2">
        <v>46021</v>
      </c>
      <c r="H1245" s="2">
        <v>46030</v>
      </c>
      <c r="I1245" s="1" t="s">
        <v>32</v>
      </c>
      <c r="J1245">
        <v>3</v>
      </c>
      <c r="K1245">
        <v>9</v>
      </c>
      <c r="L1245">
        <v>10</v>
      </c>
      <c r="M1245" s="1" t="s">
        <v>24</v>
      </c>
      <c r="N1245" s="2">
        <v>45992</v>
      </c>
      <c r="O1245">
        <v>2025</v>
      </c>
      <c r="P1245">
        <v>4</v>
      </c>
      <c r="Q1245" s="1" t="s">
        <v>24</v>
      </c>
    </row>
    <row r="1246" spans="1:17" x14ac:dyDescent="0.3">
      <c r="A1246" s="1" t="s">
        <v>1311</v>
      </c>
      <c r="B1246" s="1" t="s">
        <v>58</v>
      </c>
      <c r="C1246" s="1" t="s">
        <v>108</v>
      </c>
      <c r="D1246" s="1" t="s">
        <v>44</v>
      </c>
      <c r="E1246" s="1" t="s">
        <v>48</v>
      </c>
      <c r="F1246" s="1" t="s">
        <v>38</v>
      </c>
      <c r="G1246" s="2">
        <v>45907</v>
      </c>
      <c r="H1246" s="2"/>
      <c r="I1246" s="1" t="s">
        <v>32</v>
      </c>
      <c r="L1246">
        <v>7</v>
      </c>
      <c r="M1246" s="1" t="s">
        <v>40</v>
      </c>
      <c r="N1246" s="2">
        <v>45901</v>
      </c>
      <c r="O1246">
        <v>2025</v>
      </c>
      <c r="P1246">
        <v>3</v>
      </c>
      <c r="Q1246" s="1" t="s">
        <v>33</v>
      </c>
    </row>
    <row r="1247" spans="1:17" x14ac:dyDescent="0.3">
      <c r="A1247" s="1" t="s">
        <v>1312</v>
      </c>
      <c r="B1247" s="1" t="s">
        <v>35</v>
      </c>
      <c r="C1247" s="1" t="s">
        <v>50</v>
      </c>
      <c r="D1247" s="1" t="s">
        <v>51</v>
      </c>
      <c r="E1247" s="1" t="s">
        <v>21</v>
      </c>
      <c r="F1247" s="1" t="s">
        <v>22</v>
      </c>
      <c r="G1247" s="2">
        <v>46006</v>
      </c>
      <c r="H1247" s="2">
        <v>46010</v>
      </c>
      <c r="I1247" s="1" t="s">
        <v>82</v>
      </c>
      <c r="J1247">
        <v>4</v>
      </c>
      <c r="K1247">
        <v>4</v>
      </c>
      <c r="L1247">
        <v>10</v>
      </c>
      <c r="M1247" s="1" t="s">
        <v>24</v>
      </c>
      <c r="N1247" s="2">
        <v>45992</v>
      </c>
      <c r="O1247">
        <v>2025</v>
      </c>
      <c r="P1247">
        <v>4</v>
      </c>
      <c r="Q1247" s="1" t="s">
        <v>24</v>
      </c>
    </row>
    <row r="1248" spans="1:17" x14ac:dyDescent="0.3">
      <c r="A1248" s="1" t="s">
        <v>1313</v>
      </c>
      <c r="B1248" s="1" t="s">
        <v>35</v>
      </c>
      <c r="C1248" s="1" t="s">
        <v>97</v>
      </c>
      <c r="D1248" s="1" t="s">
        <v>20</v>
      </c>
      <c r="E1248" s="1" t="s">
        <v>21</v>
      </c>
      <c r="F1248" s="1" t="s">
        <v>38</v>
      </c>
      <c r="G1248" s="2">
        <v>45888</v>
      </c>
      <c r="H1248" s="2">
        <v>45895</v>
      </c>
      <c r="I1248" s="1" t="s">
        <v>82</v>
      </c>
      <c r="J1248">
        <v>5</v>
      </c>
      <c r="K1248">
        <v>7</v>
      </c>
      <c r="L1248">
        <v>14</v>
      </c>
      <c r="M1248" s="1" t="s">
        <v>24</v>
      </c>
      <c r="N1248" s="2">
        <v>45870</v>
      </c>
      <c r="O1248">
        <v>2025</v>
      </c>
      <c r="P1248">
        <v>3</v>
      </c>
      <c r="Q1248" s="1" t="s">
        <v>24</v>
      </c>
    </row>
    <row r="1249" spans="1:17" x14ac:dyDescent="0.3">
      <c r="A1249" s="1" t="s">
        <v>1314</v>
      </c>
      <c r="B1249" s="1" t="s">
        <v>18</v>
      </c>
      <c r="C1249" s="1" t="s">
        <v>19</v>
      </c>
      <c r="D1249" s="1" t="s">
        <v>44</v>
      </c>
      <c r="E1249" s="1" t="s">
        <v>21</v>
      </c>
      <c r="F1249" s="1" t="s">
        <v>38</v>
      </c>
      <c r="G1249" s="2">
        <v>45945</v>
      </c>
      <c r="H1249" s="2">
        <v>45946</v>
      </c>
      <c r="I1249" s="1" t="s">
        <v>32</v>
      </c>
      <c r="J1249">
        <v>3</v>
      </c>
      <c r="K1249">
        <v>1</v>
      </c>
      <c r="L1249">
        <v>7</v>
      </c>
      <c r="M1249" s="1" t="s">
        <v>24</v>
      </c>
      <c r="N1249" s="2">
        <v>45931</v>
      </c>
      <c r="O1249">
        <v>2025</v>
      </c>
      <c r="P1249">
        <v>4</v>
      </c>
      <c r="Q1249" s="1" t="s">
        <v>24</v>
      </c>
    </row>
    <row r="1250" spans="1:17" x14ac:dyDescent="0.3">
      <c r="A1250" s="1" t="s">
        <v>1315</v>
      </c>
      <c r="B1250" s="1" t="s">
        <v>58</v>
      </c>
      <c r="C1250" s="1" t="s">
        <v>108</v>
      </c>
      <c r="D1250" s="1" t="s">
        <v>51</v>
      </c>
      <c r="E1250" s="1" t="s">
        <v>37</v>
      </c>
      <c r="F1250" s="1" t="s">
        <v>31</v>
      </c>
      <c r="G1250" s="2">
        <v>45772</v>
      </c>
      <c r="H1250" s="2"/>
      <c r="I1250" s="1" t="s">
        <v>39</v>
      </c>
      <c r="L1250">
        <v>10</v>
      </c>
      <c r="M1250" s="1" t="s">
        <v>40</v>
      </c>
      <c r="N1250" s="2">
        <v>45748</v>
      </c>
      <c r="O1250">
        <v>2025</v>
      </c>
      <c r="P1250">
        <v>2</v>
      </c>
      <c r="Q1250" s="1" t="s">
        <v>33</v>
      </c>
    </row>
    <row r="1251" spans="1:17" x14ac:dyDescent="0.3">
      <c r="A1251" s="1" t="s">
        <v>1316</v>
      </c>
      <c r="B1251" s="1" t="s">
        <v>18</v>
      </c>
      <c r="C1251" s="1" t="s">
        <v>19</v>
      </c>
      <c r="D1251" s="1" t="s">
        <v>51</v>
      </c>
      <c r="E1251" s="1" t="s">
        <v>21</v>
      </c>
      <c r="F1251" s="1" t="s">
        <v>61</v>
      </c>
      <c r="G1251" s="2">
        <v>45931</v>
      </c>
      <c r="H1251" s="2">
        <v>45940</v>
      </c>
      <c r="I1251" s="1" t="s">
        <v>23</v>
      </c>
      <c r="J1251">
        <v>2</v>
      </c>
      <c r="K1251">
        <v>9</v>
      </c>
      <c r="L1251">
        <v>10</v>
      </c>
      <c r="M1251" s="1" t="s">
        <v>24</v>
      </c>
      <c r="N1251" s="2">
        <v>45931</v>
      </c>
      <c r="O1251">
        <v>2025</v>
      </c>
      <c r="P1251">
        <v>4</v>
      </c>
      <c r="Q1251" s="1" t="s">
        <v>24</v>
      </c>
    </row>
    <row r="1252" spans="1:17" x14ac:dyDescent="0.3">
      <c r="A1252" s="1" t="s">
        <v>1317</v>
      </c>
      <c r="B1252" s="1" t="s">
        <v>58</v>
      </c>
      <c r="C1252" s="1" t="s">
        <v>145</v>
      </c>
      <c r="D1252" s="1" t="s">
        <v>20</v>
      </c>
      <c r="E1252" s="1" t="s">
        <v>21</v>
      </c>
      <c r="F1252" s="1" t="s">
        <v>31</v>
      </c>
      <c r="G1252" s="2">
        <v>45820</v>
      </c>
      <c r="H1252" s="2">
        <v>45828</v>
      </c>
      <c r="I1252" s="1" t="s">
        <v>28</v>
      </c>
      <c r="J1252">
        <v>5</v>
      </c>
      <c r="K1252">
        <v>8</v>
      </c>
      <c r="L1252">
        <v>14</v>
      </c>
      <c r="M1252" s="1" t="s">
        <v>24</v>
      </c>
      <c r="N1252" s="2">
        <v>45809</v>
      </c>
      <c r="O1252">
        <v>2025</v>
      </c>
      <c r="P1252">
        <v>2</v>
      </c>
      <c r="Q1252" s="1" t="s">
        <v>24</v>
      </c>
    </row>
    <row r="1253" spans="1:17" x14ac:dyDescent="0.3">
      <c r="A1253" s="1" t="s">
        <v>1318</v>
      </c>
      <c r="B1253" s="1" t="s">
        <v>18</v>
      </c>
      <c r="C1253" s="1" t="s">
        <v>30</v>
      </c>
      <c r="D1253" s="1" t="s">
        <v>20</v>
      </c>
      <c r="E1253" s="1" t="s">
        <v>21</v>
      </c>
      <c r="F1253" s="1" t="s">
        <v>61</v>
      </c>
      <c r="G1253" s="2">
        <v>45937</v>
      </c>
      <c r="H1253" s="2">
        <v>45942</v>
      </c>
      <c r="I1253" s="1" t="s">
        <v>28</v>
      </c>
      <c r="J1253">
        <v>5</v>
      </c>
      <c r="K1253">
        <v>5</v>
      </c>
      <c r="L1253">
        <v>14</v>
      </c>
      <c r="M1253" s="1" t="s">
        <v>24</v>
      </c>
      <c r="N1253" s="2">
        <v>45931</v>
      </c>
      <c r="O1253">
        <v>2025</v>
      </c>
      <c r="P1253">
        <v>4</v>
      </c>
      <c r="Q1253" s="1" t="s">
        <v>24</v>
      </c>
    </row>
    <row r="1254" spans="1:17" x14ac:dyDescent="0.3">
      <c r="A1254" s="1" t="s">
        <v>1319</v>
      </c>
      <c r="B1254" s="1" t="s">
        <v>35</v>
      </c>
      <c r="C1254" s="1" t="s">
        <v>99</v>
      </c>
      <c r="D1254" s="1" t="s">
        <v>71</v>
      </c>
      <c r="E1254" s="1" t="s">
        <v>37</v>
      </c>
      <c r="F1254" s="1" t="s">
        <v>52</v>
      </c>
      <c r="G1254" s="2">
        <v>45689</v>
      </c>
      <c r="H1254" s="2"/>
      <c r="I1254" s="1" t="s">
        <v>39</v>
      </c>
      <c r="L1254">
        <v>3</v>
      </c>
      <c r="M1254" s="1" t="s">
        <v>40</v>
      </c>
      <c r="N1254" s="2">
        <v>45689</v>
      </c>
      <c r="O1254">
        <v>2025</v>
      </c>
      <c r="P1254">
        <v>1</v>
      </c>
      <c r="Q1254" s="1" t="s">
        <v>33</v>
      </c>
    </row>
    <row r="1255" spans="1:17" x14ac:dyDescent="0.3">
      <c r="A1255" s="1" t="s">
        <v>1320</v>
      </c>
      <c r="B1255" s="1" t="s">
        <v>58</v>
      </c>
      <c r="C1255" s="1" t="s">
        <v>108</v>
      </c>
      <c r="D1255" s="1" t="s">
        <v>20</v>
      </c>
      <c r="E1255" s="1" t="s">
        <v>48</v>
      </c>
      <c r="F1255" s="1" t="s">
        <v>31</v>
      </c>
      <c r="G1255" s="2">
        <v>46008</v>
      </c>
      <c r="H1255" s="2"/>
      <c r="I1255" s="1" t="s">
        <v>32</v>
      </c>
      <c r="L1255">
        <v>14</v>
      </c>
      <c r="M1255" s="1" t="s">
        <v>40</v>
      </c>
      <c r="N1255" s="2">
        <v>45992</v>
      </c>
      <c r="O1255">
        <v>2025</v>
      </c>
      <c r="P1255">
        <v>4</v>
      </c>
      <c r="Q1255" s="1" t="s">
        <v>33</v>
      </c>
    </row>
    <row r="1256" spans="1:17" x14ac:dyDescent="0.3">
      <c r="A1256" s="1" t="s">
        <v>1321</v>
      </c>
      <c r="B1256" s="1" t="s">
        <v>35</v>
      </c>
      <c r="C1256" s="1" t="s">
        <v>36</v>
      </c>
      <c r="D1256" s="1" t="s">
        <v>20</v>
      </c>
      <c r="E1256" s="1" t="s">
        <v>21</v>
      </c>
      <c r="F1256" s="1" t="s">
        <v>31</v>
      </c>
      <c r="G1256" s="2">
        <v>45865</v>
      </c>
      <c r="H1256" s="2">
        <v>45869</v>
      </c>
      <c r="I1256" s="1" t="s">
        <v>39</v>
      </c>
      <c r="J1256">
        <v>4</v>
      </c>
      <c r="K1256">
        <v>4</v>
      </c>
      <c r="L1256">
        <v>14</v>
      </c>
      <c r="M1256" s="1" t="s">
        <v>24</v>
      </c>
      <c r="N1256" s="2">
        <v>45839</v>
      </c>
      <c r="O1256">
        <v>2025</v>
      </c>
      <c r="P1256">
        <v>3</v>
      </c>
      <c r="Q1256" s="1" t="s">
        <v>24</v>
      </c>
    </row>
    <row r="1257" spans="1:17" x14ac:dyDescent="0.3">
      <c r="A1257" s="1" t="s">
        <v>1322</v>
      </c>
      <c r="B1257" s="1" t="s">
        <v>26</v>
      </c>
      <c r="C1257" s="1" t="s">
        <v>54</v>
      </c>
      <c r="D1257" s="1" t="s">
        <v>51</v>
      </c>
      <c r="E1257" s="1" t="s">
        <v>21</v>
      </c>
      <c r="F1257" s="1" t="s">
        <v>31</v>
      </c>
      <c r="G1257" s="2">
        <v>45685</v>
      </c>
      <c r="H1257" s="2">
        <v>45688</v>
      </c>
      <c r="I1257" s="1" t="s">
        <v>32</v>
      </c>
      <c r="J1257">
        <v>5</v>
      </c>
      <c r="K1257">
        <v>3</v>
      </c>
      <c r="L1257">
        <v>10</v>
      </c>
      <c r="M1257" s="1" t="s">
        <v>24</v>
      </c>
      <c r="N1257" s="2">
        <v>45658</v>
      </c>
      <c r="O1257">
        <v>2025</v>
      </c>
      <c r="P1257">
        <v>1</v>
      </c>
      <c r="Q1257" s="1" t="s">
        <v>24</v>
      </c>
    </row>
    <row r="1258" spans="1:17" x14ac:dyDescent="0.3">
      <c r="A1258" s="1" t="s">
        <v>1323</v>
      </c>
      <c r="B1258" s="1" t="s">
        <v>35</v>
      </c>
      <c r="C1258" s="1" t="s">
        <v>36</v>
      </c>
      <c r="D1258" s="1" t="s">
        <v>20</v>
      </c>
      <c r="E1258" s="1" t="s">
        <v>48</v>
      </c>
      <c r="F1258" s="1" t="s">
        <v>31</v>
      </c>
      <c r="G1258" s="2">
        <v>45904</v>
      </c>
      <c r="H1258" s="2"/>
      <c r="I1258" s="1" t="s">
        <v>82</v>
      </c>
      <c r="L1258">
        <v>14</v>
      </c>
      <c r="M1258" s="1" t="s">
        <v>40</v>
      </c>
      <c r="N1258" s="2">
        <v>45901</v>
      </c>
      <c r="O1258">
        <v>2025</v>
      </c>
      <c r="P1258">
        <v>3</v>
      </c>
      <c r="Q1258" s="1" t="s">
        <v>33</v>
      </c>
    </row>
    <row r="1259" spans="1:17" x14ac:dyDescent="0.3">
      <c r="A1259" s="1" t="s">
        <v>1324</v>
      </c>
      <c r="B1259" s="1" t="s">
        <v>18</v>
      </c>
      <c r="C1259" s="1" t="s">
        <v>47</v>
      </c>
      <c r="D1259" s="1" t="s">
        <v>71</v>
      </c>
      <c r="E1259" s="1" t="s">
        <v>21</v>
      </c>
      <c r="F1259" s="1" t="s">
        <v>22</v>
      </c>
      <c r="G1259" s="2">
        <v>46012</v>
      </c>
      <c r="H1259" s="2">
        <v>46015</v>
      </c>
      <c r="I1259" s="1" t="s">
        <v>82</v>
      </c>
      <c r="J1259">
        <v>5</v>
      </c>
      <c r="K1259">
        <v>3</v>
      </c>
      <c r="L1259">
        <v>3</v>
      </c>
      <c r="M1259" s="1" t="s">
        <v>24</v>
      </c>
      <c r="N1259" s="2">
        <v>45992</v>
      </c>
      <c r="O1259">
        <v>2025</v>
      </c>
      <c r="P1259">
        <v>4</v>
      </c>
      <c r="Q1259" s="1" t="s">
        <v>24</v>
      </c>
    </row>
    <row r="1260" spans="1:17" x14ac:dyDescent="0.3">
      <c r="A1260" s="1" t="s">
        <v>1325</v>
      </c>
      <c r="B1260" s="1" t="s">
        <v>63</v>
      </c>
      <c r="C1260" s="1" t="s">
        <v>74</v>
      </c>
      <c r="D1260" s="1" t="s">
        <v>44</v>
      </c>
      <c r="E1260" s="1" t="s">
        <v>21</v>
      </c>
      <c r="F1260" s="1" t="s">
        <v>52</v>
      </c>
      <c r="G1260" s="2">
        <v>45732</v>
      </c>
      <c r="H1260" s="2">
        <v>45735</v>
      </c>
      <c r="I1260" s="1" t="s">
        <v>23</v>
      </c>
      <c r="J1260">
        <v>5</v>
      </c>
      <c r="K1260">
        <v>3</v>
      </c>
      <c r="L1260">
        <v>7</v>
      </c>
      <c r="M1260" s="1" t="s">
        <v>24</v>
      </c>
      <c r="N1260" s="2">
        <v>45717</v>
      </c>
      <c r="O1260">
        <v>2025</v>
      </c>
      <c r="P1260">
        <v>1</v>
      </c>
      <c r="Q1260" s="1" t="s">
        <v>24</v>
      </c>
    </row>
    <row r="1261" spans="1:17" x14ac:dyDescent="0.3">
      <c r="A1261" s="1" t="s">
        <v>1326</v>
      </c>
      <c r="B1261" s="1" t="s">
        <v>63</v>
      </c>
      <c r="C1261" s="1" t="s">
        <v>89</v>
      </c>
      <c r="D1261" s="1" t="s">
        <v>44</v>
      </c>
      <c r="E1261" s="1" t="s">
        <v>21</v>
      </c>
      <c r="F1261" s="1" t="s">
        <v>31</v>
      </c>
      <c r="G1261" s="2">
        <v>45820</v>
      </c>
      <c r="H1261" s="2">
        <v>45821</v>
      </c>
      <c r="I1261" s="1" t="s">
        <v>32</v>
      </c>
      <c r="J1261">
        <v>5</v>
      </c>
      <c r="K1261">
        <v>1</v>
      </c>
      <c r="L1261">
        <v>7</v>
      </c>
      <c r="M1261" s="1" t="s">
        <v>24</v>
      </c>
      <c r="N1261" s="2">
        <v>45809</v>
      </c>
      <c r="O1261">
        <v>2025</v>
      </c>
      <c r="P1261">
        <v>2</v>
      </c>
      <c r="Q1261" s="1" t="s">
        <v>24</v>
      </c>
    </row>
    <row r="1262" spans="1:17" x14ac:dyDescent="0.3">
      <c r="A1262" s="1" t="s">
        <v>1327</v>
      </c>
      <c r="B1262" s="1" t="s">
        <v>26</v>
      </c>
      <c r="C1262" s="1" t="s">
        <v>67</v>
      </c>
      <c r="D1262" s="1" t="s">
        <v>71</v>
      </c>
      <c r="E1262" s="1" t="s">
        <v>48</v>
      </c>
      <c r="F1262" s="1" t="s">
        <v>31</v>
      </c>
      <c r="G1262" s="2">
        <v>45722</v>
      </c>
      <c r="H1262" s="2"/>
      <c r="I1262" s="1" t="s">
        <v>82</v>
      </c>
      <c r="L1262">
        <v>3</v>
      </c>
      <c r="M1262" s="1" t="s">
        <v>40</v>
      </c>
      <c r="N1262" s="2">
        <v>45717</v>
      </c>
      <c r="O1262">
        <v>2025</v>
      </c>
      <c r="P1262">
        <v>1</v>
      </c>
      <c r="Q1262" s="1" t="s">
        <v>33</v>
      </c>
    </row>
    <row r="1263" spans="1:17" x14ac:dyDescent="0.3">
      <c r="A1263" s="1" t="s">
        <v>1328</v>
      </c>
      <c r="B1263" s="1" t="s">
        <v>42</v>
      </c>
      <c r="C1263" s="1" t="s">
        <v>81</v>
      </c>
      <c r="D1263" s="1" t="s">
        <v>20</v>
      </c>
      <c r="E1263" s="1" t="s">
        <v>48</v>
      </c>
      <c r="F1263" s="1" t="s">
        <v>22</v>
      </c>
      <c r="G1263" s="2">
        <v>45873</v>
      </c>
      <c r="H1263" s="2"/>
      <c r="I1263" s="1" t="s">
        <v>28</v>
      </c>
      <c r="L1263">
        <v>14</v>
      </c>
      <c r="M1263" s="1" t="s">
        <v>40</v>
      </c>
      <c r="N1263" s="2">
        <v>45870</v>
      </c>
      <c r="O1263">
        <v>2025</v>
      </c>
      <c r="P1263">
        <v>3</v>
      </c>
      <c r="Q1263" s="1" t="s">
        <v>33</v>
      </c>
    </row>
    <row r="1264" spans="1:17" x14ac:dyDescent="0.3">
      <c r="A1264" s="1" t="s">
        <v>1329</v>
      </c>
      <c r="B1264" s="1" t="s">
        <v>26</v>
      </c>
      <c r="C1264" s="1" t="s">
        <v>27</v>
      </c>
      <c r="D1264" s="1" t="s">
        <v>20</v>
      </c>
      <c r="E1264" s="1" t="s">
        <v>21</v>
      </c>
      <c r="F1264" s="1" t="s">
        <v>38</v>
      </c>
      <c r="G1264" s="2">
        <v>45755</v>
      </c>
      <c r="H1264" s="2">
        <v>45768</v>
      </c>
      <c r="I1264" s="1" t="s">
        <v>32</v>
      </c>
      <c r="J1264">
        <v>4</v>
      </c>
      <c r="K1264">
        <v>13</v>
      </c>
      <c r="L1264">
        <v>14</v>
      </c>
      <c r="M1264" s="1" t="s">
        <v>24</v>
      </c>
      <c r="N1264" s="2">
        <v>45748</v>
      </c>
      <c r="O1264">
        <v>2025</v>
      </c>
      <c r="P1264">
        <v>2</v>
      </c>
      <c r="Q1264" s="1" t="s">
        <v>24</v>
      </c>
    </row>
    <row r="1265" spans="1:17" x14ac:dyDescent="0.3">
      <c r="A1265" s="1" t="s">
        <v>1330</v>
      </c>
      <c r="B1265" s="1" t="s">
        <v>35</v>
      </c>
      <c r="C1265" s="1" t="s">
        <v>99</v>
      </c>
      <c r="D1265" s="1" t="s">
        <v>51</v>
      </c>
      <c r="E1265" s="1" t="s">
        <v>21</v>
      </c>
      <c r="F1265" s="1" t="s">
        <v>31</v>
      </c>
      <c r="G1265" s="2">
        <v>45721</v>
      </c>
      <c r="H1265" s="2">
        <v>45730</v>
      </c>
      <c r="I1265" s="1" t="s">
        <v>39</v>
      </c>
      <c r="J1265">
        <v>4</v>
      </c>
      <c r="K1265">
        <v>9</v>
      </c>
      <c r="L1265">
        <v>10</v>
      </c>
      <c r="M1265" s="1" t="s">
        <v>24</v>
      </c>
      <c r="N1265" s="2">
        <v>45717</v>
      </c>
      <c r="O1265">
        <v>2025</v>
      </c>
      <c r="P1265">
        <v>1</v>
      </c>
      <c r="Q1265" s="1" t="s">
        <v>24</v>
      </c>
    </row>
    <row r="1266" spans="1:17" x14ac:dyDescent="0.3">
      <c r="A1266" s="1" t="s">
        <v>1331</v>
      </c>
      <c r="B1266" s="1" t="s">
        <v>58</v>
      </c>
      <c r="C1266" s="1" t="s">
        <v>59</v>
      </c>
      <c r="D1266" s="1" t="s">
        <v>51</v>
      </c>
      <c r="E1266" s="1" t="s">
        <v>21</v>
      </c>
      <c r="F1266" s="1" t="s">
        <v>61</v>
      </c>
      <c r="G1266" s="2">
        <v>45925</v>
      </c>
      <c r="H1266" s="2">
        <v>45932</v>
      </c>
      <c r="I1266" s="1" t="s">
        <v>39</v>
      </c>
      <c r="J1266">
        <v>3</v>
      </c>
      <c r="K1266">
        <v>7</v>
      </c>
      <c r="L1266">
        <v>10</v>
      </c>
      <c r="M1266" s="1" t="s">
        <v>24</v>
      </c>
      <c r="N1266" s="2">
        <v>45901</v>
      </c>
      <c r="O1266">
        <v>2025</v>
      </c>
      <c r="P1266">
        <v>3</v>
      </c>
      <c r="Q1266" s="1" t="s">
        <v>24</v>
      </c>
    </row>
    <row r="1267" spans="1:17" x14ac:dyDescent="0.3">
      <c r="A1267" s="1" t="s">
        <v>1332</v>
      </c>
      <c r="B1267" s="1" t="s">
        <v>58</v>
      </c>
      <c r="C1267" s="1" t="s">
        <v>59</v>
      </c>
      <c r="D1267" s="1" t="s">
        <v>20</v>
      </c>
      <c r="E1267" s="1" t="s">
        <v>21</v>
      </c>
      <c r="F1267" s="1" t="s">
        <v>31</v>
      </c>
      <c r="G1267" s="2">
        <v>45935</v>
      </c>
      <c r="H1267" s="2">
        <v>45944</v>
      </c>
      <c r="I1267" s="1" t="s">
        <v>32</v>
      </c>
      <c r="J1267">
        <v>4</v>
      </c>
      <c r="K1267">
        <v>9</v>
      </c>
      <c r="L1267">
        <v>14</v>
      </c>
      <c r="M1267" s="1" t="s">
        <v>24</v>
      </c>
      <c r="N1267" s="2">
        <v>45931</v>
      </c>
      <c r="O1267">
        <v>2025</v>
      </c>
      <c r="P1267">
        <v>4</v>
      </c>
      <c r="Q1267" s="1" t="s">
        <v>24</v>
      </c>
    </row>
    <row r="1268" spans="1:17" x14ac:dyDescent="0.3">
      <c r="A1268" s="1" t="s">
        <v>1333</v>
      </c>
      <c r="B1268" s="1" t="s">
        <v>18</v>
      </c>
      <c r="C1268" s="1" t="s">
        <v>19</v>
      </c>
      <c r="D1268" s="1" t="s">
        <v>71</v>
      </c>
      <c r="E1268" s="1" t="s">
        <v>37</v>
      </c>
      <c r="F1268" s="1" t="s">
        <v>38</v>
      </c>
      <c r="G1268" s="2">
        <v>45711</v>
      </c>
      <c r="H1268" s="2"/>
      <c r="I1268" s="1" t="s">
        <v>23</v>
      </c>
      <c r="L1268">
        <v>3</v>
      </c>
      <c r="M1268" s="1" t="s">
        <v>40</v>
      </c>
      <c r="N1268" s="2">
        <v>45689</v>
      </c>
      <c r="O1268">
        <v>2025</v>
      </c>
      <c r="P1268">
        <v>1</v>
      </c>
      <c r="Q1268" s="1" t="s">
        <v>33</v>
      </c>
    </row>
    <row r="1269" spans="1:17" x14ac:dyDescent="0.3">
      <c r="A1269" s="1" t="s">
        <v>1334</v>
      </c>
      <c r="B1269" s="1" t="s">
        <v>26</v>
      </c>
      <c r="C1269" s="1" t="s">
        <v>27</v>
      </c>
      <c r="D1269" s="1" t="s">
        <v>20</v>
      </c>
      <c r="E1269" s="1" t="s">
        <v>37</v>
      </c>
      <c r="F1269" s="1" t="s">
        <v>22</v>
      </c>
      <c r="G1269" s="2">
        <v>45977</v>
      </c>
      <c r="H1269" s="2"/>
      <c r="I1269" s="1" t="s">
        <v>23</v>
      </c>
      <c r="L1269">
        <v>14</v>
      </c>
      <c r="M1269" s="1" t="s">
        <v>40</v>
      </c>
      <c r="N1269" s="2">
        <v>45962</v>
      </c>
      <c r="O1269">
        <v>2025</v>
      </c>
      <c r="P1269">
        <v>4</v>
      </c>
      <c r="Q1269" s="1" t="s">
        <v>33</v>
      </c>
    </row>
    <row r="1270" spans="1:17" x14ac:dyDescent="0.3">
      <c r="A1270" s="1" t="s">
        <v>1335</v>
      </c>
      <c r="B1270" s="1" t="s">
        <v>18</v>
      </c>
      <c r="C1270" s="1" t="s">
        <v>30</v>
      </c>
      <c r="D1270" s="1" t="s">
        <v>51</v>
      </c>
      <c r="E1270" s="1" t="s">
        <v>37</v>
      </c>
      <c r="F1270" s="1" t="s">
        <v>52</v>
      </c>
      <c r="G1270" s="2">
        <v>45999</v>
      </c>
      <c r="H1270" s="2"/>
      <c r="I1270" s="1" t="s">
        <v>39</v>
      </c>
      <c r="L1270">
        <v>10</v>
      </c>
      <c r="M1270" s="1" t="s">
        <v>40</v>
      </c>
      <c r="N1270" s="2">
        <v>45992</v>
      </c>
      <c r="O1270">
        <v>2025</v>
      </c>
      <c r="P1270">
        <v>4</v>
      </c>
      <c r="Q1270" s="1" t="s">
        <v>33</v>
      </c>
    </row>
    <row r="1271" spans="1:17" x14ac:dyDescent="0.3">
      <c r="A1271" s="1" t="s">
        <v>1336</v>
      </c>
      <c r="B1271" s="1" t="s">
        <v>63</v>
      </c>
      <c r="C1271" s="1" t="s">
        <v>64</v>
      </c>
      <c r="D1271" s="1" t="s">
        <v>44</v>
      </c>
      <c r="E1271" s="1" t="s">
        <v>21</v>
      </c>
      <c r="F1271" s="1" t="s">
        <v>38</v>
      </c>
      <c r="G1271" s="2">
        <v>45716</v>
      </c>
      <c r="H1271" s="2">
        <v>45718</v>
      </c>
      <c r="I1271" s="1" t="s">
        <v>32</v>
      </c>
      <c r="J1271">
        <v>5</v>
      </c>
      <c r="K1271">
        <v>2</v>
      </c>
      <c r="L1271">
        <v>7</v>
      </c>
      <c r="M1271" s="1" t="s">
        <v>24</v>
      </c>
      <c r="N1271" s="2">
        <v>45689</v>
      </c>
      <c r="O1271">
        <v>2025</v>
      </c>
      <c r="P1271">
        <v>1</v>
      </c>
      <c r="Q1271" s="1" t="s">
        <v>24</v>
      </c>
    </row>
    <row r="1272" spans="1:17" x14ac:dyDescent="0.3">
      <c r="A1272" s="1" t="s">
        <v>1337</v>
      </c>
      <c r="B1272" s="1" t="s">
        <v>58</v>
      </c>
      <c r="C1272" s="1" t="s">
        <v>145</v>
      </c>
      <c r="D1272" s="1" t="s">
        <v>44</v>
      </c>
      <c r="E1272" s="1" t="s">
        <v>21</v>
      </c>
      <c r="F1272" s="1" t="s">
        <v>61</v>
      </c>
      <c r="G1272" s="2">
        <v>45860</v>
      </c>
      <c r="H1272" s="2">
        <v>45861</v>
      </c>
      <c r="I1272" s="1" t="s">
        <v>82</v>
      </c>
      <c r="J1272">
        <v>5</v>
      </c>
      <c r="K1272">
        <v>1</v>
      </c>
      <c r="L1272">
        <v>7</v>
      </c>
      <c r="M1272" s="1" t="s">
        <v>24</v>
      </c>
      <c r="N1272" s="2">
        <v>45839</v>
      </c>
      <c r="O1272">
        <v>2025</v>
      </c>
      <c r="P1272">
        <v>3</v>
      </c>
      <c r="Q1272" s="1" t="s">
        <v>24</v>
      </c>
    </row>
    <row r="1273" spans="1:17" x14ac:dyDescent="0.3">
      <c r="A1273" s="1" t="s">
        <v>1338</v>
      </c>
      <c r="B1273" s="1" t="s">
        <v>35</v>
      </c>
      <c r="C1273" s="1" t="s">
        <v>97</v>
      </c>
      <c r="D1273" s="1" t="s">
        <v>44</v>
      </c>
      <c r="E1273" s="1" t="s">
        <v>21</v>
      </c>
      <c r="F1273" s="1" t="s">
        <v>31</v>
      </c>
      <c r="G1273" s="2">
        <v>45870</v>
      </c>
      <c r="H1273" s="2">
        <v>45876</v>
      </c>
      <c r="I1273" s="1" t="s">
        <v>23</v>
      </c>
      <c r="J1273">
        <v>3</v>
      </c>
      <c r="K1273">
        <v>6</v>
      </c>
      <c r="L1273">
        <v>7</v>
      </c>
      <c r="M1273" s="1" t="s">
        <v>24</v>
      </c>
      <c r="N1273" s="2">
        <v>45870</v>
      </c>
      <c r="O1273">
        <v>2025</v>
      </c>
      <c r="P1273">
        <v>3</v>
      </c>
      <c r="Q1273" s="1" t="s">
        <v>24</v>
      </c>
    </row>
    <row r="1274" spans="1:17" x14ac:dyDescent="0.3">
      <c r="A1274" s="1" t="s">
        <v>1339</v>
      </c>
      <c r="B1274" s="1" t="s">
        <v>42</v>
      </c>
      <c r="C1274" s="1" t="s">
        <v>81</v>
      </c>
      <c r="D1274" s="1" t="s">
        <v>20</v>
      </c>
      <c r="E1274" s="1" t="s">
        <v>21</v>
      </c>
      <c r="F1274" s="1" t="s">
        <v>52</v>
      </c>
      <c r="G1274" s="2">
        <v>45923</v>
      </c>
      <c r="H1274" s="2">
        <v>45937</v>
      </c>
      <c r="I1274" s="1" t="s">
        <v>28</v>
      </c>
      <c r="J1274">
        <v>4</v>
      </c>
      <c r="K1274">
        <v>14</v>
      </c>
      <c r="L1274">
        <v>14</v>
      </c>
      <c r="M1274" s="1" t="s">
        <v>24</v>
      </c>
      <c r="N1274" s="2">
        <v>45901</v>
      </c>
      <c r="O1274">
        <v>2025</v>
      </c>
      <c r="P1274">
        <v>3</v>
      </c>
      <c r="Q1274" s="1" t="s">
        <v>24</v>
      </c>
    </row>
    <row r="1275" spans="1:17" x14ac:dyDescent="0.3">
      <c r="A1275" s="1" t="s">
        <v>1340</v>
      </c>
      <c r="B1275" s="1" t="s">
        <v>26</v>
      </c>
      <c r="C1275" s="1" t="s">
        <v>27</v>
      </c>
      <c r="D1275" s="1" t="s">
        <v>20</v>
      </c>
      <c r="E1275" s="1" t="s">
        <v>48</v>
      </c>
      <c r="F1275" s="1" t="s">
        <v>22</v>
      </c>
      <c r="G1275" s="2">
        <v>45756</v>
      </c>
      <c r="H1275" s="2"/>
      <c r="I1275" s="1" t="s">
        <v>39</v>
      </c>
      <c r="L1275">
        <v>14</v>
      </c>
      <c r="M1275" s="1" t="s">
        <v>40</v>
      </c>
      <c r="N1275" s="2">
        <v>45748</v>
      </c>
      <c r="O1275">
        <v>2025</v>
      </c>
      <c r="P1275">
        <v>2</v>
      </c>
      <c r="Q1275" s="1" t="s">
        <v>33</v>
      </c>
    </row>
    <row r="1276" spans="1:17" x14ac:dyDescent="0.3">
      <c r="A1276" s="1" t="s">
        <v>1341</v>
      </c>
      <c r="B1276" s="1" t="s">
        <v>42</v>
      </c>
      <c r="C1276" s="1" t="s">
        <v>87</v>
      </c>
      <c r="D1276" s="1" t="s">
        <v>20</v>
      </c>
      <c r="E1276" s="1" t="s">
        <v>21</v>
      </c>
      <c r="F1276" s="1" t="s">
        <v>22</v>
      </c>
      <c r="G1276" s="2">
        <v>45746</v>
      </c>
      <c r="H1276" s="2">
        <v>45755</v>
      </c>
      <c r="I1276" s="1" t="s">
        <v>28</v>
      </c>
      <c r="J1276">
        <v>5</v>
      </c>
      <c r="K1276">
        <v>9</v>
      </c>
      <c r="L1276">
        <v>14</v>
      </c>
      <c r="M1276" s="1" t="s">
        <v>24</v>
      </c>
      <c r="N1276" s="2">
        <v>45717</v>
      </c>
      <c r="O1276">
        <v>2025</v>
      </c>
      <c r="P1276">
        <v>1</v>
      </c>
      <c r="Q1276" s="1" t="s">
        <v>24</v>
      </c>
    </row>
    <row r="1277" spans="1:17" x14ac:dyDescent="0.3">
      <c r="A1277" s="1" t="s">
        <v>1342</v>
      </c>
      <c r="B1277" s="1" t="s">
        <v>58</v>
      </c>
      <c r="C1277" s="1" t="s">
        <v>108</v>
      </c>
      <c r="D1277" s="1" t="s">
        <v>20</v>
      </c>
      <c r="E1277" s="1" t="s">
        <v>37</v>
      </c>
      <c r="F1277" s="1" t="s">
        <v>38</v>
      </c>
      <c r="G1277" s="2">
        <v>45916</v>
      </c>
      <c r="H1277" s="2"/>
      <c r="I1277" s="1" t="s">
        <v>82</v>
      </c>
      <c r="L1277">
        <v>14</v>
      </c>
      <c r="M1277" s="1" t="s">
        <v>40</v>
      </c>
      <c r="N1277" s="2">
        <v>45901</v>
      </c>
      <c r="O1277">
        <v>2025</v>
      </c>
      <c r="P1277">
        <v>3</v>
      </c>
      <c r="Q1277" s="1" t="s">
        <v>33</v>
      </c>
    </row>
    <row r="1278" spans="1:17" x14ac:dyDescent="0.3">
      <c r="A1278" s="1" t="s">
        <v>1343</v>
      </c>
      <c r="B1278" s="1" t="s">
        <v>58</v>
      </c>
      <c r="C1278" s="1" t="s">
        <v>59</v>
      </c>
      <c r="D1278" s="1" t="s">
        <v>44</v>
      </c>
      <c r="E1278" s="1" t="s">
        <v>21</v>
      </c>
      <c r="F1278" s="1" t="s">
        <v>38</v>
      </c>
      <c r="G1278" s="2">
        <v>45823</v>
      </c>
      <c r="H1278" s="2">
        <v>45825</v>
      </c>
      <c r="I1278" s="1" t="s">
        <v>39</v>
      </c>
      <c r="J1278">
        <v>2</v>
      </c>
      <c r="K1278">
        <v>2</v>
      </c>
      <c r="L1278">
        <v>7</v>
      </c>
      <c r="M1278" s="1" t="s">
        <v>24</v>
      </c>
      <c r="N1278" s="2">
        <v>45809</v>
      </c>
      <c r="O1278">
        <v>2025</v>
      </c>
      <c r="P1278">
        <v>2</v>
      </c>
      <c r="Q1278" s="1" t="s">
        <v>24</v>
      </c>
    </row>
    <row r="1279" spans="1:17" x14ac:dyDescent="0.3">
      <c r="A1279" s="1" t="s">
        <v>1344</v>
      </c>
      <c r="B1279" s="1" t="s">
        <v>42</v>
      </c>
      <c r="C1279" s="1" t="s">
        <v>76</v>
      </c>
      <c r="D1279" s="1" t="s">
        <v>20</v>
      </c>
      <c r="E1279" s="1" t="s">
        <v>21</v>
      </c>
      <c r="F1279" s="1" t="s">
        <v>61</v>
      </c>
      <c r="G1279" s="2">
        <v>45698</v>
      </c>
      <c r="H1279" s="2">
        <v>45710</v>
      </c>
      <c r="I1279" s="1" t="s">
        <v>39</v>
      </c>
      <c r="J1279">
        <v>4</v>
      </c>
      <c r="K1279">
        <v>12</v>
      </c>
      <c r="L1279">
        <v>14</v>
      </c>
      <c r="M1279" s="1" t="s">
        <v>24</v>
      </c>
      <c r="N1279" s="2">
        <v>45689</v>
      </c>
      <c r="O1279">
        <v>2025</v>
      </c>
      <c r="P1279">
        <v>1</v>
      </c>
      <c r="Q1279" s="1" t="s">
        <v>24</v>
      </c>
    </row>
    <row r="1280" spans="1:17" x14ac:dyDescent="0.3">
      <c r="A1280" s="1" t="s">
        <v>1345</v>
      </c>
      <c r="B1280" s="1" t="s">
        <v>18</v>
      </c>
      <c r="C1280" s="1" t="s">
        <v>56</v>
      </c>
      <c r="D1280" s="1" t="s">
        <v>20</v>
      </c>
      <c r="E1280" s="1" t="s">
        <v>21</v>
      </c>
      <c r="F1280" s="1" t="s">
        <v>61</v>
      </c>
      <c r="G1280" s="2">
        <v>45771</v>
      </c>
      <c r="H1280" s="2">
        <v>45778</v>
      </c>
      <c r="I1280" s="1" t="s">
        <v>39</v>
      </c>
      <c r="J1280">
        <v>3</v>
      </c>
      <c r="K1280">
        <v>7</v>
      </c>
      <c r="L1280">
        <v>14</v>
      </c>
      <c r="M1280" s="1" t="s">
        <v>24</v>
      </c>
      <c r="N1280" s="2">
        <v>45748</v>
      </c>
      <c r="O1280">
        <v>2025</v>
      </c>
      <c r="P1280">
        <v>2</v>
      </c>
      <c r="Q1280" s="1" t="s">
        <v>24</v>
      </c>
    </row>
    <row r="1281" spans="1:17" x14ac:dyDescent="0.3">
      <c r="A1281" s="1" t="s">
        <v>1346</v>
      </c>
      <c r="B1281" s="1" t="s">
        <v>35</v>
      </c>
      <c r="C1281" s="1" t="s">
        <v>99</v>
      </c>
      <c r="D1281" s="1" t="s">
        <v>51</v>
      </c>
      <c r="E1281" s="1" t="s">
        <v>48</v>
      </c>
      <c r="F1281" s="1" t="s">
        <v>38</v>
      </c>
      <c r="G1281" s="2">
        <v>45979</v>
      </c>
      <c r="H1281" s="2"/>
      <c r="I1281" s="1" t="s">
        <v>82</v>
      </c>
      <c r="L1281">
        <v>10</v>
      </c>
      <c r="M1281" s="1" t="s">
        <v>40</v>
      </c>
      <c r="N1281" s="2">
        <v>45962</v>
      </c>
      <c r="O1281">
        <v>2025</v>
      </c>
      <c r="P1281">
        <v>4</v>
      </c>
      <c r="Q1281" s="1" t="s">
        <v>33</v>
      </c>
    </row>
    <row r="1282" spans="1:17" x14ac:dyDescent="0.3">
      <c r="A1282" s="1" t="s">
        <v>1347</v>
      </c>
      <c r="B1282" s="1" t="s">
        <v>42</v>
      </c>
      <c r="C1282" s="1" t="s">
        <v>81</v>
      </c>
      <c r="D1282" s="1" t="s">
        <v>51</v>
      </c>
      <c r="E1282" s="1" t="s">
        <v>21</v>
      </c>
      <c r="F1282" s="1" t="s">
        <v>61</v>
      </c>
      <c r="G1282" s="2">
        <v>45712</v>
      </c>
      <c r="H1282" s="2">
        <v>45716</v>
      </c>
      <c r="I1282" s="1" t="s">
        <v>23</v>
      </c>
      <c r="J1282">
        <v>3</v>
      </c>
      <c r="K1282">
        <v>4</v>
      </c>
      <c r="L1282">
        <v>10</v>
      </c>
      <c r="M1282" s="1" t="s">
        <v>24</v>
      </c>
      <c r="N1282" s="2">
        <v>45689</v>
      </c>
      <c r="O1282">
        <v>2025</v>
      </c>
      <c r="P1282">
        <v>1</v>
      </c>
      <c r="Q1282" s="1" t="s">
        <v>24</v>
      </c>
    </row>
    <row r="1283" spans="1:17" x14ac:dyDescent="0.3">
      <c r="A1283" s="1" t="s">
        <v>1348</v>
      </c>
      <c r="B1283" s="1" t="s">
        <v>42</v>
      </c>
      <c r="C1283" s="1" t="s">
        <v>87</v>
      </c>
      <c r="D1283" s="1" t="s">
        <v>44</v>
      </c>
      <c r="E1283" s="1" t="s">
        <v>48</v>
      </c>
      <c r="F1283" s="1" t="s">
        <v>31</v>
      </c>
      <c r="G1283" s="2">
        <v>45764</v>
      </c>
      <c r="H1283" s="2"/>
      <c r="I1283" s="1" t="s">
        <v>23</v>
      </c>
      <c r="L1283">
        <v>7</v>
      </c>
      <c r="M1283" s="1" t="s">
        <v>40</v>
      </c>
      <c r="N1283" s="2">
        <v>45748</v>
      </c>
      <c r="O1283">
        <v>2025</v>
      </c>
      <c r="P1283">
        <v>2</v>
      </c>
      <c r="Q1283" s="1" t="s">
        <v>33</v>
      </c>
    </row>
    <row r="1284" spans="1:17" x14ac:dyDescent="0.3">
      <c r="A1284" s="1" t="s">
        <v>1349</v>
      </c>
      <c r="B1284" s="1" t="s">
        <v>58</v>
      </c>
      <c r="C1284" s="1" t="s">
        <v>70</v>
      </c>
      <c r="D1284" s="1" t="s">
        <v>51</v>
      </c>
      <c r="E1284" s="1" t="s">
        <v>21</v>
      </c>
      <c r="F1284" s="1" t="s">
        <v>31</v>
      </c>
      <c r="G1284" s="2">
        <v>45978</v>
      </c>
      <c r="H1284" s="2">
        <v>45981</v>
      </c>
      <c r="I1284" s="1" t="s">
        <v>39</v>
      </c>
      <c r="J1284">
        <v>3</v>
      </c>
      <c r="K1284">
        <v>3</v>
      </c>
      <c r="L1284">
        <v>10</v>
      </c>
      <c r="M1284" s="1" t="s">
        <v>24</v>
      </c>
      <c r="N1284" s="2">
        <v>45962</v>
      </c>
      <c r="O1284">
        <v>2025</v>
      </c>
      <c r="P1284">
        <v>4</v>
      </c>
      <c r="Q1284" s="1" t="s">
        <v>24</v>
      </c>
    </row>
    <row r="1285" spans="1:17" x14ac:dyDescent="0.3">
      <c r="A1285" s="1" t="s">
        <v>1350</v>
      </c>
      <c r="B1285" s="1" t="s">
        <v>35</v>
      </c>
      <c r="C1285" s="1" t="s">
        <v>50</v>
      </c>
      <c r="D1285" s="1" t="s">
        <v>44</v>
      </c>
      <c r="E1285" s="1" t="s">
        <v>21</v>
      </c>
      <c r="F1285" s="1" t="s">
        <v>22</v>
      </c>
      <c r="G1285" s="2">
        <v>45663</v>
      </c>
      <c r="H1285" s="2">
        <v>45665</v>
      </c>
      <c r="I1285" s="1" t="s">
        <v>23</v>
      </c>
      <c r="J1285">
        <v>4</v>
      </c>
      <c r="K1285">
        <v>2</v>
      </c>
      <c r="L1285">
        <v>7</v>
      </c>
      <c r="M1285" s="1" t="s">
        <v>24</v>
      </c>
      <c r="N1285" s="2">
        <v>45658</v>
      </c>
      <c r="O1285">
        <v>2025</v>
      </c>
      <c r="P1285">
        <v>1</v>
      </c>
      <c r="Q1285" s="1" t="s">
        <v>24</v>
      </c>
    </row>
    <row r="1286" spans="1:17" x14ac:dyDescent="0.3">
      <c r="A1286" s="1" t="s">
        <v>1351</v>
      </c>
      <c r="B1286" s="1" t="s">
        <v>42</v>
      </c>
      <c r="C1286" s="1" t="s">
        <v>43</v>
      </c>
      <c r="D1286" s="1" t="s">
        <v>71</v>
      </c>
      <c r="E1286" s="1" t="s">
        <v>21</v>
      </c>
      <c r="F1286" s="1" t="s">
        <v>52</v>
      </c>
      <c r="G1286" s="2">
        <v>45972</v>
      </c>
      <c r="H1286" s="2">
        <v>45972</v>
      </c>
      <c r="I1286" s="1" t="s">
        <v>23</v>
      </c>
      <c r="J1286">
        <v>3</v>
      </c>
      <c r="K1286">
        <v>0</v>
      </c>
      <c r="L1286">
        <v>3</v>
      </c>
      <c r="M1286" s="1" t="s">
        <v>24</v>
      </c>
      <c r="N1286" s="2">
        <v>45962</v>
      </c>
      <c r="O1286">
        <v>2025</v>
      </c>
      <c r="P1286">
        <v>4</v>
      </c>
      <c r="Q1286" s="1" t="s">
        <v>24</v>
      </c>
    </row>
    <row r="1287" spans="1:17" x14ac:dyDescent="0.3">
      <c r="A1287" s="1" t="s">
        <v>1352</v>
      </c>
      <c r="B1287" s="1" t="s">
        <v>63</v>
      </c>
      <c r="C1287" s="1" t="s">
        <v>74</v>
      </c>
      <c r="D1287" s="1" t="s">
        <v>51</v>
      </c>
      <c r="E1287" s="1" t="s">
        <v>21</v>
      </c>
      <c r="F1287" s="1" t="s">
        <v>38</v>
      </c>
      <c r="G1287" s="2">
        <v>45736</v>
      </c>
      <c r="H1287" s="2">
        <v>45741</v>
      </c>
      <c r="I1287" s="1" t="s">
        <v>28</v>
      </c>
      <c r="J1287">
        <v>5</v>
      </c>
      <c r="K1287">
        <v>5</v>
      </c>
      <c r="L1287">
        <v>10</v>
      </c>
      <c r="M1287" s="1" t="s">
        <v>24</v>
      </c>
      <c r="N1287" s="2">
        <v>45717</v>
      </c>
      <c r="O1287">
        <v>2025</v>
      </c>
      <c r="P1287">
        <v>1</v>
      </c>
      <c r="Q1287" s="1" t="s">
        <v>24</v>
      </c>
    </row>
    <row r="1288" spans="1:17" x14ac:dyDescent="0.3">
      <c r="A1288" s="1" t="s">
        <v>1353</v>
      </c>
      <c r="B1288" s="1" t="s">
        <v>42</v>
      </c>
      <c r="C1288" s="1" t="s">
        <v>43</v>
      </c>
      <c r="D1288" s="1" t="s">
        <v>20</v>
      </c>
      <c r="E1288" s="1" t="s">
        <v>21</v>
      </c>
      <c r="F1288" s="1" t="s">
        <v>31</v>
      </c>
      <c r="G1288" s="2">
        <v>46012</v>
      </c>
      <c r="H1288" s="2">
        <v>46017</v>
      </c>
      <c r="I1288" s="1" t="s">
        <v>28</v>
      </c>
      <c r="J1288">
        <v>3</v>
      </c>
      <c r="K1288">
        <v>5</v>
      </c>
      <c r="L1288">
        <v>14</v>
      </c>
      <c r="M1288" s="1" t="s">
        <v>24</v>
      </c>
      <c r="N1288" s="2">
        <v>45992</v>
      </c>
      <c r="O1288">
        <v>2025</v>
      </c>
      <c r="P1288">
        <v>4</v>
      </c>
      <c r="Q1288" s="1" t="s">
        <v>24</v>
      </c>
    </row>
    <row r="1289" spans="1:17" x14ac:dyDescent="0.3">
      <c r="A1289" s="1" t="s">
        <v>1354</v>
      </c>
      <c r="B1289" s="1" t="s">
        <v>42</v>
      </c>
      <c r="C1289" s="1" t="s">
        <v>43</v>
      </c>
      <c r="D1289" s="1" t="s">
        <v>44</v>
      </c>
      <c r="E1289" s="1" t="s">
        <v>21</v>
      </c>
      <c r="F1289" s="1" t="s">
        <v>31</v>
      </c>
      <c r="G1289" s="2">
        <v>45897</v>
      </c>
      <c r="H1289" s="2">
        <v>45903</v>
      </c>
      <c r="I1289" s="1" t="s">
        <v>82</v>
      </c>
      <c r="J1289">
        <v>5</v>
      </c>
      <c r="K1289">
        <v>6</v>
      </c>
      <c r="L1289">
        <v>7</v>
      </c>
      <c r="M1289" s="1" t="s">
        <v>24</v>
      </c>
      <c r="N1289" s="2">
        <v>45870</v>
      </c>
      <c r="O1289">
        <v>2025</v>
      </c>
      <c r="P1289">
        <v>3</v>
      </c>
      <c r="Q1289" s="1" t="s">
        <v>24</v>
      </c>
    </row>
    <row r="1290" spans="1:17" x14ac:dyDescent="0.3">
      <c r="A1290" s="1" t="s">
        <v>1355</v>
      </c>
      <c r="B1290" s="1" t="s">
        <v>58</v>
      </c>
      <c r="C1290" s="1" t="s">
        <v>108</v>
      </c>
      <c r="D1290" s="1" t="s">
        <v>51</v>
      </c>
      <c r="E1290" s="1" t="s">
        <v>21</v>
      </c>
      <c r="F1290" s="1" t="s">
        <v>22</v>
      </c>
      <c r="G1290" s="2">
        <v>45801</v>
      </c>
      <c r="H1290" s="2">
        <v>45809</v>
      </c>
      <c r="I1290" s="1" t="s">
        <v>32</v>
      </c>
      <c r="J1290">
        <v>2</v>
      </c>
      <c r="K1290">
        <v>8</v>
      </c>
      <c r="L1290">
        <v>10</v>
      </c>
      <c r="M1290" s="1" t="s">
        <v>24</v>
      </c>
      <c r="N1290" s="2">
        <v>45778</v>
      </c>
      <c r="O1290">
        <v>2025</v>
      </c>
      <c r="P1290">
        <v>2</v>
      </c>
      <c r="Q1290" s="1" t="s">
        <v>24</v>
      </c>
    </row>
    <row r="1291" spans="1:17" x14ac:dyDescent="0.3">
      <c r="A1291" s="1" t="s">
        <v>1356</v>
      </c>
      <c r="B1291" s="1" t="s">
        <v>63</v>
      </c>
      <c r="C1291" s="1" t="s">
        <v>64</v>
      </c>
      <c r="D1291" s="1" t="s">
        <v>71</v>
      </c>
      <c r="E1291" s="1" t="s">
        <v>21</v>
      </c>
      <c r="F1291" s="1" t="s">
        <v>52</v>
      </c>
      <c r="G1291" s="2">
        <v>45886</v>
      </c>
      <c r="H1291" s="2">
        <v>45889</v>
      </c>
      <c r="I1291" s="1" t="s">
        <v>32</v>
      </c>
      <c r="J1291">
        <v>4</v>
      </c>
      <c r="K1291">
        <v>3</v>
      </c>
      <c r="L1291">
        <v>3</v>
      </c>
      <c r="M1291" s="1" t="s">
        <v>24</v>
      </c>
      <c r="N1291" s="2">
        <v>45870</v>
      </c>
      <c r="O1291">
        <v>2025</v>
      </c>
      <c r="P1291">
        <v>3</v>
      </c>
      <c r="Q1291" s="1" t="s">
        <v>24</v>
      </c>
    </row>
    <row r="1292" spans="1:17" x14ac:dyDescent="0.3">
      <c r="A1292" s="1" t="s">
        <v>1357</v>
      </c>
      <c r="B1292" s="1" t="s">
        <v>26</v>
      </c>
      <c r="C1292" s="1" t="s">
        <v>67</v>
      </c>
      <c r="D1292" s="1" t="s">
        <v>51</v>
      </c>
      <c r="E1292" s="1" t="s">
        <v>21</v>
      </c>
      <c r="F1292" s="1" t="s">
        <v>38</v>
      </c>
      <c r="G1292" s="2">
        <v>45948</v>
      </c>
      <c r="H1292" s="2">
        <v>45955</v>
      </c>
      <c r="I1292" s="1" t="s">
        <v>39</v>
      </c>
      <c r="J1292">
        <v>4</v>
      </c>
      <c r="K1292">
        <v>7</v>
      </c>
      <c r="L1292">
        <v>10</v>
      </c>
      <c r="M1292" s="1" t="s">
        <v>24</v>
      </c>
      <c r="N1292" s="2">
        <v>45931</v>
      </c>
      <c r="O1292">
        <v>2025</v>
      </c>
      <c r="P1292">
        <v>4</v>
      </c>
      <c r="Q1292" s="1" t="s">
        <v>24</v>
      </c>
    </row>
    <row r="1293" spans="1:17" x14ac:dyDescent="0.3">
      <c r="A1293" s="1" t="s">
        <v>1358</v>
      </c>
      <c r="B1293" s="1" t="s">
        <v>63</v>
      </c>
      <c r="C1293" s="1" t="s">
        <v>74</v>
      </c>
      <c r="D1293" s="1" t="s">
        <v>71</v>
      </c>
      <c r="E1293" s="1" t="s">
        <v>21</v>
      </c>
      <c r="F1293" s="1" t="s">
        <v>22</v>
      </c>
      <c r="G1293" s="2">
        <v>45867</v>
      </c>
      <c r="H1293" s="2">
        <v>45869</v>
      </c>
      <c r="I1293" s="1" t="s">
        <v>32</v>
      </c>
      <c r="J1293">
        <v>4</v>
      </c>
      <c r="K1293">
        <v>2</v>
      </c>
      <c r="L1293">
        <v>3</v>
      </c>
      <c r="M1293" s="1" t="s">
        <v>24</v>
      </c>
      <c r="N1293" s="2">
        <v>45839</v>
      </c>
      <c r="O1293">
        <v>2025</v>
      </c>
      <c r="P1293">
        <v>3</v>
      </c>
      <c r="Q1293" s="1" t="s">
        <v>24</v>
      </c>
    </row>
    <row r="1294" spans="1:17" x14ac:dyDescent="0.3">
      <c r="A1294" s="1" t="s">
        <v>1359</v>
      </c>
      <c r="B1294" s="1" t="s">
        <v>58</v>
      </c>
      <c r="C1294" s="1" t="s">
        <v>70</v>
      </c>
      <c r="D1294" s="1" t="s">
        <v>20</v>
      </c>
      <c r="E1294" s="1" t="s">
        <v>37</v>
      </c>
      <c r="F1294" s="1" t="s">
        <v>61</v>
      </c>
      <c r="G1294" s="2">
        <v>45877</v>
      </c>
      <c r="H1294" s="2"/>
      <c r="I1294" s="1" t="s">
        <v>32</v>
      </c>
      <c r="L1294">
        <v>14</v>
      </c>
      <c r="M1294" s="1" t="s">
        <v>40</v>
      </c>
      <c r="N1294" s="2">
        <v>45870</v>
      </c>
      <c r="O1294">
        <v>2025</v>
      </c>
      <c r="P1294">
        <v>3</v>
      </c>
      <c r="Q1294" s="1" t="s">
        <v>33</v>
      </c>
    </row>
    <row r="1295" spans="1:17" x14ac:dyDescent="0.3">
      <c r="A1295" s="1" t="s">
        <v>1360</v>
      </c>
      <c r="B1295" s="1" t="s">
        <v>63</v>
      </c>
      <c r="C1295" s="1" t="s">
        <v>74</v>
      </c>
      <c r="D1295" s="1" t="s">
        <v>20</v>
      </c>
      <c r="E1295" s="1" t="s">
        <v>21</v>
      </c>
      <c r="F1295" s="1" t="s">
        <v>38</v>
      </c>
      <c r="G1295" s="2">
        <v>45732</v>
      </c>
      <c r="H1295" s="2">
        <v>45747</v>
      </c>
      <c r="I1295" s="1" t="s">
        <v>32</v>
      </c>
      <c r="J1295">
        <v>4</v>
      </c>
      <c r="K1295">
        <v>15</v>
      </c>
      <c r="L1295">
        <v>14</v>
      </c>
      <c r="M1295" s="1" t="s">
        <v>33</v>
      </c>
      <c r="N1295" s="2">
        <v>45717</v>
      </c>
      <c r="O1295">
        <v>2025</v>
      </c>
      <c r="P1295">
        <v>1</v>
      </c>
      <c r="Q1295" s="1" t="s">
        <v>24</v>
      </c>
    </row>
    <row r="1296" spans="1:17" x14ac:dyDescent="0.3">
      <c r="A1296" s="1" t="s">
        <v>1361</v>
      </c>
      <c r="B1296" s="1" t="s">
        <v>18</v>
      </c>
      <c r="C1296" s="1" t="s">
        <v>19</v>
      </c>
      <c r="D1296" s="1" t="s">
        <v>44</v>
      </c>
      <c r="E1296" s="1" t="s">
        <v>21</v>
      </c>
      <c r="F1296" s="1" t="s">
        <v>61</v>
      </c>
      <c r="G1296" s="2">
        <v>45948</v>
      </c>
      <c r="H1296" s="2">
        <v>45955</v>
      </c>
      <c r="I1296" s="1" t="s">
        <v>82</v>
      </c>
      <c r="J1296">
        <v>4</v>
      </c>
      <c r="K1296">
        <v>7</v>
      </c>
      <c r="L1296">
        <v>7</v>
      </c>
      <c r="M1296" s="1" t="s">
        <v>24</v>
      </c>
      <c r="N1296" s="2">
        <v>45931</v>
      </c>
      <c r="O1296">
        <v>2025</v>
      </c>
      <c r="P1296">
        <v>4</v>
      </c>
      <c r="Q1296" s="1" t="s">
        <v>24</v>
      </c>
    </row>
    <row r="1297" spans="1:17" x14ac:dyDescent="0.3">
      <c r="A1297" s="1" t="s">
        <v>1362</v>
      </c>
      <c r="B1297" s="1" t="s">
        <v>42</v>
      </c>
      <c r="C1297" s="1" t="s">
        <v>87</v>
      </c>
      <c r="D1297" s="1" t="s">
        <v>51</v>
      </c>
      <c r="E1297" s="1" t="s">
        <v>21</v>
      </c>
      <c r="F1297" s="1" t="s">
        <v>22</v>
      </c>
      <c r="G1297" s="2">
        <v>45769</v>
      </c>
      <c r="H1297" s="2">
        <v>45772</v>
      </c>
      <c r="I1297" s="1" t="s">
        <v>23</v>
      </c>
      <c r="J1297">
        <v>4</v>
      </c>
      <c r="K1297">
        <v>3</v>
      </c>
      <c r="L1297">
        <v>10</v>
      </c>
      <c r="M1297" s="1" t="s">
        <v>24</v>
      </c>
      <c r="N1297" s="2">
        <v>45748</v>
      </c>
      <c r="O1297">
        <v>2025</v>
      </c>
      <c r="P1297">
        <v>2</v>
      </c>
      <c r="Q1297" s="1" t="s">
        <v>24</v>
      </c>
    </row>
    <row r="1298" spans="1:17" x14ac:dyDescent="0.3">
      <c r="A1298" s="1" t="s">
        <v>1363</v>
      </c>
      <c r="B1298" s="1" t="s">
        <v>26</v>
      </c>
      <c r="C1298" s="1" t="s">
        <v>27</v>
      </c>
      <c r="D1298" s="1" t="s">
        <v>51</v>
      </c>
      <c r="E1298" s="1" t="s">
        <v>21</v>
      </c>
      <c r="F1298" s="1" t="s">
        <v>31</v>
      </c>
      <c r="G1298" s="2">
        <v>45821</v>
      </c>
      <c r="H1298" s="2">
        <v>45826</v>
      </c>
      <c r="I1298" s="1" t="s">
        <v>39</v>
      </c>
      <c r="J1298">
        <v>3</v>
      </c>
      <c r="K1298">
        <v>5</v>
      </c>
      <c r="L1298">
        <v>10</v>
      </c>
      <c r="M1298" s="1" t="s">
        <v>24</v>
      </c>
      <c r="N1298" s="2">
        <v>45809</v>
      </c>
      <c r="O1298">
        <v>2025</v>
      </c>
      <c r="P1298">
        <v>2</v>
      </c>
      <c r="Q1298" s="1" t="s">
        <v>24</v>
      </c>
    </row>
    <row r="1299" spans="1:17" x14ac:dyDescent="0.3">
      <c r="A1299" s="1" t="s">
        <v>1364</v>
      </c>
      <c r="B1299" s="1" t="s">
        <v>42</v>
      </c>
      <c r="C1299" s="1" t="s">
        <v>43</v>
      </c>
      <c r="D1299" s="1" t="s">
        <v>51</v>
      </c>
      <c r="E1299" s="1" t="s">
        <v>21</v>
      </c>
      <c r="F1299" s="1" t="s">
        <v>61</v>
      </c>
      <c r="G1299" s="2">
        <v>45745</v>
      </c>
      <c r="H1299" s="2">
        <v>45752</v>
      </c>
      <c r="I1299" s="1" t="s">
        <v>82</v>
      </c>
      <c r="J1299">
        <v>4</v>
      </c>
      <c r="K1299">
        <v>7</v>
      </c>
      <c r="L1299">
        <v>10</v>
      </c>
      <c r="M1299" s="1" t="s">
        <v>24</v>
      </c>
      <c r="N1299" s="2">
        <v>45717</v>
      </c>
      <c r="O1299">
        <v>2025</v>
      </c>
      <c r="P1299">
        <v>1</v>
      </c>
      <c r="Q1299" s="1" t="s">
        <v>24</v>
      </c>
    </row>
    <row r="1300" spans="1:17" x14ac:dyDescent="0.3">
      <c r="A1300" s="1" t="s">
        <v>1365</v>
      </c>
      <c r="B1300" s="1" t="s">
        <v>42</v>
      </c>
      <c r="C1300" s="1" t="s">
        <v>43</v>
      </c>
      <c r="D1300" s="1" t="s">
        <v>20</v>
      </c>
      <c r="E1300" s="1" t="s">
        <v>37</v>
      </c>
      <c r="F1300" s="1" t="s">
        <v>38</v>
      </c>
      <c r="G1300" s="2">
        <v>45952</v>
      </c>
      <c r="H1300" s="2"/>
      <c r="I1300" s="1" t="s">
        <v>39</v>
      </c>
      <c r="L1300">
        <v>14</v>
      </c>
      <c r="M1300" s="1" t="s">
        <v>40</v>
      </c>
      <c r="N1300" s="2">
        <v>45931</v>
      </c>
      <c r="O1300">
        <v>2025</v>
      </c>
      <c r="P1300">
        <v>4</v>
      </c>
      <c r="Q1300" s="1" t="s">
        <v>33</v>
      </c>
    </row>
    <row r="1301" spans="1:17" x14ac:dyDescent="0.3">
      <c r="A1301" s="1" t="s">
        <v>1366</v>
      </c>
      <c r="B1301" s="1" t="s">
        <v>35</v>
      </c>
      <c r="C1301" s="1" t="s">
        <v>36</v>
      </c>
      <c r="D1301" s="1" t="s">
        <v>44</v>
      </c>
      <c r="E1301" s="1" t="s">
        <v>21</v>
      </c>
      <c r="F1301" s="1" t="s">
        <v>38</v>
      </c>
      <c r="G1301" s="2">
        <v>45931</v>
      </c>
      <c r="H1301" s="2">
        <v>45936</v>
      </c>
      <c r="I1301" s="1" t="s">
        <v>23</v>
      </c>
      <c r="J1301">
        <v>1</v>
      </c>
      <c r="K1301">
        <v>5</v>
      </c>
      <c r="L1301">
        <v>7</v>
      </c>
      <c r="M1301" s="1" t="s">
        <v>24</v>
      </c>
      <c r="N1301" s="2">
        <v>45931</v>
      </c>
      <c r="O1301">
        <v>2025</v>
      </c>
      <c r="P1301">
        <v>4</v>
      </c>
      <c r="Q1301" s="1" t="s">
        <v>24</v>
      </c>
    </row>
    <row r="1302" spans="1:17" x14ac:dyDescent="0.3">
      <c r="A1302" s="1" t="s">
        <v>1367</v>
      </c>
      <c r="B1302" s="1" t="s">
        <v>58</v>
      </c>
      <c r="C1302" s="1" t="s">
        <v>70</v>
      </c>
      <c r="D1302" s="1" t="s">
        <v>44</v>
      </c>
      <c r="E1302" s="1" t="s">
        <v>21</v>
      </c>
      <c r="F1302" s="1" t="s">
        <v>52</v>
      </c>
      <c r="G1302" s="2">
        <v>45812</v>
      </c>
      <c r="H1302" s="2">
        <v>45815</v>
      </c>
      <c r="I1302" s="1" t="s">
        <v>39</v>
      </c>
      <c r="J1302">
        <v>4</v>
      </c>
      <c r="K1302">
        <v>3</v>
      </c>
      <c r="L1302">
        <v>7</v>
      </c>
      <c r="M1302" s="1" t="s">
        <v>24</v>
      </c>
      <c r="N1302" s="2">
        <v>45809</v>
      </c>
      <c r="O1302">
        <v>2025</v>
      </c>
      <c r="P1302">
        <v>2</v>
      </c>
      <c r="Q1302" s="1" t="s">
        <v>24</v>
      </c>
    </row>
    <row r="1303" spans="1:17" x14ac:dyDescent="0.3">
      <c r="A1303" s="1" t="s">
        <v>1368</v>
      </c>
      <c r="B1303" s="1" t="s">
        <v>42</v>
      </c>
      <c r="C1303" s="1" t="s">
        <v>43</v>
      </c>
      <c r="D1303" s="1" t="s">
        <v>51</v>
      </c>
      <c r="E1303" s="1" t="s">
        <v>21</v>
      </c>
      <c r="F1303" s="1" t="s">
        <v>38</v>
      </c>
      <c r="G1303" s="2">
        <v>45810</v>
      </c>
      <c r="H1303" s="2">
        <v>45819</v>
      </c>
      <c r="I1303" s="1" t="s">
        <v>32</v>
      </c>
      <c r="J1303">
        <v>4</v>
      </c>
      <c r="K1303">
        <v>9</v>
      </c>
      <c r="L1303">
        <v>10</v>
      </c>
      <c r="M1303" s="1" t="s">
        <v>24</v>
      </c>
      <c r="N1303" s="2">
        <v>45809</v>
      </c>
      <c r="O1303">
        <v>2025</v>
      </c>
      <c r="P1303">
        <v>2</v>
      </c>
      <c r="Q1303" s="1" t="s">
        <v>24</v>
      </c>
    </row>
    <row r="1304" spans="1:17" x14ac:dyDescent="0.3">
      <c r="A1304" s="1" t="s">
        <v>1369</v>
      </c>
      <c r="B1304" s="1" t="s">
        <v>26</v>
      </c>
      <c r="C1304" s="1" t="s">
        <v>67</v>
      </c>
      <c r="D1304" s="1" t="s">
        <v>20</v>
      </c>
      <c r="E1304" s="1" t="s">
        <v>21</v>
      </c>
      <c r="F1304" s="1" t="s">
        <v>52</v>
      </c>
      <c r="G1304" s="2">
        <v>45663</v>
      </c>
      <c r="H1304" s="2">
        <v>45668</v>
      </c>
      <c r="I1304" s="1" t="s">
        <v>39</v>
      </c>
      <c r="J1304">
        <v>2</v>
      </c>
      <c r="K1304">
        <v>5</v>
      </c>
      <c r="L1304">
        <v>14</v>
      </c>
      <c r="M1304" s="1" t="s">
        <v>24</v>
      </c>
      <c r="N1304" s="2">
        <v>45658</v>
      </c>
      <c r="O1304">
        <v>2025</v>
      </c>
      <c r="P1304">
        <v>1</v>
      </c>
      <c r="Q1304" s="1" t="s">
        <v>24</v>
      </c>
    </row>
    <row r="1305" spans="1:17" x14ac:dyDescent="0.3">
      <c r="A1305" s="1" t="s">
        <v>1370</v>
      </c>
      <c r="B1305" s="1" t="s">
        <v>63</v>
      </c>
      <c r="C1305" s="1" t="s">
        <v>64</v>
      </c>
      <c r="D1305" s="1" t="s">
        <v>20</v>
      </c>
      <c r="E1305" s="1" t="s">
        <v>21</v>
      </c>
      <c r="F1305" s="1" t="s">
        <v>38</v>
      </c>
      <c r="G1305" s="2">
        <v>45846</v>
      </c>
      <c r="H1305" s="2">
        <v>45857</v>
      </c>
      <c r="I1305" s="1" t="s">
        <v>32</v>
      </c>
      <c r="J1305">
        <v>5</v>
      </c>
      <c r="K1305">
        <v>11</v>
      </c>
      <c r="L1305">
        <v>14</v>
      </c>
      <c r="M1305" s="1" t="s">
        <v>24</v>
      </c>
      <c r="N1305" s="2">
        <v>45839</v>
      </c>
      <c r="O1305">
        <v>2025</v>
      </c>
      <c r="P1305">
        <v>3</v>
      </c>
      <c r="Q1305" s="1" t="s">
        <v>24</v>
      </c>
    </row>
    <row r="1306" spans="1:17" x14ac:dyDescent="0.3">
      <c r="A1306" s="1" t="s">
        <v>1371</v>
      </c>
      <c r="B1306" s="1" t="s">
        <v>42</v>
      </c>
      <c r="C1306" s="1" t="s">
        <v>81</v>
      </c>
      <c r="D1306" s="1" t="s">
        <v>20</v>
      </c>
      <c r="E1306" s="1" t="s">
        <v>21</v>
      </c>
      <c r="F1306" s="1" t="s">
        <v>31</v>
      </c>
      <c r="G1306" s="2">
        <v>45793</v>
      </c>
      <c r="H1306" s="2">
        <v>45801</v>
      </c>
      <c r="I1306" s="1" t="s">
        <v>32</v>
      </c>
      <c r="J1306">
        <v>5</v>
      </c>
      <c r="K1306">
        <v>8</v>
      </c>
      <c r="L1306">
        <v>14</v>
      </c>
      <c r="M1306" s="1" t="s">
        <v>24</v>
      </c>
      <c r="N1306" s="2">
        <v>45778</v>
      </c>
      <c r="O1306">
        <v>2025</v>
      </c>
      <c r="P1306">
        <v>2</v>
      </c>
      <c r="Q1306" s="1" t="s">
        <v>24</v>
      </c>
    </row>
    <row r="1307" spans="1:17" x14ac:dyDescent="0.3">
      <c r="A1307" s="1" t="s">
        <v>1372</v>
      </c>
      <c r="B1307" s="1" t="s">
        <v>18</v>
      </c>
      <c r="C1307" s="1" t="s">
        <v>47</v>
      </c>
      <c r="D1307" s="1" t="s">
        <v>44</v>
      </c>
      <c r="E1307" s="1" t="s">
        <v>21</v>
      </c>
      <c r="F1307" s="1" t="s">
        <v>61</v>
      </c>
      <c r="G1307" s="2">
        <v>45719</v>
      </c>
      <c r="H1307" s="2">
        <v>45721</v>
      </c>
      <c r="I1307" s="1" t="s">
        <v>82</v>
      </c>
      <c r="J1307">
        <v>4</v>
      </c>
      <c r="K1307">
        <v>2</v>
      </c>
      <c r="L1307">
        <v>7</v>
      </c>
      <c r="M1307" s="1" t="s">
        <v>24</v>
      </c>
      <c r="N1307" s="2">
        <v>45717</v>
      </c>
      <c r="O1307">
        <v>2025</v>
      </c>
      <c r="P1307">
        <v>1</v>
      </c>
      <c r="Q1307" s="1" t="s">
        <v>24</v>
      </c>
    </row>
    <row r="1308" spans="1:17" x14ac:dyDescent="0.3">
      <c r="A1308" s="1" t="s">
        <v>1373</v>
      </c>
      <c r="B1308" s="1" t="s">
        <v>58</v>
      </c>
      <c r="C1308" s="1" t="s">
        <v>145</v>
      </c>
      <c r="D1308" s="1" t="s">
        <v>51</v>
      </c>
      <c r="E1308" s="1" t="s">
        <v>21</v>
      </c>
      <c r="F1308" s="1" t="s">
        <v>52</v>
      </c>
      <c r="G1308" s="2">
        <v>45781</v>
      </c>
      <c r="H1308" s="2">
        <v>45790</v>
      </c>
      <c r="I1308" s="1" t="s">
        <v>32</v>
      </c>
      <c r="J1308">
        <v>5</v>
      </c>
      <c r="K1308">
        <v>9</v>
      </c>
      <c r="L1308">
        <v>10</v>
      </c>
      <c r="M1308" s="1" t="s">
        <v>24</v>
      </c>
      <c r="N1308" s="2">
        <v>45778</v>
      </c>
      <c r="O1308">
        <v>2025</v>
      </c>
      <c r="P1308">
        <v>2</v>
      </c>
      <c r="Q1308" s="1" t="s">
        <v>24</v>
      </c>
    </row>
    <row r="1309" spans="1:17" x14ac:dyDescent="0.3">
      <c r="A1309" s="1" t="s">
        <v>1374</v>
      </c>
      <c r="B1309" s="1" t="s">
        <v>18</v>
      </c>
      <c r="C1309" s="1" t="s">
        <v>30</v>
      </c>
      <c r="D1309" s="1" t="s">
        <v>20</v>
      </c>
      <c r="E1309" s="1" t="s">
        <v>21</v>
      </c>
      <c r="F1309" s="1" t="s">
        <v>22</v>
      </c>
      <c r="G1309" s="2">
        <v>45809</v>
      </c>
      <c r="H1309" s="2">
        <v>45823</v>
      </c>
      <c r="I1309" s="1" t="s">
        <v>28</v>
      </c>
      <c r="J1309">
        <v>2</v>
      </c>
      <c r="K1309">
        <v>14</v>
      </c>
      <c r="L1309">
        <v>14</v>
      </c>
      <c r="M1309" s="1" t="s">
        <v>24</v>
      </c>
      <c r="N1309" s="2">
        <v>45809</v>
      </c>
      <c r="O1309">
        <v>2025</v>
      </c>
      <c r="P1309">
        <v>2</v>
      </c>
      <c r="Q1309" s="1" t="s">
        <v>24</v>
      </c>
    </row>
    <row r="1310" spans="1:17" x14ac:dyDescent="0.3">
      <c r="A1310" s="1" t="s">
        <v>1375</v>
      </c>
      <c r="B1310" s="1" t="s">
        <v>18</v>
      </c>
      <c r="C1310" s="1" t="s">
        <v>47</v>
      </c>
      <c r="D1310" s="1" t="s">
        <v>51</v>
      </c>
      <c r="E1310" s="1" t="s">
        <v>21</v>
      </c>
      <c r="F1310" s="1" t="s">
        <v>61</v>
      </c>
      <c r="G1310" s="2">
        <v>45911</v>
      </c>
      <c r="H1310" s="2">
        <v>45913</v>
      </c>
      <c r="I1310" s="1" t="s">
        <v>39</v>
      </c>
      <c r="J1310">
        <v>3</v>
      </c>
      <c r="K1310">
        <v>2</v>
      </c>
      <c r="L1310">
        <v>10</v>
      </c>
      <c r="M1310" s="1" t="s">
        <v>24</v>
      </c>
      <c r="N1310" s="2">
        <v>45901</v>
      </c>
      <c r="O1310">
        <v>2025</v>
      </c>
      <c r="P1310">
        <v>3</v>
      </c>
      <c r="Q1310" s="1" t="s">
        <v>24</v>
      </c>
    </row>
    <row r="1311" spans="1:17" x14ac:dyDescent="0.3">
      <c r="A1311" s="1" t="s">
        <v>1376</v>
      </c>
      <c r="B1311" s="1" t="s">
        <v>58</v>
      </c>
      <c r="C1311" s="1" t="s">
        <v>108</v>
      </c>
      <c r="D1311" s="1" t="s">
        <v>51</v>
      </c>
      <c r="E1311" s="1" t="s">
        <v>21</v>
      </c>
      <c r="F1311" s="1" t="s">
        <v>52</v>
      </c>
      <c r="G1311" s="2">
        <v>45960</v>
      </c>
      <c r="H1311" s="2">
        <v>45970</v>
      </c>
      <c r="I1311" s="1" t="s">
        <v>32</v>
      </c>
      <c r="J1311">
        <v>4</v>
      </c>
      <c r="K1311">
        <v>10</v>
      </c>
      <c r="L1311">
        <v>10</v>
      </c>
      <c r="M1311" s="1" t="s">
        <v>24</v>
      </c>
      <c r="N1311" s="2">
        <v>45931</v>
      </c>
      <c r="O1311">
        <v>2025</v>
      </c>
      <c r="P1311">
        <v>4</v>
      </c>
      <c r="Q1311" s="1" t="s">
        <v>24</v>
      </c>
    </row>
    <row r="1312" spans="1:17" x14ac:dyDescent="0.3">
      <c r="A1312" s="1" t="s">
        <v>1377</v>
      </c>
      <c r="B1312" s="1" t="s">
        <v>18</v>
      </c>
      <c r="C1312" s="1" t="s">
        <v>30</v>
      </c>
      <c r="D1312" s="1" t="s">
        <v>51</v>
      </c>
      <c r="E1312" s="1" t="s">
        <v>37</v>
      </c>
      <c r="F1312" s="1" t="s">
        <v>61</v>
      </c>
      <c r="G1312" s="2">
        <v>45712</v>
      </c>
      <c r="H1312" s="2"/>
      <c r="I1312" s="1" t="s">
        <v>28</v>
      </c>
      <c r="L1312">
        <v>10</v>
      </c>
      <c r="M1312" s="1" t="s">
        <v>40</v>
      </c>
      <c r="N1312" s="2">
        <v>45689</v>
      </c>
      <c r="O1312">
        <v>2025</v>
      </c>
      <c r="P1312">
        <v>1</v>
      </c>
      <c r="Q1312" s="1" t="s">
        <v>33</v>
      </c>
    </row>
    <row r="1313" spans="1:17" x14ac:dyDescent="0.3">
      <c r="A1313" s="1" t="s">
        <v>1378</v>
      </c>
      <c r="B1313" s="1" t="s">
        <v>35</v>
      </c>
      <c r="C1313" s="1" t="s">
        <v>50</v>
      </c>
      <c r="D1313" s="1" t="s">
        <v>71</v>
      </c>
      <c r="E1313" s="1" t="s">
        <v>48</v>
      </c>
      <c r="F1313" s="1" t="s">
        <v>61</v>
      </c>
      <c r="G1313" s="2">
        <v>45920</v>
      </c>
      <c r="H1313" s="2"/>
      <c r="I1313" s="1" t="s">
        <v>39</v>
      </c>
      <c r="L1313">
        <v>3</v>
      </c>
      <c r="M1313" s="1" t="s">
        <v>40</v>
      </c>
      <c r="N1313" s="2">
        <v>45901</v>
      </c>
      <c r="O1313">
        <v>2025</v>
      </c>
      <c r="P1313">
        <v>3</v>
      </c>
      <c r="Q1313" s="1" t="s">
        <v>33</v>
      </c>
    </row>
    <row r="1314" spans="1:17" x14ac:dyDescent="0.3">
      <c r="A1314" s="1" t="s">
        <v>1379</v>
      </c>
      <c r="B1314" s="1" t="s">
        <v>63</v>
      </c>
      <c r="C1314" s="1" t="s">
        <v>74</v>
      </c>
      <c r="D1314" s="1" t="s">
        <v>51</v>
      </c>
      <c r="E1314" s="1" t="s">
        <v>21</v>
      </c>
      <c r="F1314" s="1" t="s">
        <v>38</v>
      </c>
      <c r="G1314" s="2">
        <v>45815</v>
      </c>
      <c r="H1314" s="2">
        <v>45818</v>
      </c>
      <c r="I1314" s="1" t="s">
        <v>23</v>
      </c>
      <c r="J1314">
        <v>3</v>
      </c>
      <c r="K1314">
        <v>3</v>
      </c>
      <c r="L1314">
        <v>10</v>
      </c>
      <c r="M1314" s="1" t="s">
        <v>24</v>
      </c>
      <c r="N1314" s="2">
        <v>45809</v>
      </c>
      <c r="O1314">
        <v>2025</v>
      </c>
      <c r="P1314">
        <v>2</v>
      </c>
      <c r="Q1314" s="1" t="s">
        <v>24</v>
      </c>
    </row>
    <row r="1315" spans="1:17" x14ac:dyDescent="0.3">
      <c r="A1315" s="1" t="s">
        <v>1380</v>
      </c>
      <c r="B1315" s="1" t="s">
        <v>63</v>
      </c>
      <c r="C1315" s="1" t="s">
        <v>74</v>
      </c>
      <c r="D1315" s="1" t="s">
        <v>44</v>
      </c>
      <c r="E1315" s="1" t="s">
        <v>21</v>
      </c>
      <c r="F1315" s="1" t="s">
        <v>31</v>
      </c>
      <c r="G1315" s="2">
        <v>45672</v>
      </c>
      <c r="H1315" s="2">
        <v>45676</v>
      </c>
      <c r="I1315" s="1" t="s">
        <v>32</v>
      </c>
      <c r="J1315">
        <v>5</v>
      </c>
      <c r="K1315">
        <v>4</v>
      </c>
      <c r="L1315">
        <v>7</v>
      </c>
      <c r="M1315" s="1" t="s">
        <v>24</v>
      </c>
      <c r="N1315" s="2">
        <v>45658</v>
      </c>
      <c r="O1315">
        <v>2025</v>
      </c>
      <c r="P1315">
        <v>1</v>
      </c>
      <c r="Q1315" s="1" t="s">
        <v>24</v>
      </c>
    </row>
    <row r="1316" spans="1:17" x14ac:dyDescent="0.3">
      <c r="A1316" s="1" t="s">
        <v>1381</v>
      </c>
      <c r="B1316" s="1" t="s">
        <v>35</v>
      </c>
      <c r="C1316" s="1" t="s">
        <v>99</v>
      </c>
      <c r="D1316" s="1" t="s">
        <v>44</v>
      </c>
      <c r="E1316" s="1" t="s">
        <v>21</v>
      </c>
      <c r="F1316" s="1" t="s">
        <v>22</v>
      </c>
      <c r="G1316" s="2">
        <v>45878</v>
      </c>
      <c r="H1316" s="2">
        <v>45880</v>
      </c>
      <c r="I1316" s="1" t="s">
        <v>39</v>
      </c>
      <c r="J1316">
        <v>3</v>
      </c>
      <c r="K1316">
        <v>2</v>
      </c>
      <c r="L1316">
        <v>7</v>
      </c>
      <c r="M1316" s="1" t="s">
        <v>24</v>
      </c>
      <c r="N1316" s="2">
        <v>45870</v>
      </c>
      <c r="O1316">
        <v>2025</v>
      </c>
      <c r="P1316">
        <v>3</v>
      </c>
      <c r="Q1316" s="1" t="s">
        <v>24</v>
      </c>
    </row>
    <row r="1317" spans="1:17" x14ac:dyDescent="0.3">
      <c r="A1317" s="1" t="s">
        <v>1382</v>
      </c>
      <c r="B1317" s="1" t="s">
        <v>26</v>
      </c>
      <c r="C1317" s="1" t="s">
        <v>123</v>
      </c>
      <c r="D1317" s="1" t="s">
        <v>20</v>
      </c>
      <c r="E1317" s="1" t="s">
        <v>21</v>
      </c>
      <c r="F1317" s="1" t="s">
        <v>31</v>
      </c>
      <c r="G1317" s="2">
        <v>45708</v>
      </c>
      <c r="H1317" s="2">
        <v>45711</v>
      </c>
      <c r="I1317" s="1" t="s">
        <v>28</v>
      </c>
      <c r="J1317">
        <v>4</v>
      </c>
      <c r="K1317">
        <v>3</v>
      </c>
      <c r="L1317">
        <v>14</v>
      </c>
      <c r="M1317" s="1" t="s">
        <v>24</v>
      </c>
      <c r="N1317" s="2">
        <v>45689</v>
      </c>
      <c r="O1317">
        <v>2025</v>
      </c>
      <c r="P1317">
        <v>1</v>
      </c>
      <c r="Q1317" s="1" t="s">
        <v>24</v>
      </c>
    </row>
    <row r="1318" spans="1:17" x14ac:dyDescent="0.3">
      <c r="A1318" s="1" t="s">
        <v>1383</v>
      </c>
      <c r="B1318" s="1" t="s">
        <v>35</v>
      </c>
      <c r="C1318" s="1" t="s">
        <v>36</v>
      </c>
      <c r="D1318" s="1" t="s">
        <v>51</v>
      </c>
      <c r="E1318" s="1" t="s">
        <v>21</v>
      </c>
      <c r="F1318" s="1" t="s">
        <v>38</v>
      </c>
      <c r="G1318" s="2">
        <v>45929</v>
      </c>
      <c r="H1318" s="2">
        <v>45938</v>
      </c>
      <c r="I1318" s="1" t="s">
        <v>23</v>
      </c>
      <c r="J1318">
        <v>4</v>
      </c>
      <c r="K1318">
        <v>9</v>
      </c>
      <c r="L1318">
        <v>10</v>
      </c>
      <c r="M1318" s="1" t="s">
        <v>24</v>
      </c>
      <c r="N1318" s="2">
        <v>45901</v>
      </c>
      <c r="O1318">
        <v>2025</v>
      </c>
      <c r="P1318">
        <v>3</v>
      </c>
      <c r="Q1318" s="1" t="s">
        <v>24</v>
      </c>
    </row>
    <row r="1319" spans="1:17" x14ac:dyDescent="0.3">
      <c r="A1319" s="1" t="s">
        <v>1384</v>
      </c>
      <c r="B1319" s="1" t="s">
        <v>18</v>
      </c>
      <c r="C1319" s="1" t="s">
        <v>47</v>
      </c>
      <c r="D1319" s="1" t="s">
        <v>71</v>
      </c>
      <c r="E1319" s="1" t="s">
        <v>21</v>
      </c>
      <c r="F1319" s="1" t="s">
        <v>61</v>
      </c>
      <c r="G1319" s="2">
        <v>45685</v>
      </c>
      <c r="H1319" s="2">
        <v>45685</v>
      </c>
      <c r="I1319" s="1" t="s">
        <v>23</v>
      </c>
      <c r="J1319">
        <v>4</v>
      </c>
      <c r="K1319">
        <v>0</v>
      </c>
      <c r="L1319">
        <v>3</v>
      </c>
      <c r="M1319" s="1" t="s">
        <v>24</v>
      </c>
      <c r="N1319" s="2">
        <v>45658</v>
      </c>
      <c r="O1319">
        <v>2025</v>
      </c>
      <c r="P1319">
        <v>1</v>
      </c>
      <c r="Q1319" s="1" t="s">
        <v>24</v>
      </c>
    </row>
    <row r="1320" spans="1:17" x14ac:dyDescent="0.3">
      <c r="A1320" s="1" t="s">
        <v>1385</v>
      </c>
      <c r="B1320" s="1" t="s">
        <v>26</v>
      </c>
      <c r="C1320" s="1" t="s">
        <v>67</v>
      </c>
      <c r="D1320" s="1" t="s">
        <v>51</v>
      </c>
      <c r="E1320" s="1" t="s">
        <v>48</v>
      </c>
      <c r="F1320" s="1" t="s">
        <v>31</v>
      </c>
      <c r="G1320" s="2">
        <v>46016</v>
      </c>
      <c r="H1320" s="2"/>
      <c r="I1320" s="1" t="s">
        <v>39</v>
      </c>
      <c r="L1320">
        <v>10</v>
      </c>
      <c r="M1320" s="1" t="s">
        <v>40</v>
      </c>
      <c r="N1320" s="2">
        <v>45992</v>
      </c>
      <c r="O1320">
        <v>2025</v>
      </c>
      <c r="P1320">
        <v>4</v>
      </c>
      <c r="Q1320" s="1" t="s">
        <v>33</v>
      </c>
    </row>
    <row r="1321" spans="1:17" x14ac:dyDescent="0.3">
      <c r="A1321" s="1" t="s">
        <v>1386</v>
      </c>
      <c r="B1321" s="1" t="s">
        <v>58</v>
      </c>
      <c r="C1321" s="1" t="s">
        <v>70</v>
      </c>
      <c r="D1321" s="1" t="s">
        <v>20</v>
      </c>
      <c r="E1321" s="1" t="s">
        <v>37</v>
      </c>
      <c r="F1321" s="1" t="s">
        <v>52</v>
      </c>
      <c r="G1321" s="2">
        <v>46012</v>
      </c>
      <c r="H1321" s="2"/>
      <c r="I1321" s="1" t="s">
        <v>39</v>
      </c>
      <c r="L1321">
        <v>14</v>
      </c>
      <c r="M1321" s="1" t="s">
        <v>40</v>
      </c>
      <c r="N1321" s="2">
        <v>45992</v>
      </c>
      <c r="O1321">
        <v>2025</v>
      </c>
      <c r="P1321">
        <v>4</v>
      </c>
      <c r="Q1321" s="1" t="s">
        <v>33</v>
      </c>
    </row>
    <row r="1322" spans="1:17" x14ac:dyDescent="0.3">
      <c r="A1322" s="1" t="s">
        <v>1387</v>
      </c>
      <c r="B1322" s="1" t="s">
        <v>63</v>
      </c>
      <c r="C1322" s="1" t="s">
        <v>64</v>
      </c>
      <c r="D1322" s="1" t="s">
        <v>44</v>
      </c>
      <c r="E1322" s="1" t="s">
        <v>21</v>
      </c>
      <c r="F1322" s="1" t="s">
        <v>38</v>
      </c>
      <c r="G1322" s="2">
        <v>45805</v>
      </c>
      <c r="H1322" s="2">
        <v>45811</v>
      </c>
      <c r="I1322" s="1" t="s">
        <v>23</v>
      </c>
      <c r="J1322">
        <v>4</v>
      </c>
      <c r="K1322">
        <v>6</v>
      </c>
      <c r="L1322">
        <v>7</v>
      </c>
      <c r="M1322" s="1" t="s">
        <v>24</v>
      </c>
      <c r="N1322" s="2">
        <v>45778</v>
      </c>
      <c r="O1322">
        <v>2025</v>
      </c>
      <c r="P1322">
        <v>2</v>
      </c>
      <c r="Q1322" s="1" t="s">
        <v>24</v>
      </c>
    </row>
    <row r="1323" spans="1:17" x14ac:dyDescent="0.3">
      <c r="A1323" s="1" t="s">
        <v>1388</v>
      </c>
      <c r="B1323" s="1" t="s">
        <v>63</v>
      </c>
      <c r="C1323" s="1" t="s">
        <v>89</v>
      </c>
      <c r="D1323" s="1" t="s">
        <v>44</v>
      </c>
      <c r="E1323" s="1" t="s">
        <v>37</v>
      </c>
      <c r="F1323" s="1" t="s">
        <v>61</v>
      </c>
      <c r="G1323" s="2">
        <v>46010</v>
      </c>
      <c r="H1323" s="2"/>
      <c r="I1323" s="1" t="s">
        <v>28</v>
      </c>
      <c r="L1323">
        <v>7</v>
      </c>
      <c r="M1323" s="1" t="s">
        <v>40</v>
      </c>
      <c r="N1323" s="2">
        <v>45992</v>
      </c>
      <c r="O1323">
        <v>2025</v>
      </c>
      <c r="P1323">
        <v>4</v>
      </c>
      <c r="Q1323" s="1" t="s">
        <v>33</v>
      </c>
    </row>
    <row r="1324" spans="1:17" x14ac:dyDescent="0.3">
      <c r="A1324" s="1" t="s">
        <v>1389</v>
      </c>
      <c r="B1324" s="1" t="s">
        <v>35</v>
      </c>
      <c r="C1324" s="1" t="s">
        <v>99</v>
      </c>
      <c r="D1324" s="1" t="s">
        <v>20</v>
      </c>
      <c r="E1324" s="1" t="s">
        <v>21</v>
      </c>
      <c r="F1324" s="1" t="s">
        <v>31</v>
      </c>
      <c r="G1324" s="2">
        <v>45891</v>
      </c>
      <c r="H1324" s="2">
        <v>45896</v>
      </c>
      <c r="I1324" s="1" t="s">
        <v>39</v>
      </c>
      <c r="J1324">
        <v>5</v>
      </c>
      <c r="K1324">
        <v>5</v>
      </c>
      <c r="L1324">
        <v>14</v>
      </c>
      <c r="M1324" s="1" t="s">
        <v>24</v>
      </c>
      <c r="N1324" s="2">
        <v>45870</v>
      </c>
      <c r="O1324">
        <v>2025</v>
      </c>
      <c r="P1324">
        <v>3</v>
      </c>
      <c r="Q1324" s="1" t="s">
        <v>24</v>
      </c>
    </row>
    <row r="1325" spans="1:17" x14ac:dyDescent="0.3">
      <c r="A1325" s="1" t="s">
        <v>1390</v>
      </c>
      <c r="B1325" s="1" t="s">
        <v>35</v>
      </c>
      <c r="C1325" s="1" t="s">
        <v>99</v>
      </c>
      <c r="D1325" s="1" t="s">
        <v>20</v>
      </c>
      <c r="E1325" s="1" t="s">
        <v>21</v>
      </c>
      <c r="F1325" s="1" t="s">
        <v>38</v>
      </c>
      <c r="G1325" s="2">
        <v>45697</v>
      </c>
      <c r="H1325" s="2">
        <v>45702</v>
      </c>
      <c r="I1325" s="1" t="s">
        <v>82</v>
      </c>
      <c r="J1325">
        <v>5</v>
      </c>
      <c r="K1325">
        <v>5</v>
      </c>
      <c r="L1325">
        <v>14</v>
      </c>
      <c r="M1325" s="1" t="s">
        <v>24</v>
      </c>
      <c r="N1325" s="2">
        <v>45689</v>
      </c>
      <c r="O1325">
        <v>2025</v>
      </c>
      <c r="P1325">
        <v>1</v>
      </c>
      <c r="Q1325" s="1" t="s">
        <v>24</v>
      </c>
    </row>
    <row r="1326" spans="1:17" x14ac:dyDescent="0.3">
      <c r="A1326" s="1" t="s">
        <v>1391</v>
      </c>
      <c r="B1326" s="1" t="s">
        <v>35</v>
      </c>
      <c r="C1326" s="1" t="s">
        <v>50</v>
      </c>
      <c r="D1326" s="1" t="s">
        <v>51</v>
      </c>
      <c r="E1326" s="1" t="s">
        <v>21</v>
      </c>
      <c r="F1326" s="1" t="s">
        <v>38</v>
      </c>
      <c r="G1326" s="2">
        <v>45784</v>
      </c>
      <c r="H1326" s="2">
        <v>45793</v>
      </c>
      <c r="I1326" s="1" t="s">
        <v>82</v>
      </c>
      <c r="J1326">
        <v>2</v>
      </c>
      <c r="K1326">
        <v>9</v>
      </c>
      <c r="L1326">
        <v>10</v>
      </c>
      <c r="M1326" s="1" t="s">
        <v>24</v>
      </c>
      <c r="N1326" s="2">
        <v>45778</v>
      </c>
      <c r="O1326">
        <v>2025</v>
      </c>
      <c r="P1326">
        <v>2</v>
      </c>
      <c r="Q1326" s="1" t="s">
        <v>24</v>
      </c>
    </row>
    <row r="1327" spans="1:17" x14ac:dyDescent="0.3">
      <c r="A1327" s="1" t="s">
        <v>1392</v>
      </c>
      <c r="B1327" s="1" t="s">
        <v>18</v>
      </c>
      <c r="C1327" s="1" t="s">
        <v>56</v>
      </c>
      <c r="D1327" s="1" t="s">
        <v>44</v>
      </c>
      <c r="E1327" s="1" t="s">
        <v>21</v>
      </c>
      <c r="F1327" s="1" t="s">
        <v>38</v>
      </c>
      <c r="G1327" s="2">
        <v>45743</v>
      </c>
      <c r="H1327" s="2">
        <v>45750</v>
      </c>
      <c r="I1327" s="1" t="s">
        <v>23</v>
      </c>
      <c r="J1327">
        <v>3</v>
      </c>
      <c r="K1327">
        <v>7</v>
      </c>
      <c r="L1327">
        <v>7</v>
      </c>
      <c r="M1327" s="1" t="s">
        <v>24</v>
      </c>
      <c r="N1327" s="2">
        <v>45717</v>
      </c>
      <c r="O1327">
        <v>2025</v>
      </c>
      <c r="P1327">
        <v>1</v>
      </c>
      <c r="Q1327" s="1" t="s">
        <v>24</v>
      </c>
    </row>
    <row r="1328" spans="1:17" x14ac:dyDescent="0.3">
      <c r="A1328" s="1" t="s">
        <v>1393</v>
      </c>
      <c r="B1328" s="1" t="s">
        <v>35</v>
      </c>
      <c r="C1328" s="1" t="s">
        <v>97</v>
      </c>
      <c r="D1328" s="1" t="s">
        <v>51</v>
      </c>
      <c r="E1328" s="1" t="s">
        <v>21</v>
      </c>
      <c r="F1328" s="1" t="s">
        <v>52</v>
      </c>
      <c r="G1328" s="2">
        <v>45937</v>
      </c>
      <c r="H1328" s="2">
        <v>45943</v>
      </c>
      <c r="I1328" s="1" t="s">
        <v>32</v>
      </c>
      <c r="J1328">
        <v>5</v>
      </c>
      <c r="K1328">
        <v>6</v>
      </c>
      <c r="L1328">
        <v>10</v>
      </c>
      <c r="M1328" s="1" t="s">
        <v>24</v>
      </c>
      <c r="N1328" s="2">
        <v>45931</v>
      </c>
      <c r="O1328">
        <v>2025</v>
      </c>
      <c r="P1328">
        <v>4</v>
      </c>
      <c r="Q1328" s="1" t="s">
        <v>24</v>
      </c>
    </row>
    <row r="1329" spans="1:17" x14ac:dyDescent="0.3">
      <c r="A1329" s="1" t="s">
        <v>1394</v>
      </c>
      <c r="B1329" s="1" t="s">
        <v>58</v>
      </c>
      <c r="C1329" s="1" t="s">
        <v>70</v>
      </c>
      <c r="D1329" s="1" t="s">
        <v>44</v>
      </c>
      <c r="E1329" s="1" t="s">
        <v>21</v>
      </c>
      <c r="F1329" s="1" t="s">
        <v>22</v>
      </c>
      <c r="G1329" s="2">
        <v>45828</v>
      </c>
      <c r="H1329" s="2">
        <v>45833</v>
      </c>
      <c r="I1329" s="1" t="s">
        <v>39</v>
      </c>
      <c r="J1329">
        <v>5</v>
      </c>
      <c r="K1329">
        <v>5</v>
      </c>
      <c r="L1329">
        <v>7</v>
      </c>
      <c r="M1329" s="1" t="s">
        <v>24</v>
      </c>
      <c r="N1329" s="2">
        <v>45809</v>
      </c>
      <c r="O1329">
        <v>2025</v>
      </c>
      <c r="P1329">
        <v>2</v>
      </c>
      <c r="Q1329" s="1" t="s">
        <v>24</v>
      </c>
    </row>
    <row r="1330" spans="1:17" x14ac:dyDescent="0.3">
      <c r="A1330" s="1" t="s">
        <v>1395</v>
      </c>
      <c r="B1330" s="1" t="s">
        <v>42</v>
      </c>
      <c r="C1330" s="1" t="s">
        <v>43</v>
      </c>
      <c r="D1330" s="1" t="s">
        <v>51</v>
      </c>
      <c r="E1330" s="1" t="s">
        <v>21</v>
      </c>
      <c r="F1330" s="1" t="s">
        <v>61</v>
      </c>
      <c r="G1330" s="2">
        <v>45668</v>
      </c>
      <c r="H1330" s="2">
        <v>45672</v>
      </c>
      <c r="I1330" s="1" t="s">
        <v>28</v>
      </c>
      <c r="J1330">
        <v>5</v>
      </c>
      <c r="K1330">
        <v>4</v>
      </c>
      <c r="L1330">
        <v>10</v>
      </c>
      <c r="M1330" s="1" t="s">
        <v>24</v>
      </c>
      <c r="N1330" s="2">
        <v>45658</v>
      </c>
      <c r="O1330">
        <v>2025</v>
      </c>
      <c r="P1330">
        <v>1</v>
      </c>
      <c r="Q1330" s="1" t="s">
        <v>24</v>
      </c>
    </row>
    <row r="1331" spans="1:17" x14ac:dyDescent="0.3">
      <c r="A1331" s="1" t="s">
        <v>1396</v>
      </c>
      <c r="B1331" s="1" t="s">
        <v>35</v>
      </c>
      <c r="C1331" s="1" t="s">
        <v>50</v>
      </c>
      <c r="D1331" s="1" t="s">
        <v>20</v>
      </c>
      <c r="E1331" s="1" t="s">
        <v>21</v>
      </c>
      <c r="F1331" s="1" t="s">
        <v>38</v>
      </c>
      <c r="G1331" s="2">
        <v>46014</v>
      </c>
      <c r="H1331" s="2">
        <v>46023</v>
      </c>
      <c r="I1331" s="1" t="s">
        <v>28</v>
      </c>
      <c r="J1331">
        <v>4</v>
      </c>
      <c r="K1331">
        <v>9</v>
      </c>
      <c r="L1331">
        <v>14</v>
      </c>
      <c r="M1331" s="1" t="s">
        <v>24</v>
      </c>
      <c r="N1331" s="2">
        <v>45992</v>
      </c>
      <c r="O1331">
        <v>2025</v>
      </c>
      <c r="P1331">
        <v>4</v>
      </c>
      <c r="Q1331" s="1" t="s">
        <v>24</v>
      </c>
    </row>
    <row r="1332" spans="1:17" x14ac:dyDescent="0.3">
      <c r="A1332" s="1" t="s">
        <v>1397</v>
      </c>
      <c r="B1332" s="1" t="s">
        <v>58</v>
      </c>
      <c r="C1332" s="1" t="s">
        <v>70</v>
      </c>
      <c r="D1332" s="1" t="s">
        <v>71</v>
      </c>
      <c r="E1332" s="1" t="s">
        <v>48</v>
      </c>
      <c r="F1332" s="1" t="s">
        <v>22</v>
      </c>
      <c r="G1332" s="2">
        <v>46005</v>
      </c>
      <c r="H1332" s="2"/>
      <c r="I1332" s="1" t="s">
        <v>39</v>
      </c>
      <c r="L1332">
        <v>3</v>
      </c>
      <c r="M1332" s="1" t="s">
        <v>40</v>
      </c>
      <c r="N1332" s="2">
        <v>45992</v>
      </c>
      <c r="O1332">
        <v>2025</v>
      </c>
      <c r="P1332">
        <v>4</v>
      </c>
      <c r="Q1332" s="1" t="s">
        <v>33</v>
      </c>
    </row>
    <row r="1333" spans="1:17" x14ac:dyDescent="0.3">
      <c r="A1333" s="1" t="s">
        <v>1398</v>
      </c>
      <c r="B1333" s="1" t="s">
        <v>26</v>
      </c>
      <c r="C1333" s="1" t="s">
        <v>54</v>
      </c>
      <c r="D1333" s="1" t="s">
        <v>51</v>
      </c>
      <c r="E1333" s="1" t="s">
        <v>21</v>
      </c>
      <c r="F1333" s="1" t="s">
        <v>52</v>
      </c>
      <c r="G1333" s="2">
        <v>45827</v>
      </c>
      <c r="H1333" s="2">
        <v>45835</v>
      </c>
      <c r="I1333" s="1" t="s">
        <v>32</v>
      </c>
      <c r="J1333">
        <v>4</v>
      </c>
      <c r="K1333">
        <v>8</v>
      </c>
      <c r="L1333">
        <v>10</v>
      </c>
      <c r="M1333" s="1" t="s">
        <v>24</v>
      </c>
      <c r="N1333" s="2">
        <v>45809</v>
      </c>
      <c r="O1333">
        <v>2025</v>
      </c>
      <c r="P1333">
        <v>2</v>
      </c>
      <c r="Q1333" s="1" t="s">
        <v>24</v>
      </c>
    </row>
    <row r="1334" spans="1:17" x14ac:dyDescent="0.3">
      <c r="A1334" s="1" t="s">
        <v>1399</v>
      </c>
      <c r="B1334" s="1" t="s">
        <v>63</v>
      </c>
      <c r="C1334" s="1" t="s">
        <v>74</v>
      </c>
      <c r="D1334" s="1" t="s">
        <v>51</v>
      </c>
      <c r="E1334" s="1" t="s">
        <v>21</v>
      </c>
      <c r="F1334" s="1" t="s">
        <v>31</v>
      </c>
      <c r="G1334" s="2">
        <v>45971</v>
      </c>
      <c r="H1334" s="2">
        <v>45974</v>
      </c>
      <c r="I1334" s="1" t="s">
        <v>82</v>
      </c>
      <c r="J1334">
        <v>4</v>
      </c>
      <c r="K1334">
        <v>3</v>
      </c>
      <c r="L1334">
        <v>10</v>
      </c>
      <c r="M1334" s="1" t="s">
        <v>24</v>
      </c>
      <c r="N1334" s="2">
        <v>45962</v>
      </c>
      <c r="O1334">
        <v>2025</v>
      </c>
      <c r="P1334">
        <v>4</v>
      </c>
      <c r="Q1334" s="1" t="s">
        <v>24</v>
      </c>
    </row>
    <row r="1335" spans="1:17" x14ac:dyDescent="0.3">
      <c r="A1335" s="1" t="s">
        <v>1400</v>
      </c>
      <c r="B1335" s="1" t="s">
        <v>35</v>
      </c>
      <c r="C1335" s="1" t="s">
        <v>97</v>
      </c>
      <c r="D1335" s="1" t="s">
        <v>20</v>
      </c>
      <c r="E1335" s="1" t="s">
        <v>21</v>
      </c>
      <c r="F1335" s="1" t="s">
        <v>61</v>
      </c>
      <c r="G1335" s="2">
        <v>46008</v>
      </c>
      <c r="H1335" s="2">
        <v>46013</v>
      </c>
      <c r="I1335" s="1" t="s">
        <v>82</v>
      </c>
      <c r="J1335">
        <v>4</v>
      </c>
      <c r="K1335">
        <v>5</v>
      </c>
      <c r="L1335">
        <v>14</v>
      </c>
      <c r="M1335" s="1" t="s">
        <v>24</v>
      </c>
      <c r="N1335" s="2">
        <v>45992</v>
      </c>
      <c r="O1335">
        <v>2025</v>
      </c>
      <c r="P1335">
        <v>4</v>
      </c>
      <c r="Q1335" s="1" t="s">
        <v>24</v>
      </c>
    </row>
    <row r="1336" spans="1:17" x14ac:dyDescent="0.3">
      <c r="A1336" s="1" t="s">
        <v>1401</v>
      </c>
      <c r="B1336" s="1" t="s">
        <v>35</v>
      </c>
      <c r="C1336" s="1" t="s">
        <v>36</v>
      </c>
      <c r="D1336" s="1" t="s">
        <v>51</v>
      </c>
      <c r="E1336" s="1" t="s">
        <v>21</v>
      </c>
      <c r="F1336" s="1" t="s">
        <v>61</v>
      </c>
      <c r="G1336" s="2">
        <v>45808</v>
      </c>
      <c r="H1336" s="2">
        <v>45810</v>
      </c>
      <c r="I1336" s="1" t="s">
        <v>32</v>
      </c>
      <c r="J1336">
        <v>4</v>
      </c>
      <c r="K1336">
        <v>2</v>
      </c>
      <c r="L1336">
        <v>10</v>
      </c>
      <c r="M1336" s="1" t="s">
        <v>24</v>
      </c>
      <c r="N1336" s="2">
        <v>45778</v>
      </c>
      <c r="O1336">
        <v>2025</v>
      </c>
      <c r="P1336">
        <v>2</v>
      </c>
      <c r="Q1336" s="1" t="s">
        <v>24</v>
      </c>
    </row>
    <row r="1337" spans="1:17" x14ac:dyDescent="0.3">
      <c r="A1337" s="1" t="s">
        <v>1402</v>
      </c>
      <c r="B1337" s="1" t="s">
        <v>26</v>
      </c>
      <c r="C1337" s="1" t="s">
        <v>67</v>
      </c>
      <c r="D1337" s="1" t="s">
        <v>20</v>
      </c>
      <c r="E1337" s="1" t="s">
        <v>21</v>
      </c>
      <c r="F1337" s="1" t="s">
        <v>38</v>
      </c>
      <c r="G1337" s="2">
        <v>45878</v>
      </c>
      <c r="H1337" s="2">
        <v>45886</v>
      </c>
      <c r="I1337" s="1" t="s">
        <v>23</v>
      </c>
      <c r="J1337">
        <v>5</v>
      </c>
      <c r="K1337">
        <v>8</v>
      </c>
      <c r="L1337">
        <v>14</v>
      </c>
      <c r="M1337" s="1" t="s">
        <v>24</v>
      </c>
      <c r="N1337" s="2">
        <v>45870</v>
      </c>
      <c r="O1337">
        <v>2025</v>
      </c>
      <c r="P1337">
        <v>3</v>
      </c>
      <c r="Q1337" s="1" t="s">
        <v>24</v>
      </c>
    </row>
    <row r="1338" spans="1:17" x14ac:dyDescent="0.3">
      <c r="A1338" s="1" t="s">
        <v>1403</v>
      </c>
      <c r="B1338" s="1" t="s">
        <v>35</v>
      </c>
      <c r="C1338" s="1" t="s">
        <v>36</v>
      </c>
      <c r="D1338" s="1" t="s">
        <v>51</v>
      </c>
      <c r="E1338" s="1" t="s">
        <v>21</v>
      </c>
      <c r="F1338" s="1" t="s">
        <v>38</v>
      </c>
      <c r="G1338" s="2">
        <v>45915</v>
      </c>
      <c r="H1338" s="2">
        <v>45925</v>
      </c>
      <c r="I1338" s="1" t="s">
        <v>32</v>
      </c>
      <c r="J1338">
        <v>3</v>
      </c>
      <c r="K1338">
        <v>10</v>
      </c>
      <c r="L1338">
        <v>10</v>
      </c>
      <c r="M1338" s="1" t="s">
        <v>24</v>
      </c>
      <c r="N1338" s="2">
        <v>45901</v>
      </c>
      <c r="O1338">
        <v>2025</v>
      </c>
      <c r="P1338">
        <v>3</v>
      </c>
      <c r="Q1338" s="1" t="s">
        <v>24</v>
      </c>
    </row>
    <row r="1339" spans="1:17" x14ac:dyDescent="0.3">
      <c r="A1339" s="1" t="s">
        <v>1404</v>
      </c>
      <c r="B1339" s="1" t="s">
        <v>63</v>
      </c>
      <c r="C1339" s="1" t="s">
        <v>64</v>
      </c>
      <c r="D1339" s="1" t="s">
        <v>51</v>
      </c>
      <c r="E1339" s="1" t="s">
        <v>48</v>
      </c>
      <c r="F1339" s="1" t="s">
        <v>61</v>
      </c>
      <c r="G1339" s="2">
        <v>45806</v>
      </c>
      <c r="H1339" s="2"/>
      <c r="I1339" s="1" t="s">
        <v>23</v>
      </c>
      <c r="L1339">
        <v>10</v>
      </c>
      <c r="M1339" s="1" t="s">
        <v>40</v>
      </c>
      <c r="N1339" s="2">
        <v>45778</v>
      </c>
      <c r="O1339">
        <v>2025</v>
      </c>
      <c r="P1339">
        <v>2</v>
      </c>
      <c r="Q1339" s="1" t="s">
        <v>33</v>
      </c>
    </row>
    <row r="1340" spans="1:17" x14ac:dyDescent="0.3">
      <c r="A1340" s="1" t="s">
        <v>1405</v>
      </c>
      <c r="B1340" s="1" t="s">
        <v>58</v>
      </c>
      <c r="C1340" s="1" t="s">
        <v>59</v>
      </c>
      <c r="D1340" s="1" t="s">
        <v>20</v>
      </c>
      <c r="E1340" s="1" t="s">
        <v>21</v>
      </c>
      <c r="F1340" s="1" t="s">
        <v>38</v>
      </c>
      <c r="G1340" s="2">
        <v>45855</v>
      </c>
      <c r="H1340" s="2">
        <v>45864</v>
      </c>
      <c r="I1340" s="1" t="s">
        <v>32</v>
      </c>
      <c r="J1340">
        <v>4</v>
      </c>
      <c r="K1340">
        <v>9</v>
      </c>
      <c r="L1340">
        <v>14</v>
      </c>
      <c r="M1340" s="1" t="s">
        <v>24</v>
      </c>
      <c r="N1340" s="2">
        <v>45839</v>
      </c>
      <c r="O1340">
        <v>2025</v>
      </c>
      <c r="P1340">
        <v>3</v>
      </c>
      <c r="Q1340" s="1" t="s">
        <v>24</v>
      </c>
    </row>
    <row r="1341" spans="1:17" x14ac:dyDescent="0.3">
      <c r="A1341" s="1" t="s">
        <v>1406</v>
      </c>
      <c r="B1341" s="1" t="s">
        <v>35</v>
      </c>
      <c r="C1341" s="1" t="s">
        <v>97</v>
      </c>
      <c r="D1341" s="1" t="s">
        <v>20</v>
      </c>
      <c r="E1341" s="1" t="s">
        <v>21</v>
      </c>
      <c r="F1341" s="1" t="s">
        <v>61</v>
      </c>
      <c r="G1341" s="2">
        <v>45823</v>
      </c>
      <c r="H1341" s="2">
        <v>45838</v>
      </c>
      <c r="I1341" s="1" t="s">
        <v>32</v>
      </c>
      <c r="J1341">
        <v>4</v>
      </c>
      <c r="K1341">
        <v>15</v>
      </c>
      <c r="L1341">
        <v>14</v>
      </c>
      <c r="M1341" s="1" t="s">
        <v>33</v>
      </c>
      <c r="N1341" s="2">
        <v>45809</v>
      </c>
      <c r="O1341">
        <v>2025</v>
      </c>
      <c r="P1341">
        <v>2</v>
      </c>
      <c r="Q1341" s="1" t="s">
        <v>24</v>
      </c>
    </row>
    <row r="1342" spans="1:17" x14ac:dyDescent="0.3">
      <c r="A1342" s="1" t="s">
        <v>1407</v>
      </c>
      <c r="B1342" s="1" t="s">
        <v>63</v>
      </c>
      <c r="C1342" s="1" t="s">
        <v>89</v>
      </c>
      <c r="D1342" s="1" t="s">
        <v>51</v>
      </c>
      <c r="E1342" s="1" t="s">
        <v>21</v>
      </c>
      <c r="F1342" s="1" t="s">
        <v>31</v>
      </c>
      <c r="G1342" s="2">
        <v>45701</v>
      </c>
      <c r="H1342" s="2">
        <v>45707</v>
      </c>
      <c r="I1342" s="1" t="s">
        <v>82</v>
      </c>
      <c r="J1342">
        <v>4</v>
      </c>
      <c r="K1342">
        <v>6</v>
      </c>
      <c r="L1342">
        <v>10</v>
      </c>
      <c r="M1342" s="1" t="s">
        <v>24</v>
      </c>
      <c r="N1342" s="2">
        <v>45689</v>
      </c>
      <c r="O1342">
        <v>2025</v>
      </c>
      <c r="P1342">
        <v>1</v>
      </c>
      <c r="Q1342" s="1" t="s">
        <v>24</v>
      </c>
    </row>
    <row r="1343" spans="1:17" x14ac:dyDescent="0.3">
      <c r="A1343" s="1" t="s">
        <v>1408</v>
      </c>
      <c r="B1343" s="1" t="s">
        <v>63</v>
      </c>
      <c r="C1343" s="1" t="s">
        <v>89</v>
      </c>
      <c r="D1343" s="1" t="s">
        <v>44</v>
      </c>
      <c r="E1343" s="1" t="s">
        <v>37</v>
      </c>
      <c r="F1343" s="1" t="s">
        <v>61</v>
      </c>
      <c r="G1343" s="2">
        <v>45707</v>
      </c>
      <c r="H1343" s="2"/>
      <c r="I1343" s="1" t="s">
        <v>82</v>
      </c>
      <c r="L1343">
        <v>7</v>
      </c>
      <c r="M1343" s="1" t="s">
        <v>40</v>
      </c>
      <c r="N1343" s="2">
        <v>45689</v>
      </c>
      <c r="O1343">
        <v>2025</v>
      </c>
      <c r="P1343">
        <v>1</v>
      </c>
      <c r="Q1343" s="1" t="s">
        <v>33</v>
      </c>
    </row>
    <row r="1344" spans="1:17" x14ac:dyDescent="0.3">
      <c r="A1344" s="1" t="s">
        <v>1409</v>
      </c>
      <c r="B1344" s="1" t="s">
        <v>58</v>
      </c>
      <c r="C1344" s="1" t="s">
        <v>59</v>
      </c>
      <c r="D1344" s="1" t="s">
        <v>51</v>
      </c>
      <c r="E1344" s="1" t="s">
        <v>21</v>
      </c>
      <c r="F1344" s="1" t="s">
        <v>31</v>
      </c>
      <c r="G1344" s="2">
        <v>45841</v>
      </c>
      <c r="H1344" s="2">
        <v>45850</v>
      </c>
      <c r="I1344" s="1" t="s">
        <v>39</v>
      </c>
      <c r="J1344">
        <v>4</v>
      </c>
      <c r="K1344">
        <v>9</v>
      </c>
      <c r="L1344">
        <v>10</v>
      </c>
      <c r="M1344" s="1" t="s">
        <v>24</v>
      </c>
      <c r="N1344" s="2">
        <v>45839</v>
      </c>
      <c r="O1344">
        <v>2025</v>
      </c>
      <c r="P1344">
        <v>3</v>
      </c>
      <c r="Q1344" s="1" t="s">
        <v>24</v>
      </c>
    </row>
    <row r="1345" spans="1:17" x14ac:dyDescent="0.3">
      <c r="A1345" s="1" t="s">
        <v>1410</v>
      </c>
      <c r="B1345" s="1" t="s">
        <v>58</v>
      </c>
      <c r="C1345" s="1" t="s">
        <v>145</v>
      </c>
      <c r="D1345" s="1" t="s">
        <v>20</v>
      </c>
      <c r="E1345" s="1" t="s">
        <v>21</v>
      </c>
      <c r="F1345" s="1" t="s">
        <v>22</v>
      </c>
      <c r="G1345" s="2">
        <v>45873</v>
      </c>
      <c r="H1345" s="2">
        <v>45877</v>
      </c>
      <c r="I1345" s="1" t="s">
        <v>32</v>
      </c>
      <c r="J1345">
        <v>5</v>
      </c>
      <c r="K1345">
        <v>4</v>
      </c>
      <c r="L1345">
        <v>14</v>
      </c>
      <c r="M1345" s="1" t="s">
        <v>24</v>
      </c>
      <c r="N1345" s="2">
        <v>45870</v>
      </c>
      <c r="O1345">
        <v>2025</v>
      </c>
      <c r="P1345">
        <v>3</v>
      </c>
      <c r="Q1345" s="1" t="s">
        <v>24</v>
      </c>
    </row>
    <row r="1346" spans="1:17" x14ac:dyDescent="0.3">
      <c r="A1346" s="1" t="s">
        <v>1411</v>
      </c>
      <c r="B1346" s="1" t="s">
        <v>63</v>
      </c>
      <c r="C1346" s="1" t="s">
        <v>84</v>
      </c>
      <c r="D1346" s="1" t="s">
        <v>20</v>
      </c>
      <c r="E1346" s="1" t="s">
        <v>21</v>
      </c>
      <c r="F1346" s="1" t="s">
        <v>31</v>
      </c>
      <c r="G1346" s="2">
        <v>45947</v>
      </c>
      <c r="H1346" s="2">
        <v>45954</v>
      </c>
      <c r="I1346" s="1" t="s">
        <v>28</v>
      </c>
      <c r="J1346">
        <v>2</v>
      </c>
      <c r="K1346">
        <v>7</v>
      </c>
      <c r="L1346">
        <v>14</v>
      </c>
      <c r="M1346" s="1" t="s">
        <v>24</v>
      </c>
      <c r="N1346" s="2">
        <v>45931</v>
      </c>
      <c r="O1346">
        <v>2025</v>
      </c>
      <c r="P1346">
        <v>4</v>
      </c>
      <c r="Q1346" s="1" t="s">
        <v>24</v>
      </c>
    </row>
    <row r="1347" spans="1:17" x14ac:dyDescent="0.3">
      <c r="A1347" s="1" t="s">
        <v>1412</v>
      </c>
      <c r="B1347" s="1" t="s">
        <v>58</v>
      </c>
      <c r="C1347" s="1" t="s">
        <v>70</v>
      </c>
      <c r="D1347" s="1" t="s">
        <v>51</v>
      </c>
      <c r="E1347" s="1" t="s">
        <v>37</v>
      </c>
      <c r="F1347" s="1" t="s">
        <v>31</v>
      </c>
      <c r="G1347" s="2">
        <v>45923</v>
      </c>
      <c r="H1347" s="2"/>
      <c r="I1347" s="1" t="s">
        <v>23</v>
      </c>
      <c r="L1347">
        <v>10</v>
      </c>
      <c r="M1347" s="1" t="s">
        <v>40</v>
      </c>
      <c r="N1347" s="2">
        <v>45901</v>
      </c>
      <c r="O1347">
        <v>2025</v>
      </c>
      <c r="P1347">
        <v>3</v>
      </c>
      <c r="Q1347" s="1" t="s">
        <v>33</v>
      </c>
    </row>
    <row r="1348" spans="1:17" x14ac:dyDescent="0.3">
      <c r="A1348" s="1" t="s">
        <v>1413</v>
      </c>
      <c r="B1348" s="1" t="s">
        <v>42</v>
      </c>
      <c r="C1348" s="1" t="s">
        <v>81</v>
      </c>
      <c r="D1348" s="1" t="s">
        <v>51</v>
      </c>
      <c r="E1348" s="1" t="s">
        <v>48</v>
      </c>
      <c r="F1348" s="1" t="s">
        <v>52</v>
      </c>
      <c r="G1348" s="2">
        <v>45712</v>
      </c>
      <c r="H1348" s="2"/>
      <c r="I1348" s="1" t="s">
        <v>82</v>
      </c>
      <c r="L1348">
        <v>10</v>
      </c>
      <c r="M1348" s="1" t="s">
        <v>40</v>
      </c>
      <c r="N1348" s="2">
        <v>45689</v>
      </c>
      <c r="O1348">
        <v>2025</v>
      </c>
      <c r="P1348">
        <v>1</v>
      </c>
      <c r="Q1348" s="1" t="s">
        <v>33</v>
      </c>
    </row>
    <row r="1349" spans="1:17" x14ac:dyDescent="0.3">
      <c r="A1349" s="1" t="s">
        <v>1414</v>
      </c>
      <c r="B1349" s="1" t="s">
        <v>42</v>
      </c>
      <c r="C1349" s="1" t="s">
        <v>43</v>
      </c>
      <c r="D1349" s="1" t="s">
        <v>51</v>
      </c>
      <c r="E1349" s="1" t="s">
        <v>21</v>
      </c>
      <c r="F1349" s="1" t="s">
        <v>22</v>
      </c>
      <c r="G1349" s="2">
        <v>45689</v>
      </c>
      <c r="H1349" s="2">
        <v>45692</v>
      </c>
      <c r="I1349" s="1" t="s">
        <v>23</v>
      </c>
      <c r="J1349">
        <v>5</v>
      </c>
      <c r="K1349">
        <v>3</v>
      </c>
      <c r="L1349">
        <v>10</v>
      </c>
      <c r="M1349" s="1" t="s">
        <v>24</v>
      </c>
      <c r="N1349" s="2">
        <v>45689</v>
      </c>
      <c r="O1349">
        <v>2025</v>
      </c>
      <c r="P1349">
        <v>1</v>
      </c>
      <c r="Q1349" s="1" t="s">
        <v>24</v>
      </c>
    </row>
    <row r="1350" spans="1:17" x14ac:dyDescent="0.3">
      <c r="A1350" s="1" t="s">
        <v>1415</v>
      </c>
      <c r="B1350" s="1" t="s">
        <v>18</v>
      </c>
      <c r="C1350" s="1" t="s">
        <v>47</v>
      </c>
      <c r="D1350" s="1" t="s">
        <v>51</v>
      </c>
      <c r="E1350" s="1" t="s">
        <v>21</v>
      </c>
      <c r="F1350" s="1" t="s">
        <v>61</v>
      </c>
      <c r="G1350" s="2">
        <v>45911</v>
      </c>
      <c r="H1350" s="2">
        <v>45915</v>
      </c>
      <c r="I1350" s="1" t="s">
        <v>32</v>
      </c>
      <c r="J1350">
        <v>3</v>
      </c>
      <c r="K1350">
        <v>4</v>
      </c>
      <c r="L1350">
        <v>10</v>
      </c>
      <c r="M1350" s="1" t="s">
        <v>24</v>
      </c>
      <c r="N1350" s="2">
        <v>45901</v>
      </c>
      <c r="O1350">
        <v>2025</v>
      </c>
      <c r="P1350">
        <v>3</v>
      </c>
      <c r="Q1350" s="1" t="s">
        <v>24</v>
      </c>
    </row>
    <row r="1351" spans="1:17" x14ac:dyDescent="0.3">
      <c r="A1351" s="1" t="s">
        <v>1416</v>
      </c>
      <c r="B1351" s="1" t="s">
        <v>18</v>
      </c>
      <c r="C1351" s="1" t="s">
        <v>56</v>
      </c>
      <c r="D1351" s="1" t="s">
        <v>44</v>
      </c>
      <c r="E1351" s="1" t="s">
        <v>48</v>
      </c>
      <c r="F1351" s="1" t="s">
        <v>22</v>
      </c>
      <c r="G1351" s="2">
        <v>45906</v>
      </c>
      <c r="H1351" s="2"/>
      <c r="I1351" s="1" t="s">
        <v>28</v>
      </c>
      <c r="L1351">
        <v>7</v>
      </c>
      <c r="M1351" s="1" t="s">
        <v>40</v>
      </c>
      <c r="N1351" s="2">
        <v>45901</v>
      </c>
      <c r="O1351">
        <v>2025</v>
      </c>
      <c r="P1351">
        <v>3</v>
      </c>
      <c r="Q1351" s="1" t="s">
        <v>33</v>
      </c>
    </row>
    <row r="1352" spans="1:17" x14ac:dyDescent="0.3">
      <c r="A1352" s="1" t="s">
        <v>1417</v>
      </c>
      <c r="B1352" s="1" t="s">
        <v>42</v>
      </c>
      <c r="C1352" s="1" t="s">
        <v>81</v>
      </c>
      <c r="D1352" s="1" t="s">
        <v>20</v>
      </c>
      <c r="E1352" s="1" t="s">
        <v>21</v>
      </c>
      <c r="F1352" s="1" t="s">
        <v>61</v>
      </c>
      <c r="G1352" s="2">
        <v>45719</v>
      </c>
      <c r="H1352" s="2">
        <v>45730</v>
      </c>
      <c r="I1352" s="1" t="s">
        <v>23</v>
      </c>
      <c r="J1352">
        <v>2</v>
      </c>
      <c r="K1352">
        <v>11</v>
      </c>
      <c r="L1352">
        <v>14</v>
      </c>
      <c r="M1352" s="1" t="s">
        <v>24</v>
      </c>
      <c r="N1352" s="2">
        <v>45717</v>
      </c>
      <c r="O1352">
        <v>2025</v>
      </c>
      <c r="P1352">
        <v>1</v>
      </c>
      <c r="Q1352" s="1" t="s">
        <v>24</v>
      </c>
    </row>
    <row r="1353" spans="1:17" x14ac:dyDescent="0.3">
      <c r="A1353" s="1" t="s">
        <v>1418</v>
      </c>
      <c r="B1353" s="1" t="s">
        <v>58</v>
      </c>
      <c r="C1353" s="1" t="s">
        <v>70</v>
      </c>
      <c r="D1353" s="1" t="s">
        <v>44</v>
      </c>
      <c r="E1353" s="1" t="s">
        <v>21</v>
      </c>
      <c r="F1353" s="1" t="s">
        <v>31</v>
      </c>
      <c r="G1353" s="2">
        <v>45686</v>
      </c>
      <c r="H1353" s="2">
        <v>45687</v>
      </c>
      <c r="I1353" s="1" t="s">
        <v>28</v>
      </c>
      <c r="J1353">
        <v>4</v>
      </c>
      <c r="K1353">
        <v>1</v>
      </c>
      <c r="L1353">
        <v>7</v>
      </c>
      <c r="M1353" s="1" t="s">
        <v>24</v>
      </c>
      <c r="N1353" s="2">
        <v>45658</v>
      </c>
      <c r="O1353">
        <v>2025</v>
      </c>
      <c r="P1353">
        <v>1</v>
      </c>
      <c r="Q1353" s="1" t="s">
        <v>24</v>
      </c>
    </row>
    <row r="1354" spans="1:17" x14ac:dyDescent="0.3">
      <c r="A1354" s="1" t="s">
        <v>1419</v>
      </c>
      <c r="B1354" s="1" t="s">
        <v>63</v>
      </c>
      <c r="C1354" s="1" t="s">
        <v>84</v>
      </c>
      <c r="D1354" s="1" t="s">
        <v>44</v>
      </c>
      <c r="E1354" s="1" t="s">
        <v>21</v>
      </c>
      <c r="F1354" s="1" t="s">
        <v>61</v>
      </c>
      <c r="G1354" s="2">
        <v>45994</v>
      </c>
      <c r="H1354" s="2">
        <v>45999</v>
      </c>
      <c r="I1354" s="1" t="s">
        <v>23</v>
      </c>
      <c r="J1354">
        <v>3</v>
      </c>
      <c r="K1354">
        <v>5</v>
      </c>
      <c r="L1354">
        <v>7</v>
      </c>
      <c r="M1354" s="1" t="s">
        <v>24</v>
      </c>
      <c r="N1354" s="2">
        <v>45992</v>
      </c>
      <c r="O1354">
        <v>2025</v>
      </c>
      <c r="P1354">
        <v>4</v>
      </c>
      <c r="Q1354" s="1" t="s">
        <v>24</v>
      </c>
    </row>
    <row r="1355" spans="1:17" x14ac:dyDescent="0.3">
      <c r="A1355" s="1" t="s">
        <v>1420</v>
      </c>
      <c r="B1355" s="1" t="s">
        <v>63</v>
      </c>
      <c r="C1355" s="1" t="s">
        <v>64</v>
      </c>
      <c r="D1355" s="1" t="s">
        <v>44</v>
      </c>
      <c r="E1355" s="1" t="s">
        <v>21</v>
      </c>
      <c r="F1355" s="1" t="s">
        <v>22</v>
      </c>
      <c r="G1355" s="2">
        <v>45745</v>
      </c>
      <c r="H1355" s="2">
        <v>45750</v>
      </c>
      <c r="I1355" s="1" t="s">
        <v>28</v>
      </c>
      <c r="J1355">
        <v>5</v>
      </c>
      <c r="K1355">
        <v>5</v>
      </c>
      <c r="L1355">
        <v>7</v>
      </c>
      <c r="M1355" s="1" t="s">
        <v>24</v>
      </c>
      <c r="N1355" s="2">
        <v>45717</v>
      </c>
      <c r="O1355">
        <v>2025</v>
      </c>
      <c r="P1355">
        <v>1</v>
      </c>
      <c r="Q1355" s="1" t="s">
        <v>24</v>
      </c>
    </row>
    <row r="1356" spans="1:17" x14ac:dyDescent="0.3">
      <c r="A1356" s="1" t="s">
        <v>1421</v>
      </c>
      <c r="B1356" s="1" t="s">
        <v>58</v>
      </c>
      <c r="C1356" s="1" t="s">
        <v>145</v>
      </c>
      <c r="D1356" s="1" t="s">
        <v>51</v>
      </c>
      <c r="E1356" s="1" t="s">
        <v>21</v>
      </c>
      <c r="F1356" s="1" t="s">
        <v>52</v>
      </c>
      <c r="G1356" s="2">
        <v>45959</v>
      </c>
      <c r="H1356" s="2">
        <v>45968</v>
      </c>
      <c r="I1356" s="1" t="s">
        <v>39</v>
      </c>
      <c r="J1356">
        <v>4</v>
      </c>
      <c r="K1356">
        <v>9</v>
      </c>
      <c r="L1356">
        <v>10</v>
      </c>
      <c r="M1356" s="1" t="s">
        <v>24</v>
      </c>
      <c r="N1356" s="2">
        <v>45931</v>
      </c>
      <c r="O1356">
        <v>2025</v>
      </c>
      <c r="P1356">
        <v>4</v>
      </c>
      <c r="Q1356" s="1" t="s">
        <v>24</v>
      </c>
    </row>
    <row r="1357" spans="1:17" x14ac:dyDescent="0.3">
      <c r="A1357" s="1" t="s">
        <v>1422</v>
      </c>
      <c r="B1357" s="1" t="s">
        <v>58</v>
      </c>
      <c r="C1357" s="1" t="s">
        <v>70</v>
      </c>
      <c r="D1357" s="1" t="s">
        <v>51</v>
      </c>
      <c r="E1357" s="1" t="s">
        <v>37</v>
      </c>
      <c r="F1357" s="1" t="s">
        <v>38</v>
      </c>
      <c r="G1357" s="2">
        <v>45733</v>
      </c>
      <c r="H1357" s="2"/>
      <c r="I1357" s="1" t="s">
        <v>32</v>
      </c>
      <c r="L1357">
        <v>10</v>
      </c>
      <c r="M1357" s="1" t="s">
        <v>40</v>
      </c>
      <c r="N1357" s="2">
        <v>45717</v>
      </c>
      <c r="O1357">
        <v>2025</v>
      </c>
      <c r="P1357">
        <v>1</v>
      </c>
      <c r="Q1357" s="1" t="s">
        <v>33</v>
      </c>
    </row>
    <row r="1358" spans="1:17" x14ac:dyDescent="0.3">
      <c r="A1358" s="1" t="s">
        <v>1423</v>
      </c>
      <c r="B1358" s="1" t="s">
        <v>58</v>
      </c>
      <c r="C1358" s="1" t="s">
        <v>70</v>
      </c>
      <c r="D1358" s="1" t="s">
        <v>51</v>
      </c>
      <c r="E1358" s="1" t="s">
        <v>21</v>
      </c>
      <c r="F1358" s="1" t="s">
        <v>22</v>
      </c>
      <c r="G1358" s="2">
        <v>45813</v>
      </c>
      <c r="H1358" s="2">
        <v>45815</v>
      </c>
      <c r="I1358" s="1" t="s">
        <v>39</v>
      </c>
      <c r="J1358">
        <v>4</v>
      </c>
      <c r="K1358">
        <v>2</v>
      </c>
      <c r="L1358">
        <v>10</v>
      </c>
      <c r="M1358" s="1" t="s">
        <v>24</v>
      </c>
      <c r="N1358" s="2">
        <v>45809</v>
      </c>
      <c r="O1358">
        <v>2025</v>
      </c>
      <c r="P1358">
        <v>2</v>
      </c>
      <c r="Q1358" s="1" t="s">
        <v>24</v>
      </c>
    </row>
    <row r="1359" spans="1:17" x14ac:dyDescent="0.3">
      <c r="A1359" s="1" t="s">
        <v>1424</v>
      </c>
      <c r="B1359" s="1" t="s">
        <v>42</v>
      </c>
      <c r="C1359" s="1" t="s">
        <v>43</v>
      </c>
      <c r="D1359" s="1" t="s">
        <v>71</v>
      </c>
      <c r="E1359" s="1" t="s">
        <v>21</v>
      </c>
      <c r="F1359" s="1" t="s">
        <v>61</v>
      </c>
      <c r="G1359" s="2">
        <v>45892</v>
      </c>
      <c r="H1359" s="2">
        <v>45894</v>
      </c>
      <c r="I1359" s="1" t="s">
        <v>32</v>
      </c>
      <c r="J1359">
        <v>1</v>
      </c>
      <c r="K1359">
        <v>2</v>
      </c>
      <c r="L1359">
        <v>3</v>
      </c>
      <c r="M1359" s="1" t="s">
        <v>24</v>
      </c>
      <c r="N1359" s="2">
        <v>45870</v>
      </c>
      <c r="O1359">
        <v>2025</v>
      </c>
      <c r="P1359">
        <v>3</v>
      </c>
      <c r="Q1359" s="1" t="s">
        <v>24</v>
      </c>
    </row>
    <row r="1360" spans="1:17" x14ac:dyDescent="0.3">
      <c r="A1360" s="1" t="s">
        <v>1425</v>
      </c>
      <c r="B1360" s="1" t="s">
        <v>26</v>
      </c>
      <c r="C1360" s="1" t="s">
        <v>54</v>
      </c>
      <c r="D1360" s="1" t="s">
        <v>51</v>
      </c>
      <c r="E1360" s="1" t="s">
        <v>21</v>
      </c>
      <c r="F1360" s="1" t="s">
        <v>61</v>
      </c>
      <c r="G1360" s="2">
        <v>45857</v>
      </c>
      <c r="H1360" s="2">
        <v>45867</v>
      </c>
      <c r="I1360" s="1" t="s">
        <v>32</v>
      </c>
      <c r="J1360">
        <v>2</v>
      </c>
      <c r="K1360">
        <v>10</v>
      </c>
      <c r="L1360">
        <v>10</v>
      </c>
      <c r="M1360" s="1" t="s">
        <v>24</v>
      </c>
      <c r="N1360" s="2">
        <v>45839</v>
      </c>
      <c r="O1360">
        <v>2025</v>
      </c>
      <c r="P1360">
        <v>3</v>
      </c>
      <c r="Q1360" s="1" t="s">
        <v>24</v>
      </c>
    </row>
    <row r="1361" spans="1:17" x14ac:dyDescent="0.3">
      <c r="A1361" s="1" t="s">
        <v>1426</v>
      </c>
      <c r="B1361" s="1" t="s">
        <v>18</v>
      </c>
      <c r="C1361" s="1" t="s">
        <v>56</v>
      </c>
      <c r="D1361" s="1" t="s">
        <v>51</v>
      </c>
      <c r="E1361" s="1" t="s">
        <v>37</v>
      </c>
      <c r="F1361" s="1" t="s">
        <v>52</v>
      </c>
      <c r="G1361" s="2">
        <v>45729</v>
      </c>
      <c r="H1361" s="2"/>
      <c r="I1361" s="1" t="s">
        <v>32</v>
      </c>
      <c r="L1361">
        <v>10</v>
      </c>
      <c r="M1361" s="1" t="s">
        <v>40</v>
      </c>
      <c r="N1361" s="2">
        <v>45717</v>
      </c>
      <c r="O1361">
        <v>2025</v>
      </c>
      <c r="P1361">
        <v>1</v>
      </c>
      <c r="Q1361" s="1" t="s">
        <v>33</v>
      </c>
    </row>
    <row r="1362" spans="1:17" x14ac:dyDescent="0.3">
      <c r="A1362" s="1" t="s">
        <v>1427</v>
      </c>
      <c r="B1362" s="1" t="s">
        <v>58</v>
      </c>
      <c r="C1362" s="1" t="s">
        <v>70</v>
      </c>
      <c r="D1362" s="1" t="s">
        <v>44</v>
      </c>
      <c r="E1362" s="1" t="s">
        <v>21</v>
      </c>
      <c r="F1362" s="1" t="s">
        <v>61</v>
      </c>
      <c r="G1362" s="2">
        <v>45850</v>
      </c>
      <c r="H1362" s="2">
        <v>45854</v>
      </c>
      <c r="I1362" s="1" t="s">
        <v>82</v>
      </c>
      <c r="J1362">
        <v>4</v>
      </c>
      <c r="K1362">
        <v>4</v>
      </c>
      <c r="L1362">
        <v>7</v>
      </c>
      <c r="M1362" s="1" t="s">
        <v>24</v>
      </c>
      <c r="N1362" s="2">
        <v>45839</v>
      </c>
      <c r="O1362">
        <v>2025</v>
      </c>
      <c r="P1362">
        <v>3</v>
      </c>
      <c r="Q1362" s="1" t="s">
        <v>24</v>
      </c>
    </row>
    <row r="1363" spans="1:17" x14ac:dyDescent="0.3">
      <c r="A1363" s="1" t="s">
        <v>1428</v>
      </c>
      <c r="B1363" s="1" t="s">
        <v>18</v>
      </c>
      <c r="C1363" s="1" t="s">
        <v>56</v>
      </c>
      <c r="D1363" s="1" t="s">
        <v>20</v>
      </c>
      <c r="E1363" s="1" t="s">
        <v>21</v>
      </c>
      <c r="F1363" s="1" t="s">
        <v>31</v>
      </c>
      <c r="G1363" s="2">
        <v>45955</v>
      </c>
      <c r="H1363" s="2">
        <v>45963</v>
      </c>
      <c r="I1363" s="1" t="s">
        <v>23</v>
      </c>
      <c r="J1363">
        <v>4</v>
      </c>
      <c r="K1363">
        <v>8</v>
      </c>
      <c r="L1363">
        <v>14</v>
      </c>
      <c r="M1363" s="1" t="s">
        <v>24</v>
      </c>
      <c r="N1363" s="2">
        <v>45931</v>
      </c>
      <c r="O1363">
        <v>2025</v>
      </c>
      <c r="P1363">
        <v>4</v>
      </c>
      <c r="Q1363" s="1" t="s">
        <v>24</v>
      </c>
    </row>
    <row r="1364" spans="1:17" x14ac:dyDescent="0.3">
      <c r="A1364" s="1" t="s">
        <v>1429</v>
      </c>
      <c r="B1364" s="1" t="s">
        <v>42</v>
      </c>
      <c r="C1364" s="1" t="s">
        <v>81</v>
      </c>
      <c r="D1364" s="1" t="s">
        <v>44</v>
      </c>
      <c r="E1364" s="1" t="s">
        <v>21</v>
      </c>
      <c r="F1364" s="1" t="s">
        <v>31</v>
      </c>
      <c r="G1364" s="2">
        <v>45707</v>
      </c>
      <c r="H1364" s="2">
        <v>45713</v>
      </c>
      <c r="I1364" s="1" t="s">
        <v>32</v>
      </c>
      <c r="J1364">
        <v>2</v>
      </c>
      <c r="K1364">
        <v>6</v>
      </c>
      <c r="L1364">
        <v>7</v>
      </c>
      <c r="M1364" s="1" t="s">
        <v>24</v>
      </c>
      <c r="N1364" s="2">
        <v>45689</v>
      </c>
      <c r="O1364">
        <v>2025</v>
      </c>
      <c r="P1364">
        <v>1</v>
      </c>
      <c r="Q1364" s="1" t="s">
        <v>24</v>
      </c>
    </row>
    <row r="1365" spans="1:17" x14ac:dyDescent="0.3">
      <c r="A1365" s="1" t="s">
        <v>1430</v>
      </c>
      <c r="B1365" s="1" t="s">
        <v>63</v>
      </c>
      <c r="C1365" s="1" t="s">
        <v>64</v>
      </c>
      <c r="D1365" s="1" t="s">
        <v>20</v>
      </c>
      <c r="E1365" s="1" t="s">
        <v>48</v>
      </c>
      <c r="F1365" s="1" t="s">
        <v>31</v>
      </c>
      <c r="G1365" s="2">
        <v>45854</v>
      </c>
      <c r="H1365" s="2"/>
      <c r="I1365" s="1" t="s">
        <v>23</v>
      </c>
      <c r="L1365">
        <v>14</v>
      </c>
      <c r="M1365" s="1" t="s">
        <v>40</v>
      </c>
      <c r="N1365" s="2">
        <v>45839</v>
      </c>
      <c r="O1365">
        <v>2025</v>
      </c>
      <c r="P1365">
        <v>3</v>
      </c>
      <c r="Q1365" s="1" t="s">
        <v>33</v>
      </c>
    </row>
    <row r="1366" spans="1:17" x14ac:dyDescent="0.3">
      <c r="A1366" s="1" t="s">
        <v>1431</v>
      </c>
      <c r="B1366" s="1" t="s">
        <v>42</v>
      </c>
      <c r="C1366" s="1" t="s">
        <v>43</v>
      </c>
      <c r="D1366" s="1" t="s">
        <v>20</v>
      </c>
      <c r="E1366" s="1" t="s">
        <v>37</v>
      </c>
      <c r="F1366" s="1" t="s">
        <v>31</v>
      </c>
      <c r="G1366" s="2">
        <v>45695</v>
      </c>
      <c r="H1366" s="2"/>
      <c r="I1366" s="1" t="s">
        <v>32</v>
      </c>
      <c r="L1366">
        <v>14</v>
      </c>
      <c r="M1366" s="1" t="s">
        <v>40</v>
      </c>
      <c r="N1366" s="2">
        <v>45689</v>
      </c>
      <c r="O1366">
        <v>2025</v>
      </c>
      <c r="P1366">
        <v>1</v>
      </c>
      <c r="Q1366" s="1" t="s">
        <v>33</v>
      </c>
    </row>
    <row r="1367" spans="1:17" x14ac:dyDescent="0.3">
      <c r="A1367" s="1" t="s">
        <v>1432</v>
      </c>
      <c r="B1367" s="1" t="s">
        <v>26</v>
      </c>
      <c r="C1367" s="1" t="s">
        <v>67</v>
      </c>
      <c r="D1367" s="1" t="s">
        <v>44</v>
      </c>
      <c r="E1367" s="1" t="s">
        <v>21</v>
      </c>
      <c r="F1367" s="1" t="s">
        <v>22</v>
      </c>
      <c r="G1367" s="2">
        <v>46015</v>
      </c>
      <c r="H1367" s="2">
        <v>46019</v>
      </c>
      <c r="I1367" s="1" t="s">
        <v>82</v>
      </c>
      <c r="J1367">
        <v>4</v>
      </c>
      <c r="K1367">
        <v>4</v>
      </c>
      <c r="L1367">
        <v>7</v>
      </c>
      <c r="M1367" s="1" t="s">
        <v>24</v>
      </c>
      <c r="N1367" s="2">
        <v>45992</v>
      </c>
      <c r="O1367">
        <v>2025</v>
      </c>
      <c r="P1367">
        <v>4</v>
      </c>
      <c r="Q1367" s="1" t="s">
        <v>24</v>
      </c>
    </row>
    <row r="1368" spans="1:17" x14ac:dyDescent="0.3">
      <c r="A1368" s="1" t="s">
        <v>1433</v>
      </c>
      <c r="B1368" s="1" t="s">
        <v>63</v>
      </c>
      <c r="C1368" s="1" t="s">
        <v>64</v>
      </c>
      <c r="D1368" s="1" t="s">
        <v>51</v>
      </c>
      <c r="E1368" s="1" t="s">
        <v>21</v>
      </c>
      <c r="F1368" s="1" t="s">
        <v>61</v>
      </c>
      <c r="G1368" s="2">
        <v>45804</v>
      </c>
      <c r="H1368" s="2">
        <v>45809</v>
      </c>
      <c r="I1368" s="1" t="s">
        <v>39</v>
      </c>
      <c r="J1368">
        <v>3</v>
      </c>
      <c r="K1368">
        <v>5</v>
      </c>
      <c r="L1368">
        <v>10</v>
      </c>
      <c r="M1368" s="1" t="s">
        <v>24</v>
      </c>
      <c r="N1368" s="2">
        <v>45778</v>
      </c>
      <c r="O1368">
        <v>2025</v>
      </c>
      <c r="P1368">
        <v>2</v>
      </c>
      <c r="Q1368" s="1" t="s">
        <v>24</v>
      </c>
    </row>
    <row r="1369" spans="1:17" x14ac:dyDescent="0.3">
      <c r="A1369" s="1" t="s">
        <v>1434</v>
      </c>
      <c r="B1369" s="1" t="s">
        <v>26</v>
      </c>
      <c r="C1369" s="1" t="s">
        <v>54</v>
      </c>
      <c r="D1369" s="1" t="s">
        <v>20</v>
      </c>
      <c r="E1369" s="1" t="s">
        <v>21</v>
      </c>
      <c r="F1369" s="1" t="s">
        <v>61</v>
      </c>
      <c r="G1369" s="2">
        <v>46000</v>
      </c>
      <c r="H1369" s="2">
        <v>46004</v>
      </c>
      <c r="I1369" s="1" t="s">
        <v>23</v>
      </c>
      <c r="J1369">
        <v>3</v>
      </c>
      <c r="K1369">
        <v>4</v>
      </c>
      <c r="L1369">
        <v>14</v>
      </c>
      <c r="M1369" s="1" t="s">
        <v>24</v>
      </c>
      <c r="N1369" s="2">
        <v>45992</v>
      </c>
      <c r="O1369">
        <v>2025</v>
      </c>
      <c r="P1369">
        <v>4</v>
      </c>
      <c r="Q1369" s="1" t="s">
        <v>24</v>
      </c>
    </row>
    <row r="1370" spans="1:17" x14ac:dyDescent="0.3">
      <c r="A1370" s="1" t="s">
        <v>1435</v>
      </c>
      <c r="B1370" s="1" t="s">
        <v>35</v>
      </c>
      <c r="C1370" s="1" t="s">
        <v>50</v>
      </c>
      <c r="D1370" s="1" t="s">
        <v>51</v>
      </c>
      <c r="E1370" s="1" t="s">
        <v>48</v>
      </c>
      <c r="F1370" s="1" t="s">
        <v>61</v>
      </c>
      <c r="G1370" s="2">
        <v>45832</v>
      </c>
      <c r="H1370" s="2"/>
      <c r="I1370" s="1" t="s">
        <v>82</v>
      </c>
      <c r="L1370">
        <v>10</v>
      </c>
      <c r="M1370" s="1" t="s">
        <v>40</v>
      </c>
      <c r="N1370" s="2">
        <v>45809</v>
      </c>
      <c r="O1370">
        <v>2025</v>
      </c>
      <c r="P1370">
        <v>2</v>
      </c>
      <c r="Q1370" s="1" t="s">
        <v>33</v>
      </c>
    </row>
    <row r="1371" spans="1:17" x14ac:dyDescent="0.3">
      <c r="A1371" s="1" t="s">
        <v>1436</v>
      </c>
      <c r="B1371" s="1" t="s">
        <v>58</v>
      </c>
      <c r="C1371" s="1" t="s">
        <v>108</v>
      </c>
      <c r="D1371" s="1" t="s">
        <v>44</v>
      </c>
      <c r="E1371" s="1" t="s">
        <v>21</v>
      </c>
      <c r="F1371" s="1" t="s">
        <v>22</v>
      </c>
      <c r="G1371" s="2">
        <v>45900</v>
      </c>
      <c r="H1371" s="2">
        <v>45905</v>
      </c>
      <c r="I1371" s="1" t="s">
        <v>82</v>
      </c>
      <c r="J1371">
        <v>4</v>
      </c>
      <c r="K1371">
        <v>5</v>
      </c>
      <c r="L1371">
        <v>7</v>
      </c>
      <c r="M1371" s="1" t="s">
        <v>24</v>
      </c>
      <c r="N1371" s="2">
        <v>45870</v>
      </c>
      <c r="O1371">
        <v>2025</v>
      </c>
      <c r="P1371">
        <v>3</v>
      </c>
      <c r="Q1371" s="1" t="s">
        <v>24</v>
      </c>
    </row>
    <row r="1372" spans="1:17" x14ac:dyDescent="0.3">
      <c r="A1372" s="1" t="s">
        <v>1437</v>
      </c>
      <c r="B1372" s="1" t="s">
        <v>63</v>
      </c>
      <c r="C1372" s="1" t="s">
        <v>74</v>
      </c>
      <c r="D1372" s="1" t="s">
        <v>51</v>
      </c>
      <c r="E1372" s="1" t="s">
        <v>21</v>
      </c>
      <c r="F1372" s="1" t="s">
        <v>22</v>
      </c>
      <c r="G1372" s="2">
        <v>45694</v>
      </c>
      <c r="H1372" s="2">
        <v>45697</v>
      </c>
      <c r="I1372" s="1" t="s">
        <v>32</v>
      </c>
      <c r="J1372">
        <v>3</v>
      </c>
      <c r="K1372">
        <v>3</v>
      </c>
      <c r="L1372">
        <v>10</v>
      </c>
      <c r="M1372" s="1" t="s">
        <v>24</v>
      </c>
      <c r="N1372" s="2">
        <v>45689</v>
      </c>
      <c r="O1372">
        <v>2025</v>
      </c>
      <c r="P1372">
        <v>1</v>
      </c>
      <c r="Q1372" s="1" t="s">
        <v>24</v>
      </c>
    </row>
    <row r="1373" spans="1:17" x14ac:dyDescent="0.3">
      <c r="A1373" s="1" t="s">
        <v>1438</v>
      </c>
      <c r="B1373" s="1" t="s">
        <v>42</v>
      </c>
      <c r="C1373" s="1" t="s">
        <v>81</v>
      </c>
      <c r="D1373" s="1" t="s">
        <v>51</v>
      </c>
      <c r="E1373" s="1" t="s">
        <v>21</v>
      </c>
      <c r="F1373" s="1" t="s">
        <v>52</v>
      </c>
      <c r="G1373" s="2">
        <v>45934</v>
      </c>
      <c r="H1373" s="2">
        <v>45941</v>
      </c>
      <c r="I1373" s="1" t="s">
        <v>32</v>
      </c>
      <c r="J1373">
        <v>1</v>
      </c>
      <c r="K1373">
        <v>7</v>
      </c>
      <c r="L1373">
        <v>10</v>
      </c>
      <c r="M1373" s="1" t="s">
        <v>24</v>
      </c>
      <c r="N1373" s="2">
        <v>45931</v>
      </c>
      <c r="O1373">
        <v>2025</v>
      </c>
      <c r="P1373">
        <v>4</v>
      </c>
      <c r="Q1373" s="1" t="s">
        <v>24</v>
      </c>
    </row>
    <row r="1374" spans="1:17" x14ac:dyDescent="0.3">
      <c r="A1374" s="1" t="s">
        <v>1439</v>
      </c>
      <c r="B1374" s="1" t="s">
        <v>58</v>
      </c>
      <c r="C1374" s="1" t="s">
        <v>59</v>
      </c>
      <c r="D1374" s="1" t="s">
        <v>20</v>
      </c>
      <c r="E1374" s="1" t="s">
        <v>48</v>
      </c>
      <c r="F1374" s="1" t="s">
        <v>38</v>
      </c>
      <c r="G1374" s="2">
        <v>45805</v>
      </c>
      <c r="H1374" s="2"/>
      <c r="I1374" s="1" t="s">
        <v>82</v>
      </c>
      <c r="L1374">
        <v>14</v>
      </c>
      <c r="M1374" s="1" t="s">
        <v>40</v>
      </c>
      <c r="N1374" s="2">
        <v>45778</v>
      </c>
      <c r="O1374">
        <v>2025</v>
      </c>
      <c r="P1374">
        <v>2</v>
      </c>
      <c r="Q1374" s="1" t="s">
        <v>33</v>
      </c>
    </row>
    <row r="1375" spans="1:17" x14ac:dyDescent="0.3">
      <c r="A1375" s="1" t="s">
        <v>1440</v>
      </c>
      <c r="B1375" s="1" t="s">
        <v>26</v>
      </c>
      <c r="C1375" s="1" t="s">
        <v>54</v>
      </c>
      <c r="D1375" s="1" t="s">
        <v>44</v>
      </c>
      <c r="E1375" s="1" t="s">
        <v>48</v>
      </c>
      <c r="F1375" s="1" t="s">
        <v>52</v>
      </c>
      <c r="G1375" s="2">
        <v>45914</v>
      </c>
      <c r="H1375" s="2"/>
      <c r="I1375" s="1" t="s">
        <v>39</v>
      </c>
      <c r="L1375">
        <v>7</v>
      </c>
      <c r="M1375" s="1" t="s">
        <v>40</v>
      </c>
      <c r="N1375" s="2">
        <v>45901</v>
      </c>
      <c r="O1375">
        <v>2025</v>
      </c>
      <c r="P1375">
        <v>3</v>
      </c>
      <c r="Q1375" s="1" t="s">
        <v>33</v>
      </c>
    </row>
    <row r="1376" spans="1:17" x14ac:dyDescent="0.3">
      <c r="A1376" s="1" t="s">
        <v>1441</v>
      </c>
      <c r="B1376" s="1" t="s">
        <v>26</v>
      </c>
      <c r="C1376" s="1" t="s">
        <v>67</v>
      </c>
      <c r="D1376" s="1" t="s">
        <v>51</v>
      </c>
      <c r="E1376" s="1" t="s">
        <v>48</v>
      </c>
      <c r="F1376" s="1" t="s">
        <v>31</v>
      </c>
      <c r="G1376" s="2">
        <v>45956</v>
      </c>
      <c r="H1376" s="2"/>
      <c r="I1376" s="1" t="s">
        <v>32</v>
      </c>
      <c r="L1376">
        <v>10</v>
      </c>
      <c r="M1376" s="1" t="s">
        <v>40</v>
      </c>
      <c r="N1376" s="2">
        <v>45931</v>
      </c>
      <c r="O1376">
        <v>2025</v>
      </c>
      <c r="P1376">
        <v>4</v>
      </c>
      <c r="Q1376" s="1" t="s">
        <v>33</v>
      </c>
    </row>
    <row r="1377" spans="1:17" x14ac:dyDescent="0.3">
      <c r="A1377" s="1" t="s">
        <v>1442</v>
      </c>
      <c r="B1377" s="1" t="s">
        <v>18</v>
      </c>
      <c r="C1377" s="1" t="s">
        <v>19</v>
      </c>
      <c r="D1377" s="1" t="s">
        <v>20</v>
      </c>
      <c r="E1377" s="1" t="s">
        <v>21</v>
      </c>
      <c r="F1377" s="1" t="s">
        <v>38</v>
      </c>
      <c r="G1377" s="2">
        <v>45760</v>
      </c>
      <c r="H1377" s="2">
        <v>45768</v>
      </c>
      <c r="I1377" s="1" t="s">
        <v>28</v>
      </c>
      <c r="J1377">
        <v>5</v>
      </c>
      <c r="K1377">
        <v>8</v>
      </c>
      <c r="L1377">
        <v>14</v>
      </c>
      <c r="M1377" s="1" t="s">
        <v>24</v>
      </c>
      <c r="N1377" s="2">
        <v>45748</v>
      </c>
      <c r="O1377">
        <v>2025</v>
      </c>
      <c r="P1377">
        <v>2</v>
      </c>
      <c r="Q1377" s="1" t="s">
        <v>24</v>
      </c>
    </row>
    <row r="1378" spans="1:17" x14ac:dyDescent="0.3">
      <c r="A1378" s="1" t="s">
        <v>1443</v>
      </c>
      <c r="B1378" s="1" t="s">
        <v>63</v>
      </c>
      <c r="C1378" s="1" t="s">
        <v>84</v>
      </c>
      <c r="D1378" s="1" t="s">
        <v>44</v>
      </c>
      <c r="E1378" s="1" t="s">
        <v>21</v>
      </c>
      <c r="F1378" s="1" t="s">
        <v>22</v>
      </c>
      <c r="G1378" s="2">
        <v>45689</v>
      </c>
      <c r="H1378" s="2">
        <v>45691</v>
      </c>
      <c r="I1378" s="1" t="s">
        <v>82</v>
      </c>
      <c r="J1378">
        <v>4</v>
      </c>
      <c r="K1378">
        <v>2</v>
      </c>
      <c r="L1378">
        <v>7</v>
      </c>
      <c r="M1378" s="1" t="s">
        <v>24</v>
      </c>
      <c r="N1378" s="2">
        <v>45689</v>
      </c>
      <c r="O1378">
        <v>2025</v>
      </c>
      <c r="P1378">
        <v>1</v>
      </c>
      <c r="Q1378" s="1" t="s">
        <v>24</v>
      </c>
    </row>
    <row r="1379" spans="1:17" x14ac:dyDescent="0.3">
      <c r="A1379" s="1" t="s">
        <v>1444</v>
      </c>
      <c r="B1379" s="1" t="s">
        <v>18</v>
      </c>
      <c r="C1379" s="1" t="s">
        <v>19</v>
      </c>
      <c r="D1379" s="1" t="s">
        <v>51</v>
      </c>
      <c r="E1379" s="1" t="s">
        <v>21</v>
      </c>
      <c r="F1379" s="1" t="s">
        <v>31</v>
      </c>
      <c r="G1379" s="2">
        <v>45871</v>
      </c>
      <c r="H1379" s="2">
        <v>45874</v>
      </c>
      <c r="I1379" s="1" t="s">
        <v>28</v>
      </c>
      <c r="J1379">
        <v>5</v>
      </c>
      <c r="K1379">
        <v>3</v>
      </c>
      <c r="L1379">
        <v>10</v>
      </c>
      <c r="M1379" s="1" t="s">
        <v>24</v>
      </c>
      <c r="N1379" s="2">
        <v>45870</v>
      </c>
      <c r="O1379">
        <v>2025</v>
      </c>
      <c r="P1379">
        <v>3</v>
      </c>
      <c r="Q1379" s="1" t="s">
        <v>24</v>
      </c>
    </row>
    <row r="1380" spans="1:17" x14ac:dyDescent="0.3">
      <c r="A1380" s="1" t="s">
        <v>1445</v>
      </c>
      <c r="B1380" s="1" t="s">
        <v>35</v>
      </c>
      <c r="C1380" s="1" t="s">
        <v>99</v>
      </c>
      <c r="D1380" s="1" t="s">
        <v>20</v>
      </c>
      <c r="E1380" s="1" t="s">
        <v>21</v>
      </c>
      <c r="F1380" s="1" t="s">
        <v>31</v>
      </c>
      <c r="G1380" s="2">
        <v>45773</v>
      </c>
      <c r="H1380" s="2">
        <v>45786</v>
      </c>
      <c r="I1380" s="1" t="s">
        <v>32</v>
      </c>
      <c r="J1380">
        <v>4</v>
      </c>
      <c r="K1380">
        <v>13</v>
      </c>
      <c r="L1380">
        <v>14</v>
      </c>
      <c r="M1380" s="1" t="s">
        <v>24</v>
      </c>
      <c r="N1380" s="2">
        <v>45748</v>
      </c>
      <c r="O1380">
        <v>2025</v>
      </c>
      <c r="P1380">
        <v>2</v>
      </c>
      <c r="Q1380" s="1" t="s">
        <v>24</v>
      </c>
    </row>
    <row r="1381" spans="1:17" x14ac:dyDescent="0.3">
      <c r="A1381" s="1" t="s">
        <v>1446</v>
      </c>
      <c r="B1381" s="1" t="s">
        <v>63</v>
      </c>
      <c r="C1381" s="1" t="s">
        <v>74</v>
      </c>
      <c r="D1381" s="1" t="s">
        <v>44</v>
      </c>
      <c r="E1381" s="1" t="s">
        <v>21</v>
      </c>
      <c r="F1381" s="1" t="s">
        <v>31</v>
      </c>
      <c r="G1381" s="2">
        <v>45758</v>
      </c>
      <c r="H1381" s="2">
        <v>45763</v>
      </c>
      <c r="I1381" s="1" t="s">
        <v>23</v>
      </c>
      <c r="J1381">
        <v>4</v>
      </c>
      <c r="K1381">
        <v>5</v>
      </c>
      <c r="L1381">
        <v>7</v>
      </c>
      <c r="M1381" s="1" t="s">
        <v>24</v>
      </c>
      <c r="N1381" s="2">
        <v>45748</v>
      </c>
      <c r="O1381">
        <v>2025</v>
      </c>
      <c r="P1381">
        <v>2</v>
      </c>
      <c r="Q1381" s="1" t="s">
        <v>24</v>
      </c>
    </row>
    <row r="1382" spans="1:17" x14ac:dyDescent="0.3">
      <c r="A1382" s="1" t="s">
        <v>1447</v>
      </c>
      <c r="B1382" s="1" t="s">
        <v>26</v>
      </c>
      <c r="C1382" s="1" t="s">
        <v>27</v>
      </c>
      <c r="D1382" s="1" t="s">
        <v>20</v>
      </c>
      <c r="E1382" s="1" t="s">
        <v>37</v>
      </c>
      <c r="F1382" s="1" t="s">
        <v>61</v>
      </c>
      <c r="G1382" s="2">
        <v>46014</v>
      </c>
      <c r="H1382" s="2"/>
      <c r="I1382" s="1" t="s">
        <v>39</v>
      </c>
      <c r="L1382">
        <v>14</v>
      </c>
      <c r="M1382" s="1" t="s">
        <v>40</v>
      </c>
      <c r="N1382" s="2">
        <v>45992</v>
      </c>
      <c r="O1382">
        <v>2025</v>
      </c>
      <c r="P1382">
        <v>4</v>
      </c>
      <c r="Q1382" s="1" t="s">
        <v>33</v>
      </c>
    </row>
    <row r="1383" spans="1:17" x14ac:dyDescent="0.3">
      <c r="A1383" s="1" t="s">
        <v>1448</v>
      </c>
      <c r="B1383" s="1" t="s">
        <v>18</v>
      </c>
      <c r="C1383" s="1" t="s">
        <v>30</v>
      </c>
      <c r="D1383" s="1" t="s">
        <v>51</v>
      </c>
      <c r="E1383" s="1" t="s">
        <v>21</v>
      </c>
      <c r="F1383" s="1" t="s">
        <v>52</v>
      </c>
      <c r="G1383" s="2">
        <v>45718</v>
      </c>
      <c r="H1383" s="2">
        <v>45725</v>
      </c>
      <c r="I1383" s="1" t="s">
        <v>39</v>
      </c>
      <c r="J1383">
        <v>4</v>
      </c>
      <c r="K1383">
        <v>7</v>
      </c>
      <c r="L1383">
        <v>10</v>
      </c>
      <c r="M1383" s="1" t="s">
        <v>24</v>
      </c>
      <c r="N1383" s="2">
        <v>45717</v>
      </c>
      <c r="O1383">
        <v>2025</v>
      </c>
      <c r="P1383">
        <v>1</v>
      </c>
      <c r="Q1383" s="1" t="s">
        <v>24</v>
      </c>
    </row>
    <row r="1384" spans="1:17" x14ac:dyDescent="0.3">
      <c r="A1384" s="1" t="s">
        <v>1449</v>
      </c>
      <c r="B1384" s="1" t="s">
        <v>42</v>
      </c>
      <c r="C1384" s="1" t="s">
        <v>76</v>
      </c>
      <c r="D1384" s="1" t="s">
        <v>20</v>
      </c>
      <c r="E1384" s="1" t="s">
        <v>21</v>
      </c>
      <c r="F1384" s="1" t="s">
        <v>22</v>
      </c>
      <c r="G1384" s="2">
        <v>45774</v>
      </c>
      <c r="H1384" s="2">
        <v>45783</v>
      </c>
      <c r="I1384" s="1" t="s">
        <v>82</v>
      </c>
      <c r="J1384">
        <v>5</v>
      </c>
      <c r="K1384">
        <v>9</v>
      </c>
      <c r="L1384">
        <v>14</v>
      </c>
      <c r="M1384" s="1" t="s">
        <v>24</v>
      </c>
      <c r="N1384" s="2">
        <v>45748</v>
      </c>
      <c r="O1384">
        <v>2025</v>
      </c>
      <c r="P1384">
        <v>2</v>
      </c>
      <c r="Q1384" s="1" t="s">
        <v>24</v>
      </c>
    </row>
    <row r="1385" spans="1:17" x14ac:dyDescent="0.3">
      <c r="A1385" s="1" t="s">
        <v>1450</v>
      </c>
      <c r="B1385" s="1" t="s">
        <v>42</v>
      </c>
      <c r="C1385" s="1" t="s">
        <v>81</v>
      </c>
      <c r="D1385" s="1" t="s">
        <v>44</v>
      </c>
      <c r="E1385" s="1" t="s">
        <v>21</v>
      </c>
      <c r="F1385" s="1" t="s">
        <v>31</v>
      </c>
      <c r="G1385" s="2">
        <v>45687</v>
      </c>
      <c r="H1385" s="2">
        <v>45688</v>
      </c>
      <c r="I1385" s="1" t="s">
        <v>28</v>
      </c>
      <c r="J1385">
        <v>2</v>
      </c>
      <c r="K1385">
        <v>1</v>
      </c>
      <c r="L1385">
        <v>7</v>
      </c>
      <c r="M1385" s="1" t="s">
        <v>24</v>
      </c>
      <c r="N1385" s="2">
        <v>45658</v>
      </c>
      <c r="O1385">
        <v>2025</v>
      </c>
      <c r="P1385">
        <v>1</v>
      </c>
      <c r="Q1385" s="1" t="s">
        <v>24</v>
      </c>
    </row>
    <row r="1386" spans="1:17" x14ac:dyDescent="0.3">
      <c r="A1386" s="1" t="s">
        <v>1451</v>
      </c>
      <c r="B1386" s="1" t="s">
        <v>35</v>
      </c>
      <c r="C1386" s="1" t="s">
        <v>99</v>
      </c>
      <c r="D1386" s="1" t="s">
        <v>51</v>
      </c>
      <c r="E1386" s="1" t="s">
        <v>21</v>
      </c>
      <c r="F1386" s="1" t="s">
        <v>31</v>
      </c>
      <c r="G1386" s="2">
        <v>45783</v>
      </c>
      <c r="H1386" s="2">
        <v>45789</v>
      </c>
      <c r="I1386" s="1" t="s">
        <v>39</v>
      </c>
      <c r="J1386">
        <v>3</v>
      </c>
      <c r="K1386">
        <v>6</v>
      </c>
      <c r="L1386">
        <v>10</v>
      </c>
      <c r="M1386" s="1" t="s">
        <v>24</v>
      </c>
      <c r="N1386" s="2">
        <v>45778</v>
      </c>
      <c r="O1386">
        <v>2025</v>
      </c>
      <c r="P1386">
        <v>2</v>
      </c>
      <c r="Q1386" s="1" t="s">
        <v>24</v>
      </c>
    </row>
    <row r="1387" spans="1:17" x14ac:dyDescent="0.3">
      <c r="A1387" s="1" t="s">
        <v>1452</v>
      </c>
      <c r="B1387" s="1" t="s">
        <v>18</v>
      </c>
      <c r="C1387" s="1" t="s">
        <v>19</v>
      </c>
      <c r="D1387" s="1" t="s">
        <v>51</v>
      </c>
      <c r="E1387" s="1" t="s">
        <v>21</v>
      </c>
      <c r="F1387" s="1" t="s">
        <v>52</v>
      </c>
      <c r="G1387" s="2">
        <v>45936</v>
      </c>
      <c r="H1387" s="2">
        <v>45941</v>
      </c>
      <c r="I1387" s="1" t="s">
        <v>28</v>
      </c>
      <c r="J1387">
        <v>4</v>
      </c>
      <c r="K1387">
        <v>5</v>
      </c>
      <c r="L1387">
        <v>10</v>
      </c>
      <c r="M1387" s="1" t="s">
        <v>24</v>
      </c>
      <c r="N1387" s="2">
        <v>45931</v>
      </c>
      <c r="O1387">
        <v>2025</v>
      </c>
      <c r="P1387">
        <v>4</v>
      </c>
      <c r="Q1387" s="1" t="s">
        <v>24</v>
      </c>
    </row>
    <row r="1388" spans="1:17" x14ac:dyDescent="0.3">
      <c r="A1388" s="1" t="s">
        <v>1453</v>
      </c>
      <c r="B1388" s="1" t="s">
        <v>58</v>
      </c>
      <c r="C1388" s="1" t="s">
        <v>59</v>
      </c>
      <c r="D1388" s="1" t="s">
        <v>71</v>
      </c>
      <c r="E1388" s="1" t="s">
        <v>37</v>
      </c>
      <c r="F1388" s="1" t="s">
        <v>61</v>
      </c>
      <c r="G1388" s="2">
        <v>45807</v>
      </c>
      <c r="H1388" s="2"/>
      <c r="I1388" s="1" t="s">
        <v>82</v>
      </c>
      <c r="L1388">
        <v>3</v>
      </c>
      <c r="M1388" s="1" t="s">
        <v>40</v>
      </c>
      <c r="N1388" s="2">
        <v>45778</v>
      </c>
      <c r="O1388">
        <v>2025</v>
      </c>
      <c r="P1388">
        <v>2</v>
      </c>
      <c r="Q1388" s="1" t="s">
        <v>33</v>
      </c>
    </row>
    <row r="1389" spans="1:17" x14ac:dyDescent="0.3">
      <c r="A1389" s="1" t="s">
        <v>1454</v>
      </c>
      <c r="B1389" s="1" t="s">
        <v>35</v>
      </c>
      <c r="C1389" s="1" t="s">
        <v>97</v>
      </c>
      <c r="D1389" s="1" t="s">
        <v>51</v>
      </c>
      <c r="E1389" s="1" t="s">
        <v>21</v>
      </c>
      <c r="F1389" s="1" t="s">
        <v>22</v>
      </c>
      <c r="G1389" s="2">
        <v>45685</v>
      </c>
      <c r="H1389" s="2">
        <v>45692</v>
      </c>
      <c r="I1389" s="1" t="s">
        <v>39</v>
      </c>
      <c r="J1389">
        <v>5</v>
      </c>
      <c r="K1389">
        <v>7</v>
      </c>
      <c r="L1389">
        <v>10</v>
      </c>
      <c r="M1389" s="1" t="s">
        <v>24</v>
      </c>
      <c r="N1389" s="2">
        <v>45658</v>
      </c>
      <c r="O1389">
        <v>2025</v>
      </c>
      <c r="P1389">
        <v>1</v>
      </c>
      <c r="Q1389" s="1" t="s">
        <v>24</v>
      </c>
    </row>
    <row r="1390" spans="1:17" x14ac:dyDescent="0.3">
      <c r="A1390" s="1" t="s">
        <v>1455</v>
      </c>
      <c r="B1390" s="1" t="s">
        <v>35</v>
      </c>
      <c r="C1390" s="1" t="s">
        <v>99</v>
      </c>
      <c r="D1390" s="1" t="s">
        <v>20</v>
      </c>
      <c r="E1390" s="1" t="s">
        <v>21</v>
      </c>
      <c r="F1390" s="1" t="s">
        <v>22</v>
      </c>
      <c r="G1390" s="2">
        <v>45924</v>
      </c>
      <c r="H1390" s="2">
        <v>45930</v>
      </c>
      <c r="I1390" s="1" t="s">
        <v>28</v>
      </c>
      <c r="J1390">
        <v>4</v>
      </c>
      <c r="K1390">
        <v>6</v>
      </c>
      <c r="L1390">
        <v>14</v>
      </c>
      <c r="M1390" s="1" t="s">
        <v>24</v>
      </c>
      <c r="N1390" s="2">
        <v>45901</v>
      </c>
      <c r="O1390">
        <v>2025</v>
      </c>
      <c r="P1390">
        <v>3</v>
      </c>
      <c r="Q1390" s="1" t="s">
        <v>24</v>
      </c>
    </row>
    <row r="1391" spans="1:17" x14ac:dyDescent="0.3">
      <c r="A1391" s="1" t="s">
        <v>1456</v>
      </c>
      <c r="B1391" s="1" t="s">
        <v>42</v>
      </c>
      <c r="C1391" s="1" t="s">
        <v>43</v>
      </c>
      <c r="D1391" s="1" t="s">
        <v>44</v>
      </c>
      <c r="E1391" s="1" t="s">
        <v>37</v>
      </c>
      <c r="F1391" s="1" t="s">
        <v>61</v>
      </c>
      <c r="G1391" s="2">
        <v>45676</v>
      </c>
      <c r="H1391" s="2"/>
      <c r="I1391" s="1" t="s">
        <v>39</v>
      </c>
      <c r="L1391">
        <v>7</v>
      </c>
      <c r="M1391" s="1" t="s">
        <v>40</v>
      </c>
      <c r="N1391" s="2">
        <v>45658</v>
      </c>
      <c r="O1391">
        <v>2025</v>
      </c>
      <c r="P1391">
        <v>1</v>
      </c>
      <c r="Q1391" s="1" t="s">
        <v>33</v>
      </c>
    </row>
    <row r="1392" spans="1:17" x14ac:dyDescent="0.3">
      <c r="A1392" s="1" t="s">
        <v>1457</v>
      </c>
      <c r="B1392" s="1" t="s">
        <v>18</v>
      </c>
      <c r="C1392" s="1" t="s">
        <v>30</v>
      </c>
      <c r="D1392" s="1" t="s">
        <v>71</v>
      </c>
      <c r="E1392" s="1" t="s">
        <v>21</v>
      </c>
      <c r="F1392" s="1" t="s">
        <v>31</v>
      </c>
      <c r="G1392" s="2">
        <v>45675</v>
      </c>
      <c r="H1392" s="2">
        <v>45677</v>
      </c>
      <c r="I1392" s="1" t="s">
        <v>32</v>
      </c>
      <c r="J1392">
        <v>3</v>
      </c>
      <c r="K1392">
        <v>2</v>
      </c>
      <c r="L1392">
        <v>3</v>
      </c>
      <c r="M1392" s="1" t="s">
        <v>24</v>
      </c>
      <c r="N1392" s="2">
        <v>45658</v>
      </c>
      <c r="O1392">
        <v>2025</v>
      </c>
      <c r="P1392">
        <v>1</v>
      </c>
      <c r="Q1392" s="1" t="s">
        <v>24</v>
      </c>
    </row>
    <row r="1393" spans="1:17" x14ac:dyDescent="0.3">
      <c r="A1393" s="1" t="s">
        <v>1458</v>
      </c>
      <c r="B1393" s="1" t="s">
        <v>42</v>
      </c>
      <c r="C1393" s="1" t="s">
        <v>81</v>
      </c>
      <c r="D1393" s="1" t="s">
        <v>51</v>
      </c>
      <c r="E1393" s="1" t="s">
        <v>21</v>
      </c>
      <c r="F1393" s="1" t="s">
        <v>31</v>
      </c>
      <c r="G1393" s="2">
        <v>45911</v>
      </c>
      <c r="H1393" s="2">
        <v>45913</v>
      </c>
      <c r="I1393" s="1" t="s">
        <v>39</v>
      </c>
      <c r="J1393">
        <v>5</v>
      </c>
      <c r="K1393">
        <v>2</v>
      </c>
      <c r="L1393">
        <v>10</v>
      </c>
      <c r="M1393" s="1" t="s">
        <v>24</v>
      </c>
      <c r="N1393" s="2">
        <v>45901</v>
      </c>
      <c r="O1393">
        <v>2025</v>
      </c>
      <c r="P1393">
        <v>3</v>
      </c>
      <c r="Q1393" s="1" t="s">
        <v>24</v>
      </c>
    </row>
    <row r="1394" spans="1:17" x14ac:dyDescent="0.3">
      <c r="A1394" s="1" t="s">
        <v>1459</v>
      </c>
      <c r="B1394" s="1" t="s">
        <v>42</v>
      </c>
      <c r="C1394" s="1" t="s">
        <v>76</v>
      </c>
      <c r="D1394" s="1" t="s">
        <v>20</v>
      </c>
      <c r="E1394" s="1" t="s">
        <v>21</v>
      </c>
      <c r="F1394" s="1" t="s">
        <v>52</v>
      </c>
      <c r="G1394" s="2">
        <v>45878</v>
      </c>
      <c r="H1394" s="2">
        <v>45889</v>
      </c>
      <c r="I1394" s="1" t="s">
        <v>23</v>
      </c>
      <c r="J1394">
        <v>2</v>
      </c>
      <c r="K1394">
        <v>11</v>
      </c>
      <c r="L1394">
        <v>14</v>
      </c>
      <c r="M1394" s="1" t="s">
        <v>24</v>
      </c>
      <c r="N1394" s="2">
        <v>45870</v>
      </c>
      <c r="O1394">
        <v>2025</v>
      </c>
      <c r="P1394">
        <v>3</v>
      </c>
      <c r="Q1394" s="1" t="s">
        <v>24</v>
      </c>
    </row>
    <row r="1395" spans="1:17" x14ac:dyDescent="0.3">
      <c r="A1395" s="1" t="s">
        <v>1460</v>
      </c>
      <c r="B1395" s="1" t="s">
        <v>26</v>
      </c>
      <c r="C1395" s="1" t="s">
        <v>123</v>
      </c>
      <c r="D1395" s="1" t="s">
        <v>44</v>
      </c>
      <c r="E1395" s="1" t="s">
        <v>48</v>
      </c>
      <c r="F1395" s="1" t="s">
        <v>52</v>
      </c>
      <c r="G1395" s="2">
        <v>45830</v>
      </c>
      <c r="H1395" s="2"/>
      <c r="I1395" s="1" t="s">
        <v>82</v>
      </c>
      <c r="L1395">
        <v>7</v>
      </c>
      <c r="M1395" s="1" t="s">
        <v>40</v>
      </c>
      <c r="N1395" s="2">
        <v>45809</v>
      </c>
      <c r="O1395">
        <v>2025</v>
      </c>
      <c r="P1395">
        <v>2</v>
      </c>
      <c r="Q1395" s="1" t="s">
        <v>33</v>
      </c>
    </row>
    <row r="1396" spans="1:17" x14ac:dyDescent="0.3">
      <c r="A1396" s="1" t="s">
        <v>1461</v>
      </c>
      <c r="B1396" s="1" t="s">
        <v>63</v>
      </c>
      <c r="C1396" s="1" t="s">
        <v>74</v>
      </c>
      <c r="D1396" s="1" t="s">
        <v>51</v>
      </c>
      <c r="E1396" s="1" t="s">
        <v>37</v>
      </c>
      <c r="F1396" s="1" t="s">
        <v>31</v>
      </c>
      <c r="G1396" s="2">
        <v>45880</v>
      </c>
      <c r="H1396" s="2"/>
      <c r="I1396" s="1" t="s">
        <v>23</v>
      </c>
      <c r="L1396">
        <v>10</v>
      </c>
      <c r="M1396" s="1" t="s">
        <v>40</v>
      </c>
      <c r="N1396" s="2">
        <v>45870</v>
      </c>
      <c r="O1396">
        <v>2025</v>
      </c>
      <c r="P1396">
        <v>3</v>
      </c>
      <c r="Q1396" s="1" t="s">
        <v>33</v>
      </c>
    </row>
    <row r="1397" spans="1:17" x14ac:dyDescent="0.3">
      <c r="A1397" s="1" t="s">
        <v>1462</v>
      </c>
      <c r="B1397" s="1" t="s">
        <v>42</v>
      </c>
      <c r="C1397" s="1" t="s">
        <v>87</v>
      </c>
      <c r="D1397" s="1" t="s">
        <v>71</v>
      </c>
      <c r="E1397" s="1" t="s">
        <v>48</v>
      </c>
      <c r="F1397" s="1" t="s">
        <v>22</v>
      </c>
      <c r="G1397" s="2">
        <v>45805</v>
      </c>
      <c r="H1397" s="2"/>
      <c r="I1397" s="1" t="s">
        <v>39</v>
      </c>
      <c r="L1397">
        <v>3</v>
      </c>
      <c r="M1397" s="1" t="s">
        <v>40</v>
      </c>
      <c r="N1397" s="2">
        <v>45778</v>
      </c>
      <c r="O1397">
        <v>2025</v>
      </c>
      <c r="P1397">
        <v>2</v>
      </c>
      <c r="Q1397" s="1" t="s">
        <v>33</v>
      </c>
    </row>
    <row r="1398" spans="1:17" x14ac:dyDescent="0.3">
      <c r="A1398" s="1" t="s">
        <v>1463</v>
      </c>
      <c r="B1398" s="1" t="s">
        <v>58</v>
      </c>
      <c r="C1398" s="1" t="s">
        <v>59</v>
      </c>
      <c r="D1398" s="1" t="s">
        <v>20</v>
      </c>
      <c r="E1398" s="1" t="s">
        <v>21</v>
      </c>
      <c r="F1398" s="1" t="s">
        <v>52</v>
      </c>
      <c r="G1398" s="2">
        <v>45779</v>
      </c>
      <c r="H1398" s="2">
        <v>45784</v>
      </c>
      <c r="I1398" s="1" t="s">
        <v>32</v>
      </c>
      <c r="J1398">
        <v>5</v>
      </c>
      <c r="K1398">
        <v>5</v>
      </c>
      <c r="L1398">
        <v>14</v>
      </c>
      <c r="M1398" s="1" t="s">
        <v>24</v>
      </c>
      <c r="N1398" s="2">
        <v>45778</v>
      </c>
      <c r="O1398">
        <v>2025</v>
      </c>
      <c r="P1398">
        <v>2</v>
      </c>
      <c r="Q1398" s="1" t="s">
        <v>24</v>
      </c>
    </row>
    <row r="1399" spans="1:17" x14ac:dyDescent="0.3">
      <c r="A1399" s="1" t="s">
        <v>1464</v>
      </c>
      <c r="B1399" s="1" t="s">
        <v>42</v>
      </c>
      <c r="C1399" s="1" t="s">
        <v>76</v>
      </c>
      <c r="D1399" s="1" t="s">
        <v>44</v>
      </c>
      <c r="E1399" s="1" t="s">
        <v>21</v>
      </c>
      <c r="F1399" s="1" t="s">
        <v>52</v>
      </c>
      <c r="G1399" s="2">
        <v>45950</v>
      </c>
      <c r="H1399" s="2">
        <v>45954</v>
      </c>
      <c r="I1399" s="1" t="s">
        <v>32</v>
      </c>
      <c r="J1399">
        <v>1</v>
      </c>
      <c r="K1399">
        <v>4</v>
      </c>
      <c r="L1399">
        <v>7</v>
      </c>
      <c r="M1399" s="1" t="s">
        <v>24</v>
      </c>
      <c r="N1399" s="2">
        <v>45931</v>
      </c>
      <c r="O1399">
        <v>2025</v>
      </c>
      <c r="P1399">
        <v>4</v>
      </c>
      <c r="Q1399" s="1" t="s">
        <v>24</v>
      </c>
    </row>
    <row r="1400" spans="1:17" x14ac:dyDescent="0.3">
      <c r="A1400" s="1" t="s">
        <v>1465</v>
      </c>
      <c r="B1400" s="1" t="s">
        <v>35</v>
      </c>
      <c r="C1400" s="1" t="s">
        <v>97</v>
      </c>
      <c r="D1400" s="1" t="s">
        <v>44</v>
      </c>
      <c r="E1400" s="1" t="s">
        <v>37</v>
      </c>
      <c r="F1400" s="1" t="s">
        <v>38</v>
      </c>
      <c r="G1400" s="2">
        <v>45969</v>
      </c>
      <c r="H1400" s="2"/>
      <c r="I1400" s="1" t="s">
        <v>23</v>
      </c>
      <c r="L1400">
        <v>7</v>
      </c>
      <c r="M1400" s="1" t="s">
        <v>40</v>
      </c>
      <c r="N1400" s="2">
        <v>45962</v>
      </c>
      <c r="O1400">
        <v>2025</v>
      </c>
      <c r="P1400">
        <v>4</v>
      </c>
      <c r="Q1400" s="1" t="s">
        <v>33</v>
      </c>
    </row>
    <row r="1401" spans="1:17" x14ac:dyDescent="0.3">
      <c r="A1401" s="1" t="s">
        <v>1466</v>
      </c>
      <c r="B1401" s="1" t="s">
        <v>35</v>
      </c>
      <c r="C1401" s="1" t="s">
        <v>97</v>
      </c>
      <c r="D1401" s="1" t="s">
        <v>44</v>
      </c>
      <c r="E1401" s="1" t="s">
        <v>37</v>
      </c>
      <c r="F1401" s="1" t="s">
        <v>31</v>
      </c>
      <c r="G1401" s="2">
        <v>45885</v>
      </c>
      <c r="H1401" s="2"/>
      <c r="I1401" s="1" t="s">
        <v>23</v>
      </c>
      <c r="L1401">
        <v>7</v>
      </c>
      <c r="M1401" s="1" t="s">
        <v>40</v>
      </c>
      <c r="N1401" s="2">
        <v>45870</v>
      </c>
      <c r="O1401">
        <v>2025</v>
      </c>
      <c r="P1401">
        <v>3</v>
      </c>
      <c r="Q1401" s="1" t="s">
        <v>33</v>
      </c>
    </row>
    <row r="1402" spans="1:17" x14ac:dyDescent="0.3">
      <c r="A1402" s="1" t="s">
        <v>1467</v>
      </c>
      <c r="B1402" s="1" t="s">
        <v>58</v>
      </c>
      <c r="C1402" s="1" t="s">
        <v>70</v>
      </c>
      <c r="D1402" s="1" t="s">
        <v>51</v>
      </c>
      <c r="E1402" s="1" t="s">
        <v>48</v>
      </c>
      <c r="F1402" s="1" t="s">
        <v>22</v>
      </c>
      <c r="G1402" s="2">
        <v>45903</v>
      </c>
      <c r="H1402" s="2"/>
      <c r="I1402" s="1" t="s">
        <v>28</v>
      </c>
      <c r="L1402">
        <v>10</v>
      </c>
      <c r="M1402" s="1" t="s">
        <v>40</v>
      </c>
      <c r="N1402" s="2">
        <v>45901</v>
      </c>
      <c r="O1402">
        <v>2025</v>
      </c>
      <c r="P1402">
        <v>3</v>
      </c>
      <c r="Q1402" s="1" t="s">
        <v>33</v>
      </c>
    </row>
    <row r="1403" spans="1:17" x14ac:dyDescent="0.3">
      <c r="A1403" s="1" t="s">
        <v>1468</v>
      </c>
      <c r="B1403" s="1" t="s">
        <v>58</v>
      </c>
      <c r="C1403" s="1" t="s">
        <v>70</v>
      </c>
      <c r="D1403" s="1" t="s">
        <v>51</v>
      </c>
      <c r="E1403" s="1" t="s">
        <v>21</v>
      </c>
      <c r="F1403" s="1" t="s">
        <v>38</v>
      </c>
      <c r="G1403" s="2">
        <v>45970</v>
      </c>
      <c r="H1403" s="2">
        <v>45980</v>
      </c>
      <c r="I1403" s="1" t="s">
        <v>39</v>
      </c>
      <c r="J1403">
        <v>4</v>
      </c>
      <c r="K1403">
        <v>10</v>
      </c>
      <c r="L1403">
        <v>10</v>
      </c>
      <c r="M1403" s="1" t="s">
        <v>24</v>
      </c>
      <c r="N1403" s="2">
        <v>45962</v>
      </c>
      <c r="O1403">
        <v>2025</v>
      </c>
      <c r="P1403">
        <v>4</v>
      </c>
      <c r="Q1403" s="1" t="s">
        <v>24</v>
      </c>
    </row>
    <row r="1404" spans="1:17" x14ac:dyDescent="0.3">
      <c r="A1404" s="1" t="s">
        <v>1469</v>
      </c>
      <c r="B1404" s="1" t="s">
        <v>63</v>
      </c>
      <c r="C1404" s="1" t="s">
        <v>84</v>
      </c>
      <c r="D1404" s="1" t="s">
        <v>44</v>
      </c>
      <c r="E1404" s="1" t="s">
        <v>21</v>
      </c>
      <c r="F1404" s="1" t="s">
        <v>61</v>
      </c>
      <c r="G1404" s="2">
        <v>45911</v>
      </c>
      <c r="H1404" s="2">
        <v>45913</v>
      </c>
      <c r="I1404" s="1" t="s">
        <v>28</v>
      </c>
      <c r="J1404">
        <v>3</v>
      </c>
      <c r="K1404">
        <v>2</v>
      </c>
      <c r="L1404">
        <v>7</v>
      </c>
      <c r="M1404" s="1" t="s">
        <v>24</v>
      </c>
      <c r="N1404" s="2">
        <v>45901</v>
      </c>
      <c r="O1404">
        <v>2025</v>
      </c>
      <c r="P1404">
        <v>3</v>
      </c>
      <c r="Q1404" s="1" t="s">
        <v>24</v>
      </c>
    </row>
    <row r="1405" spans="1:17" x14ac:dyDescent="0.3">
      <c r="A1405" s="1" t="s">
        <v>1470</v>
      </c>
      <c r="B1405" s="1" t="s">
        <v>26</v>
      </c>
      <c r="C1405" s="1" t="s">
        <v>67</v>
      </c>
      <c r="D1405" s="1" t="s">
        <v>20</v>
      </c>
      <c r="E1405" s="1" t="s">
        <v>21</v>
      </c>
      <c r="F1405" s="1" t="s">
        <v>31</v>
      </c>
      <c r="G1405" s="2">
        <v>45752</v>
      </c>
      <c r="H1405" s="2">
        <v>45765</v>
      </c>
      <c r="I1405" s="1" t="s">
        <v>82</v>
      </c>
      <c r="J1405">
        <v>4</v>
      </c>
      <c r="K1405">
        <v>13</v>
      </c>
      <c r="L1405">
        <v>14</v>
      </c>
      <c r="M1405" s="1" t="s">
        <v>24</v>
      </c>
      <c r="N1405" s="2">
        <v>45748</v>
      </c>
      <c r="O1405">
        <v>2025</v>
      </c>
      <c r="P1405">
        <v>2</v>
      </c>
      <c r="Q1405" s="1" t="s">
        <v>24</v>
      </c>
    </row>
    <row r="1406" spans="1:17" x14ac:dyDescent="0.3">
      <c r="A1406" s="1" t="s">
        <v>1471</v>
      </c>
      <c r="B1406" s="1" t="s">
        <v>35</v>
      </c>
      <c r="C1406" s="1" t="s">
        <v>99</v>
      </c>
      <c r="D1406" s="1" t="s">
        <v>51</v>
      </c>
      <c r="E1406" s="1" t="s">
        <v>21</v>
      </c>
      <c r="F1406" s="1" t="s">
        <v>52</v>
      </c>
      <c r="G1406" s="2">
        <v>45790</v>
      </c>
      <c r="H1406" s="2">
        <v>45796</v>
      </c>
      <c r="I1406" s="1" t="s">
        <v>82</v>
      </c>
      <c r="J1406">
        <v>1</v>
      </c>
      <c r="K1406">
        <v>6</v>
      </c>
      <c r="L1406">
        <v>10</v>
      </c>
      <c r="M1406" s="1" t="s">
        <v>24</v>
      </c>
      <c r="N1406" s="2">
        <v>45778</v>
      </c>
      <c r="O1406">
        <v>2025</v>
      </c>
      <c r="P1406">
        <v>2</v>
      </c>
      <c r="Q1406" s="1" t="s">
        <v>24</v>
      </c>
    </row>
    <row r="1407" spans="1:17" x14ac:dyDescent="0.3">
      <c r="A1407" s="1" t="s">
        <v>1472</v>
      </c>
      <c r="B1407" s="1" t="s">
        <v>18</v>
      </c>
      <c r="C1407" s="1" t="s">
        <v>19</v>
      </c>
      <c r="D1407" s="1" t="s">
        <v>51</v>
      </c>
      <c r="E1407" s="1" t="s">
        <v>21</v>
      </c>
      <c r="F1407" s="1" t="s">
        <v>22</v>
      </c>
      <c r="G1407" s="2">
        <v>45697</v>
      </c>
      <c r="H1407" s="2">
        <v>45707</v>
      </c>
      <c r="I1407" s="1" t="s">
        <v>23</v>
      </c>
      <c r="J1407">
        <v>4</v>
      </c>
      <c r="K1407">
        <v>10</v>
      </c>
      <c r="L1407">
        <v>10</v>
      </c>
      <c r="M1407" s="1" t="s">
        <v>24</v>
      </c>
      <c r="N1407" s="2">
        <v>45689</v>
      </c>
      <c r="O1407">
        <v>2025</v>
      </c>
      <c r="P1407">
        <v>1</v>
      </c>
      <c r="Q1407" s="1" t="s">
        <v>24</v>
      </c>
    </row>
    <row r="1408" spans="1:17" x14ac:dyDescent="0.3">
      <c r="A1408" s="1" t="s">
        <v>1473</v>
      </c>
      <c r="B1408" s="1" t="s">
        <v>63</v>
      </c>
      <c r="C1408" s="1" t="s">
        <v>64</v>
      </c>
      <c r="D1408" s="1" t="s">
        <v>51</v>
      </c>
      <c r="E1408" s="1" t="s">
        <v>21</v>
      </c>
      <c r="F1408" s="1" t="s">
        <v>31</v>
      </c>
      <c r="G1408" s="2">
        <v>46006</v>
      </c>
      <c r="H1408" s="2">
        <v>46014</v>
      </c>
      <c r="I1408" s="1" t="s">
        <v>32</v>
      </c>
      <c r="J1408">
        <v>2</v>
      </c>
      <c r="K1408">
        <v>8</v>
      </c>
      <c r="L1408">
        <v>10</v>
      </c>
      <c r="M1408" s="1" t="s">
        <v>24</v>
      </c>
      <c r="N1408" s="2">
        <v>45992</v>
      </c>
      <c r="O1408">
        <v>2025</v>
      </c>
      <c r="P1408">
        <v>4</v>
      </c>
      <c r="Q1408" s="1" t="s">
        <v>24</v>
      </c>
    </row>
    <row r="1409" spans="1:17" x14ac:dyDescent="0.3">
      <c r="A1409" s="1" t="s">
        <v>1474</v>
      </c>
      <c r="B1409" s="1" t="s">
        <v>63</v>
      </c>
      <c r="C1409" s="1" t="s">
        <v>74</v>
      </c>
      <c r="D1409" s="1" t="s">
        <v>51</v>
      </c>
      <c r="E1409" s="1" t="s">
        <v>37</v>
      </c>
      <c r="F1409" s="1" t="s">
        <v>31</v>
      </c>
      <c r="G1409" s="2">
        <v>45829</v>
      </c>
      <c r="H1409" s="2"/>
      <c r="I1409" s="1" t="s">
        <v>32</v>
      </c>
      <c r="L1409">
        <v>10</v>
      </c>
      <c r="M1409" s="1" t="s">
        <v>40</v>
      </c>
      <c r="N1409" s="2">
        <v>45809</v>
      </c>
      <c r="O1409">
        <v>2025</v>
      </c>
      <c r="P1409">
        <v>2</v>
      </c>
      <c r="Q1409" s="1" t="s">
        <v>33</v>
      </c>
    </row>
    <row r="1410" spans="1:17" x14ac:dyDescent="0.3">
      <c r="A1410" s="1" t="s">
        <v>1475</v>
      </c>
      <c r="B1410" s="1" t="s">
        <v>58</v>
      </c>
      <c r="C1410" s="1" t="s">
        <v>59</v>
      </c>
      <c r="D1410" s="1" t="s">
        <v>51</v>
      </c>
      <c r="E1410" s="1" t="s">
        <v>21</v>
      </c>
      <c r="F1410" s="1" t="s">
        <v>22</v>
      </c>
      <c r="G1410" s="2">
        <v>45680</v>
      </c>
      <c r="H1410" s="2">
        <v>45686</v>
      </c>
      <c r="I1410" s="1" t="s">
        <v>23</v>
      </c>
      <c r="J1410">
        <v>5</v>
      </c>
      <c r="K1410">
        <v>6</v>
      </c>
      <c r="L1410">
        <v>10</v>
      </c>
      <c r="M1410" s="1" t="s">
        <v>24</v>
      </c>
      <c r="N1410" s="2">
        <v>45658</v>
      </c>
      <c r="O1410">
        <v>2025</v>
      </c>
      <c r="P1410">
        <v>1</v>
      </c>
      <c r="Q1410" s="1" t="s">
        <v>24</v>
      </c>
    </row>
    <row r="1411" spans="1:17" x14ac:dyDescent="0.3">
      <c r="A1411" s="1" t="s">
        <v>1476</v>
      </c>
      <c r="B1411" s="1" t="s">
        <v>42</v>
      </c>
      <c r="C1411" s="1" t="s">
        <v>76</v>
      </c>
      <c r="D1411" s="1" t="s">
        <v>44</v>
      </c>
      <c r="E1411" s="1" t="s">
        <v>21</v>
      </c>
      <c r="F1411" s="1" t="s">
        <v>52</v>
      </c>
      <c r="G1411" s="2">
        <v>45918</v>
      </c>
      <c r="H1411" s="2">
        <v>45925</v>
      </c>
      <c r="I1411" s="1" t="s">
        <v>28</v>
      </c>
      <c r="J1411">
        <v>4</v>
      </c>
      <c r="K1411">
        <v>7</v>
      </c>
      <c r="L1411">
        <v>7</v>
      </c>
      <c r="M1411" s="1" t="s">
        <v>24</v>
      </c>
      <c r="N1411" s="2">
        <v>45901</v>
      </c>
      <c r="O1411">
        <v>2025</v>
      </c>
      <c r="P1411">
        <v>3</v>
      </c>
      <c r="Q1411" s="1" t="s">
        <v>24</v>
      </c>
    </row>
    <row r="1412" spans="1:17" x14ac:dyDescent="0.3">
      <c r="A1412" s="1" t="s">
        <v>1477</v>
      </c>
      <c r="B1412" s="1" t="s">
        <v>58</v>
      </c>
      <c r="C1412" s="1" t="s">
        <v>70</v>
      </c>
      <c r="D1412" s="1" t="s">
        <v>51</v>
      </c>
      <c r="E1412" s="1" t="s">
        <v>21</v>
      </c>
      <c r="F1412" s="1" t="s">
        <v>61</v>
      </c>
      <c r="G1412" s="2">
        <v>45990</v>
      </c>
      <c r="H1412" s="2">
        <v>45993</v>
      </c>
      <c r="I1412" s="1" t="s">
        <v>82</v>
      </c>
      <c r="J1412">
        <v>5</v>
      </c>
      <c r="K1412">
        <v>3</v>
      </c>
      <c r="L1412">
        <v>10</v>
      </c>
      <c r="M1412" s="1" t="s">
        <v>24</v>
      </c>
      <c r="N1412" s="2">
        <v>45962</v>
      </c>
      <c r="O1412">
        <v>2025</v>
      </c>
      <c r="P1412">
        <v>4</v>
      </c>
      <c r="Q1412" s="1" t="s">
        <v>24</v>
      </c>
    </row>
    <row r="1413" spans="1:17" x14ac:dyDescent="0.3">
      <c r="A1413" s="1" t="s">
        <v>1478</v>
      </c>
      <c r="B1413" s="1" t="s">
        <v>26</v>
      </c>
      <c r="C1413" s="1" t="s">
        <v>27</v>
      </c>
      <c r="D1413" s="1" t="s">
        <v>51</v>
      </c>
      <c r="E1413" s="1" t="s">
        <v>21</v>
      </c>
      <c r="F1413" s="1" t="s">
        <v>22</v>
      </c>
      <c r="G1413" s="2">
        <v>45928</v>
      </c>
      <c r="H1413" s="2">
        <v>45930</v>
      </c>
      <c r="I1413" s="1" t="s">
        <v>82</v>
      </c>
      <c r="J1413">
        <v>4</v>
      </c>
      <c r="K1413">
        <v>2</v>
      </c>
      <c r="L1413">
        <v>10</v>
      </c>
      <c r="M1413" s="1" t="s">
        <v>24</v>
      </c>
      <c r="N1413" s="2">
        <v>45901</v>
      </c>
      <c r="O1413">
        <v>2025</v>
      </c>
      <c r="P1413">
        <v>3</v>
      </c>
      <c r="Q1413" s="1" t="s">
        <v>24</v>
      </c>
    </row>
    <row r="1414" spans="1:17" x14ac:dyDescent="0.3">
      <c r="A1414" s="1" t="s">
        <v>1479</v>
      </c>
      <c r="B1414" s="1" t="s">
        <v>58</v>
      </c>
      <c r="C1414" s="1" t="s">
        <v>59</v>
      </c>
      <c r="D1414" s="1" t="s">
        <v>51</v>
      </c>
      <c r="E1414" s="1" t="s">
        <v>37</v>
      </c>
      <c r="F1414" s="1" t="s">
        <v>61</v>
      </c>
      <c r="G1414" s="2">
        <v>45808</v>
      </c>
      <c r="H1414" s="2"/>
      <c r="I1414" s="1" t="s">
        <v>32</v>
      </c>
      <c r="L1414">
        <v>10</v>
      </c>
      <c r="M1414" s="1" t="s">
        <v>40</v>
      </c>
      <c r="N1414" s="2">
        <v>45778</v>
      </c>
      <c r="O1414">
        <v>2025</v>
      </c>
      <c r="P1414">
        <v>2</v>
      </c>
      <c r="Q1414" s="1" t="s">
        <v>33</v>
      </c>
    </row>
    <row r="1415" spans="1:17" x14ac:dyDescent="0.3">
      <c r="A1415" s="1" t="s">
        <v>1480</v>
      </c>
      <c r="B1415" s="1" t="s">
        <v>63</v>
      </c>
      <c r="C1415" s="1" t="s">
        <v>84</v>
      </c>
      <c r="D1415" s="1" t="s">
        <v>20</v>
      </c>
      <c r="E1415" s="1" t="s">
        <v>21</v>
      </c>
      <c r="F1415" s="1" t="s">
        <v>31</v>
      </c>
      <c r="G1415" s="2">
        <v>45717</v>
      </c>
      <c r="H1415" s="2">
        <v>45731</v>
      </c>
      <c r="I1415" s="1" t="s">
        <v>32</v>
      </c>
      <c r="J1415">
        <v>3</v>
      </c>
      <c r="K1415">
        <v>14</v>
      </c>
      <c r="L1415">
        <v>14</v>
      </c>
      <c r="M1415" s="1" t="s">
        <v>24</v>
      </c>
      <c r="N1415" s="2">
        <v>45717</v>
      </c>
      <c r="O1415">
        <v>2025</v>
      </c>
      <c r="P1415">
        <v>1</v>
      </c>
      <c r="Q1415" s="1" t="s">
        <v>24</v>
      </c>
    </row>
    <row r="1416" spans="1:17" x14ac:dyDescent="0.3">
      <c r="A1416" s="1" t="s">
        <v>1481</v>
      </c>
      <c r="B1416" s="1" t="s">
        <v>42</v>
      </c>
      <c r="C1416" s="1" t="s">
        <v>43</v>
      </c>
      <c r="D1416" s="1" t="s">
        <v>51</v>
      </c>
      <c r="E1416" s="1" t="s">
        <v>21</v>
      </c>
      <c r="F1416" s="1" t="s">
        <v>31</v>
      </c>
      <c r="G1416" s="2">
        <v>45843</v>
      </c>
      <c r="H1416" s="2">
        <v>45852</v>
      </c>
      <c r="I1416" s="1" t="s">
        <v>39</v>
      </c>
      <c r="J1416">
        <v>4</v>
      </c>
      <c r="K1416">
        <v>9</v>
      </c>
      <c r="L1416">
        <v>10</v>
      </c>
      <c r="M1416" s="1" t="s">
        <v>24</v>
      </c>
      <c r="N1416" s="2">
        <v>45839</v>
      </c>
      <c r="O1416">
        <v>2025</v>
      </c>
      <c r="P1416">
        <v>3</v>
      </c>
      <c r="Q1416" s="1" t="s">
        <v>24</v>
      </c>
    </row>
    <row r="1417" spans="1:17" x14ac:dyDescent="0.3">
      <c r="A1417" s="1" t="s">
        <v>1482</v>
      </c>
      <c r="B1417" s="1" t="s">
        <v>63</v>
      </c>
      <c r="C1417" s="1" t="s">
        <v>64</v>
      </c>
      <c r="D1417" s="1" t="s">
        <v>44</v>
      </c>
      <c r="E1417" s="1" t="s">
        <v>21</v>
      </c>
      <c r="F1417" s="1" t="s">
        <v>61</v>
      </c>
      <c r="G1417" s="2">
        <v>45866</v>
      </c>
      <c r="H1417" s="2">
        <v>45872</v>
      </c>
      <c r="I1417" s="1" t="s">
        <v>82</v>
      </c>
      <c r="J1417">
        <v>4</v>
      </c>
      <c r="K1417">
        <v>6</v>
      </c>
      <c r="L1417">
        <v>7</v>
      </c>
      <c r="M1417" s="1" t="s">
        <v>24</v>
      </c>
      <c r="N1417" s="2">
        <v>45839</v>
      </c>
      <c r="O1417">
        <v>2025</v>
      </c>
      <c r="P1417">
        <v>3</v>
      </c>
      <c r="Q1417" s="1" t="s">
        <v>24</v>
      </c>
    </row>
    <row r="1418" spans="1:17" x14ac:dyDescent="0.3">
      <c r="A1418" s="1" t="s">
        <v>1483</v>
      </c>
      <c r="B1418" s="1" t="s">
        <v>35</v>
      </c>
      <c r="C1418" s="1" t="s">
        <v>97</v>
      </c>
      <c r="D1418" s="1" t="s">
        <v>51</v>
      </c>
      <c r="E1418" s="1" t="s">
        <v>21</v>
      </c>
      <c r="F1418" s="1" t="s">
        <v>61</v>
      </c>
      <c r="G1418" s="2">
        <v>45867</v>
      </c>
      <c r="H1418" s="2">
        <v>45875</v>
      </c>
      <c r="I1418" s="1" t="s">
        <v>82</v>
      </c>
      <c r="J1418">
        <v>4</v>
      </c>
      <c r="K1418">
        <v>8</v>
      </c>
      <c r="L1418">
        <v>10</v>
      </c>
      <c r="M1418" s="1" t="s">
        <v>24</v>
      </c>
      <c r="N1418" s="2">
        <v>45839</v>
      </c>
      <c r="O1418">
        <v>2025</v>
      </c>
      <c r="P1418">
        <v>3</v>
      </c>
      <c r="Q1418" s="1" t="s">
        <v>24</v>
      </c>
    </row>
    <row r="1419" spans="1:17" x14ac:dyDescent="0.3">
      <c r="A1419" s="1" t="s">
        <v>1484</v>
      </c>
      <c r="B1419" s="1" t="s">
        <v>58</v>
      </c>
      <c r="C1419" s="1" t="s">
        <v>108</v>
      </c>
      <c r="D1419" s="1" t="s">
        <v>44</v>
      </c>
      <c r="E1419" s="1" t="s">
        <v>48</v>
      </c>
      <c r="F1419" s="1" t="s">
        <v>61</v>
      </c>
      <c r="G1419" s="2">
        <v>45665</v>
      </c>
      <c r="H1419" s="2"/>
      <c r="I1419" s="1" t="s">
        <v>23</v>
      </c>
      <c r="L1419">
        <v>7</v>
      </c>
      <c r="M1419" s="1" t="s">
        <v>40</v>
      </c>
      <c r="N1419" s="2">
        <v>45658</v>
      </c>
      <c r="O1419">
        <v>2025</v>
      </c>
      <c r="P1419">
        <v>1</v>
      </c>
      <c r="Q1419" s="1" t="s">
        <v>33</v>
      </c>
    </row>
    <row r="1420" spans="1:17" x14ac:dyDescent="0.3">
      <c r="A1420" s="1" t="s">
        <v>1485</v>
      </c>
      <c r="B1420" s="1" t="s">
        <v>58</v>
      </c>
      <c r="C1420" s="1" t="s">
        <v>59</v>
      </c>
      <c r="D1420" s="1" t="s">
        <v>44</v>
      </c>
      <c r="E1420" s="1" t="s">
        <v>21</v>
      </c>
      <c r="F1420" s="1" t="s">
        <v>38</v>
      </c>
      <c r="G1420" s="2">
        <v>45898</v>
      </c>
      <c r="H1420" s="2">
        <v>45904</v>
      </c>
      <c r="I1420" s="1" t="s">
        <v>39</v>
      </c>
      <c r="J1420">
        <v>2</v>
      </c>
      <c r="K1420">
        <v>6</v>
      </c>
      <c r="L1420">
        <v>7</v>
      </c>
      <c r="M1420" s="1" t="s">
        <v>24</v>
      </c>
      <c r="N1420" s="2">
        <v>45870</v>
      </c>
      <c r="O1420">
        <v>2025</v>
      </c>
      <c r="P1420">
        <v>3</v>
      </c>
      <c r="Q1420" s="1" t="s">
        <v>24</v>
      </c>
    </row>
    <row r="1421" spans="1:17" x14ac:dyDescent="0.3">
      <c r="A1421" s="1" t="s">
        <v>1486</v>
      </c>
      <c r="B1421" s="1" t="s">
        <v>42</v>
      </c>
      <c r="C1421" s="1" t="s">
        <v>76</v>
      </c>
      <c r="D1421" s="1" t="s">
        <v>71</v>
      </c>
      <c r="E1421" s="1" t="s">
        <v>21</v>
      </c>
      <c r="F1421" s="1" t="s">
        <v>52</v>
      </c>
      <c r="G1421" s="2">
        <v>45929</v>
      </c>
      <c r="H1421" s="2">
        <v>45932</v>
      </c>
      <c r="I1421" s="1" t="s">
        <v>28</v>
      </c>
      <c r="J1421">
        <v>5</v>
      </c>
      <c r="K1421">
        <v>3</v>
      </c>
      <c r="L1421">
        <v>3</v>
      </c>
      <c r="M1421" s="1" t="s">
        <v>24</v>
      </c>
      <c r="N1421" s="2">
        <v>45901</v>
      </c>
      <c r="O1421">
        <v>2025</v>
      </c>
      <c r="P1421">
        <v>3</v>
      </c>
      <c r="Q1421" s="1" t="s">
        <v>24</v>
      </c>
    </row>
    <row r="1422" spans="1:17" x14ac:dyDescent="0.3">
      <c r="A1422" s="1" t="s">
        <v>1487</v>
      </c>
      <c r="B1422" s="1" t="s">
        <v>58</v>
      </c>
      <c r="C1422" s="1" t="s">
        <v>108</v>
      </c>
      <c r="D1422" s="1" t="s">
        <v>44</v>
      </c>
      <c r="E1422" s="1" t="s">
        <v>21</v>
      </c>
      <c r="F1422" s="1" t="s">
        <v>38</v>
      </c>
      <c r="G1422" s="2">
        <v>45830</v>
      </c>
      <c r="H1422" s="2">
        <v>45835</v>
      </c>
      <c r="I1422" s="1" t="s">
        <v>23</v>
      </c>
      <c r="J1422">
        <v>4</v>
      </c>
      <c r="K1422">
        <v>5</v>
      </c>
      <c r="L1422">
        <v>7</v>
      </c>
      <c r="M1422" s="1" t="s">
        <v>24</v>
      </c>
      <c r="N1422" s="2">
        <v>45809</v>
      </c>
      <c r="O1422">
        <v>2025</v>
      </c>
      <c r="P1422">
        <v>2</v>
      </c>
      <c r="Q1422" s="1" t="s">
        <v>24</v>
      </c>
    </row>
    <row r="1423" spans="1:17" x14ac:dyDescent="0.3">
      <c r="A1423" s="1" t="s">
        <v>1488</v>
      </c>
      <c r="B1423" s="1" t="s">
        <v>42</v>
      </c>
      <c r="C1423" s="1" t="s">
        <v>43</v>
      </c>
      <c r="D1423" s="1" t="s">
        <v>71</v>
      </c>
      <c r="E1423" s="1" t="s">
        <v>48</v>
      </c>
      <c r="F1423" s="1" t="s">
        <v>31</v>
      </c>
      <c r="G1423" s="2">
        <v>45980</v>
      </c>
      <c r="H1423" s="2"/>
      <c r="I1423" s="1" t="s">
        <v>39</v>
      </c>
      <c r="L1423">
        <v>3</v>
      </c>
      <c r="M1423" s="1" t="s">
        <v>40</v>
      </c>
      <c r="N1423" s="2">
        <v>45962</v>
      </c>
      <c r="O1423">
        <v>2025</v>
      </c>
      <c r="P1423">
        <v>4</v>
      </c>
      <c r="Q1423" s="1" t="s">
        <v>33</v>
      </c>
    </row>
    <row r="1424" spans="1:17" x14ac:dyDescent="0.3">
      <c r="A1424" s="1" t="s">
        <v>1489</v>
      </c>
      <c r="B1424" s="1" t="s">
        <v>35</v>
      </c>
      <c r="C1424" s="1" t="s">
        <v>50</v>
      </c>
      <c r="D1424" s="1" t="s">
        <v>44</v>
      </c>
      <c r="E1424" s="1" t="s">
        <v>21</v>
      </c>
      <c r="F1424" s="1" t="s">
        <v>38</v>
      </c>
      <c r="G1424" s="2">
        <v>45959</v>
      </c>
      <c r="H1424" s="2">
        <v>45966</v>
      </c>
      <c r="I1424" s="1" t="s">
        <v>28</v>
      </c>
      <c r="J1424">
        <v>5</v>
      </c>
      <c r="K1424">
        <v>7</v>
      </c>
      <c r="L1424">
        <v>7</v>
      </c>
      <c r="M1424" s="1" t="s">
        <v>24</v>
      </c>
      <c r="N1424" s="2">
        <v>45931</v>
      </c>
      <c r="O1424">
        <v>2025</v>
      </c>
      <c r="P1424">
        <v>4</v>
      </c>
      <c r="Q1424" s="1" t="s">
        <v>24</v>
      </c>
    </row>
    <row r="1425" spans="1:17" x14ac:dyDescent="0.3">
      <c r="A1425" s="1" t="s">
        <v>1490</v>
      </c>
      <c r="B1425" s="1" t="s">
        <v>42</v>
      </c>
      <c r="C1425" s="1" t="s">
        <v>43</v>
      </c>
      <c r="D1425" s="1" t="s">
        <v>51</v>
      </c>
      <c r="E1425" s="1" t="s">
        <v>21</v>
      </c>
      <c r="F1425" s="1" t="s">
        <v>22</v>
      </c>
      <c r="G1425" s="2">
        <v>45822</v>
      </c>
      <c r="H1425" s="2">
        <v>45831</v>
      </c>
      <c r="I1425" s="1" t="s">
        <v>32</v>
      </c>
      <c r="J1425">
        <v>3</v>
      </c>
      <c r="K1425">
        <v>9</v>
      </c>
      <c r="L1425">
        <v>10</v>
      </c>
      <c r="M1425" s="1" t="s">
        <v>24</v>
      </c>
      <c r="N1425" s="2">
        <v>45809</v>
      </c>
      <c r="O1425">
        <v>2025</v>
      </c>
      <c r="P1425">
        <v>2</v>
      </c>
      <c r="Q1425" s="1" t="s">
        <v>24</v>
      </c>
    </row>
    <row r="1426" spans="1:17" x14ac:dyDescent="0.3">
      <c r="A1426" s="1" t="s">
        <v>1491</v>
      </c>
      <c r="B1426" s="1" t="s">
        <v>42</v>
      </c>
      <c r="C1426" s="1" t="s">
        <v>76</v>
      </c>
      <c r="D1426" s="1" t="s">
        <v>51</v>
      </c>
      <c r="E1426" s="1" t="s">
        <v>21</v>
      </c>
      <c r="F1426" s="1" t="s">
        <v>22</v>
      </c>
      <c r="G1426" s="2">
        <v>45946</v>
      </c>
      <c r="H1426" s="2">
        <v>45956</v>
      </c>
      <c r="I1426" s="1" t="s">
        <v>82</v>
      </c>
      <c r="J1426">
        <v>5</v>
      </c>
      <c r="K1426">
        <v>10</v>
      </c>
      <c r="L1426">
        <v>10</v>
      </c>
      <c r="M1426" s="1" t="s">
        <v>24</v>
      </c>
      <c r="N1426" s="2">
        <v>45931</v>
      </c>
      <c r="O1426">
        <v>2025</v>
      </c>
      <c r="P1426">
        <v>4</v>
      </c>
      <c r="Q1426" s="1" t="s">
        <v>24</v>
      </c>
    </row>
    <row r="1427" spans="1:17" x14ac:dyDescent="0.3">
      <c r="A1427" s="1" t="s">
        <v>1492</v>
      </c>
      <c r="B1427" s="1" t="s">
        <v>58</v>
      </c>
      <c r="C1427" s="1" t="s">
        <v>59</v>
      </c>
      <c r="D1427" s="1" t="s">
        <v>51</v>
      </c>
      <c r="E1427" s="1" t="s">
        <v>21</v>
      </c>
      <c r="F1427" s="1" t="s">
        <v>61</v>
      </c>
      <c r="G1427" s="2">
        <v>45749</v>
      </c>
      <c r="H1427" s="2">
        <v>45753</v>
      </c>
      <c r="I1427" s="1" t="s">
        <v>39</v>
      </c>
      <c r="J1427">
        <v>2</v>
      </c>
      <c r="K1427">
        <v>4</v>
      </c>
      <c r="L1427">
        <v>10</v>
      </c>
      <c r="M1427" s="1" t="s">
        <v>24</v>
      </c>
      <c r="N1427" s="2">
        <v>45748</v>
      </c>
      <c r="O1427">
        <v>2025</v>
      </c>
      <c r="P1427">
        <v>2</v>
      </c>
      <c r="Q1427" s="1" t="s">
        <v>24</v>
      </c>
    </row>
    <row r="1428" spans="1:17" x14ac:dyDescent="0.3">
      <c r="A1428" s="1" t="s">
        <v>1493</v>
      </c>
      <c r="B1428" s="1" t="s">
        <v>26</v>
      </c>
      <c r="C1428" s="1" t="s">
        <v>123</v>
      </c>
      <c r="D1428" s="1" t="s">
        <v>51</v>
      </c>
      <c r="E1428" s="1" t="s">
        <v>21</v>
      </c>
      <c r="F1428" s="1" t="s">
        <v>38</v>
      </c>
      <c r="G1428" s="2">
        <v>45708</v>
      </c>
      <c r="H1428" s="2">
        <v>45715</v>
      </c>
      <c r="I1428" s="1" t="s">
        <v>32</v>
      </c>
      <c r="J1428">
        <v>3</v>
      </c>
      <c r="K1428">
        <v>7</v>
      </c>
      <c r="L1428">
        <v>10</v>
      </c>
      <c r="M1428" s="1" t="s">
        <v>24</v>
      </c>
      <c r="N1428" s="2">
        <v>45689</v>
      </c>
      <c r="O1428">
        <v>2025</v>
      </c>
      <c r="P1428">
        <v>1</v>
      </c>
      <c r="Q1428" s="1" t="s">
        <v>24</v>
      </c>
    </row>
    <row r="1429" spans="1:17" x14ac:dyDescent="0.3">
      <c r="A1429" s="1" t="s">
        <v>1494</v>
      </c>
      <c r="B1429" s="1" t="s">
        <v>35</v>
      </c>
      <c r="C1429" s="1" t="s">
        <v>50</v>
      </c>
      <c r="D1429" s="1" t="s">
        <v>51</v>
      </c>
      <c r="E1429" s="1" t="s">
        <v>48</v>
      </c>
      <c r="F1429" s="1" t="s">
        <v>52</v>
      </c>
      <c r="G1429" s="2">
        <v>45805</v>
      </c>
      <c r="H1429" s="2"/>
      <c r="I1429" s="1" t="s">
        <v>82</v>
      </c>
      <c r="L1429">
        <v>10</v>
      </c>
      <c r="M1429" s="1" t="s">
        <v>40</v>
      </c>
      <c r="N1429" s="2">
        <v>45778</v>
      </c>
      <c r="O1429">
        <v>2025</v>
      </c>
      <c r="P1429">
        <v>2</v>
      </c>
      <c r="Q1429" s="1" t="s">
        <v>33</v>
      </c>
    </row>
    <row r="1430" spans="1:17" x14ac:dyDescent="0.3">
      <c r="A1430" s="1" t="s">
        <v>1495</v>
      </c>
      <c r="B1430" s="1" t="s">
        <v>42</v>
      </c>
      <c r="C1430" s="1" t="s">
        <v>76</v>
      </c>
      <c r="D1430" s="1" t="s">
        <v>51</v>
      </c>
      <c r="E1430" s="1" t="s">
        <v>21</v>
      </c>
      <c r="F1430" s="1" t="s">
        <v>61</v>
      </c>
      <c r="G1430" s="2">
        <v>45763</v>
      </c>
      <c r="H1430" s="2">
        <v>45773</v>
      </c>
      <c r="I1430" s="1" t="s">
        <v>23</v>
      </c>
      <c r="J1430">
        <v>5</v>
      </c>
      <c r="K1430">
        <v>10</v>
      </c>
      <c r="L1430">
        <v>10</v>
      </c>
      <c r="M1430" s="1" t="s">
        <v>24</v>
      </c>
      <c r="N1430" s="2">
        <v>45748</v>
      </c>
      <c r="O1430">
        <v>2025</v>
      </c>
      <c r="P1430">
        <v>2</v>
      </c>
      <c r="Q1430" s="1" t="s">
        <v>24</v>
      </c>
    </row>
    <row r="1431" spans="1:17" x14ac:dyDescent="0.3">
      <c r="A1431" s="1" t="s">
        <v>1496</v>
      </c>
      <c r="B1431" s="1" t="s">
        <v>26</v>
      </c>
      <c r="C1431" s="1" t="s">
        <v>67</v>
      </c>
      <c r="D1431" s="1" t="s">
        <v>71</v>
      </c>
      <c r="E1431" s="1" t="s">
        <v>21</v>
      </c>
      <c r="F1431" s="1" t="s">
        <v>38</v>
      </c>
      <c r="G1431" s="2">
        <v>45757</v>
      </c>
      <c r="H1431" s="2">
        <v>45757</v>
      </c>
      <c r="I1431" s="1" t="s">
        <v>32</v>
      </c>
      <c r="J1431">
        <v>4</v>
      </c>
      <c r="K1431">
        <v>0</v>
      </c>
      <c r="L1431">
        <v>3</v>
      </c>
      <c r="M1431" s="1" t="s">
        <v>24</v>
      </c>
      <c r="N1431" s="2">
        <v>45748</v>
      </c>
      <c r="O1431">
        <v>2025</v>
      </c>
      <c r="P1431">
        <v>2</v>
      </c>
      <c r="Q1431" s="1" t="s">
        <v>24</v>
      </c>
    </row>
    <row r="1432" spans="1:17" x14ac:dyDescent="0.3">
      <c r="A1432" s="1" t="s">
        <v>1497</v>
      </c>
      <c r="B1432" s="1" t="s">
        <v>63</v>
      </c>
      <c r="C1432" s="1" t="s">
        <v>84</v>
      </c>
      <c r="D1432" s="1" t="s">
        <v>71</v>
      </c>
      <c r="E1432" s="1" t="s">
        <v>21</v>
      </c>
      <c r="F1432" s="1" t="s">
        <v>52</v>
      </c>
      <c r="G1432" s="2">
        <v>45885</v>
      </c>
      <c r="H1432" s="2">
        <v>45886</v>
      </c>
      <c r="I1432" s="1" t="s">
        <v>23</v>
      </c>
      <c r="J1432">
        <v>5</v>
      </c>
      <c r="K1432">
        <v>1</v>
      </c>
      <c r="L1432">
        <v>3</v>
      </c>
      <c r="M1432" s="1" t="s">
        <v>24</v>
      </c>
      <c r="N1432" s="2">
        <v>45870</v>
      </c>
      <c r="O1432">
        <v>2025</v>
      </c>
      <c r="P1432">
        <v>3</v>
      </c>
      <c r="Q1432" s="1" t="s">
        <v>24</v>
      </c>
    </row>
    <row r="1433" spans="1:17" x14ac:dyDescent="0.3">
      <c r="A1433" s="1" t="s">
        <v>1498</v>
      </c>
      <c r="B1433" s="1" t="s">
        <v>18</v>
      </c>
      <c r="C1433" s="1" t="s">
        <v>19</v>
      </c>
      <c r="D1433" s="1" t="s">
        <v>51</v>
      </c>
      <c r="E1433" s="1" t="s">
        <v>21</v>
      </c>
      <c r="F1433" s="1" t="s">
        <v>52</v>
      </c>
      <c r="G1433" s="2">
        <v>45792</v>
      </c>
      <c r="H1433" s="2">
        <v>45795</v>
      </c>
      <c r="I1433" s="1" t="s">
        <v>23</v>
      </c>
      <c r="J1433">
        <v>5</v>
      </c>
      <c r="K1433">
        <v>3</v>
      </c>
      <c r="L1433">
        <v>10</v>
      </c>
      <c r="M1433" s="1" t="s">
        <v>24</v>
      </c>
      <c r="N1433" s="2">
        <v>45778</v>
      </c>
      <c r="O1433">
        <v>2025</v>
      </c>
      <c r="P1433">
        <v>2</v>
      </c>
      <c r="Q1433" s="1" t="s">
        <v>24</v>
      </c>
    </row>
    <row r="1434" spans="1:17" x14ac:dyDescent="0.3">
      <c r="A1434" s="1" t="s">
        <v>1499</v>
      </c>
      <c r="B1434" s="1" t="s">
        <v>35</v>
      </c>
      <c r="C1434" s="1" t="s">
        <v>99</v>
      </c>
      <c r="D1434" s="1" t="s">
        <v>44</v>
      </c>
      <c r="E1434" s="1" t="s">
        <v>21</v>
      </c>
      <c r="F1434" s="1" t="s">
        <v>52</v>
      </c>
      <c r="G1434" s="2">
        <v>45696</v>
      </c>
      <c r="H1434" s="2">
        <v>45699</v>
      </c>
      <c r="I1434" s="1" t="s">
        <v>32</v>
      </c>
      <c r="J1434">
        <v>3</v>
      </c>
      <c r="K1434">
        <v>3</v>
      </c>
      <c r="L1434">
        <v>7</v>
      </c>
      <c r="M1434" s="1" t="s">
        <v>24</v>
      </c>
      <c r="N1434" s="2">
        <v>45689</v>
      </c>
      <c r="O1434">
        <v>2025</v>
      </c>
      <c r="P1434">
        <v>1</v>
      </c>
      <c r="Q1434" s="1" t="s">
        <v>24</v>
      </c>
    </row>
    <row r="1435" spans="1:17" x14ac:dyDescent="0.3">
      <c r="A1435" s="1" t="s">
        <v>1500</v>
      </c>
      <c r="B1435" s="1" t="s">
        <v>58</v>
      </c>
      <c r="C1435" s="1" t="s">
        <v>70</v>
      </c>
      <c r="D1435" s="1" t="s">
        <v>44</v>
      </c>
      <c r="E1435" s="1" t="s">
        <v>21</v>
      </c>
      <c r="F1435" s="1" t="s">
        <v>22</v>
      </c>
      <c r="G1435" s="2">
        <v>45677</v>
      </c>
      <c r="H1435" s="2">
        <v>45681</v>
      </c>
      <c r="I1435" s="1" t="s">
        <v>32</v>
      </c>
      <c r="J1435">
        <v>2</v>
      </c>
      <c r="K1435">
        <v>4</v>
      </c>
      <c r="L1435">
        <v>7</v>
      </c>
      <c r="M1435" s="1" t="s">
        <v>24</v>
      </c>
      <c r="N1435" s="2">
        <v>45658</v>
      </c>
      <c r="O1435">
        <v>2025</v>
      </c>
      <c r="P1435">
        <v>1</v>
      </c>
      <c r="Q1435" s="1" t="s">
        <v>24</v>
      </c>
    </row>
    <row r="1436" spans="1:17" x14ac:dyDescent="0.3">
      <c r="A1436" s="1" t="s">
        <v>1501</v>
      </c>
      <c r="B1436" s="1" t="s">
        <v>63</v>
      </c>
      <c r="C1436" s="1" t="s">
        <v>74</v>
      </c>
      <c r="D1436" s="1" t="s">
        <v>71</v>
      </c>
      <c r="E1436" s="1" t="s">
        <v>21</v>
      </c>
      <c r="F1436" s="1" t="s">
        <v>61</v>
      </c>
      <c r="G1436" s="2">
        <v>45783</v>
      </c>
      <c r="H1436" s="2">
        <v>45784</v>
      </c>
      <c r="I1436" s="1" t="s">
        <v>28</v>
      </c>
      <c r="J1436">
        <v>4</v>
      </c>
      <c r="K1436">
        <v>1</v>
      </c>
      <c r="L1436">
        <v>3</v>
      </c>
      <c r="M1436" s="1" t="s">
        <v>24</v>
      </c>
      <c r="N1436" s="2">
        <v>45778</v>
      </c>
      <c r="O1436">
        <v>2025</v>
      </c>
      <c r="P1436">
        <v>2</v>
      </c>
      <c r="Q1436" s="1" t="s">
        <v>24</v>
      </c>
    </row>
    <row r="1437" spans="1:17" x14ac:dyDescent="0.3">
      <c r="A1437" s="1" t="s">
        <v>1502</v>
      </c>
      <c r="B1437" s="1" t="s">
        <v>35</v>
      </c>
      <c r="C1437" s="1" t="s">
        <v>50</v>
      </c>
      <c r="D1437" s="1" t="s">
        <v>20</v>
      </c>
      <c r="E1437" s="1" t="s">
        <v>37</v>
      </c>
      <c r="F1437" s="1" t="s">
        <v>52</v>
      </c>
      <c r="G1437" s="2">
        <v>45912</v>
      </c>
      <c r="H1437" s="2"/>
      <c r="I1437" s="1" t="s">
        <v>28</v>
      </c>
      <c r="L1437">
        <v>14</v>
      </c>
      <c r="M1437" s="1" t="s">
        <v>40</v>
      </c>
      <c r="N1437" s="2">
        <v>45901</v>
      </c>
      <c r="O1437">
        <v>2025</v>
      </c>
      <c r="P1437">
        <v>3</v>
      </c>
      <c r="Q1437" s="1" t="s">
        <v>33</v>
      </c>
    </row>
    <row r="1438" spans="1:17" x14ac:dyDescent="0.3">
      <c r="A1438" s="1" t="s">
        <v>1503</v>
      </c>
      <c r="B1438" s="1" t="s">
        <v>63</v>
      </c>
      <c r="C1438" s="1" t="s">
        <v>74</v>
      </c>
      <c r="D1438" s="1" t="s">
        <v>71</v>
      </c>
      <c r="E1438" s="1" t="s">
        <v>37</v>
      </c>
      <c r="F1438" s="1" t="s">
        <v>38</v>
      </c>
      <c r="G1438" s="2">
        <v>45767</v>
      </c>
      <c r="H1438" s="2"/>
      <c r="I1438" s="1" t="s">
        <v>39</v>
      </c>
      <c r="L1438">
        <v>3</v>
      </c>
      <c r="M1438" s="1" t="s">
        <v>40</v>
      </c>
      <c r="N1438" s="2">
        <v>45748</v>
      </c>
      <c r="O1438">
        <v>2025</v>
      </c>
      <c r="P1438">
        <v>2</v>
      </c>
      <c r="Q1438" s="1" t="s">
        <v>33</v>
      </c>
    </row>
    <row r="1439" spans="1:17" x14ac:dyDescent="0.3">
      <c r="A1439" s="1" t="s">
        <v>1504</v>
      </c>
      <c r="B1439" s="1" t="s">
        <v>42</v>
      </c>
      <c r="C1439" s="1" t="s">
        <v>87</v>
      </c>
      <c r="D1439" s="1" t="s">
        <v>51</v>
      </c>
      <c r="E1439" s="1" t="s">
        <v>21</v>
      </c>
      <c r="F1439" s="1" t="s">
        <v>52</v>
      </c>
      <c r="G1439" s="2">
        <v>45749</v>
      </c>
      <c r="H1439" s="2">
        <v>45751</v>
      </c>
      <c r="I1439" s="1" t="s">
        <v>82</v>
      </c>
      <c r="J1439">
        <v>4</v>
      </c>
      <c r="K1439">
        <v>2</v>
      </c>
      <c r="L1439">
        <v>10</v>
      </c>
      <c r="M1439" s="1" t="s">
        <v>24</v>
      </c>
      <c r="N1439" s="2">
        <v>45748</v>
      </c>
      <c r="O1439">
        <v>2025</v>
      </c>
      <c r="P1439">
        <v>2</v>
      </c>
      <c r="Q1439" s="1" t="s">
        <v>24</v>
      </c>
    </row>
    <row r="1440" spans="1:17" x14ac:dyDescent="0.3">
      <c r="A1440" s="1" t="s">
        <v>1505</v>
      </c>
      <c r="B1440" s="1" t="s">
        <v>58</v>
      </c>
      <c r="C1440" s="1" t="s">
        <v>108</v>
      </c>
      <c r="D1440" s="1" t="s">
        <v>51</v>
      </c>
      <c r="E1440" s="1" t="s">
        <v>21</v>
      </c>
      <c r="F1440" s="1" t="s">
        <v>61</v>
      </c>
      <c r="G1440" s="2">
        <v>45994</v>
      </c>
      <c r="H1440" s="2">
        <v>45998</v>
      </c>
      <c r="I1440" s="1" t="s">
        <v>32</v>
      </c>
      <c r="J1440">
        <v>5</v>
      </c>
      <c r="K1440">
        <v>4</v>
      </c>
      <c r="L1440">
        <v>10</v>
      </c>
      <c r="M1440" s="1" t="s">
        <v>24</v>
      </c>
      <c r="N1440" s="2">
        <v>45992</v>
      </c>
      <c r="O1440">
        <v>2025</v>
      </c>
      <c r="P1440">
        <v>4</v>
      </c>
      <c r="Q1440" s="1" t="s">
        <v>24</v>
      </c>
    </row>
    <row r="1441" spans="1:17" x14ac:dyDescent="0.3">
      <c r="A1441" s="1" t="s">
        <v>1506</v>
      </c>
      <c r="B1441" s="1" t="s">
        <v>18</v>
      </c>
      <c r="C1441" s="1" t="s">
        <v>30</v>
      </c>
      <c r="D1441" s="1" t="s">
        <v>51</v>
      </c>
      <c r="E1441" s="1" t="s">
        <v>21</v>
      </c>
      <c r="F1441" s="1" t="s">
        <v>52</v>
      </c>
      <c r="G1441" s="2">
        <v>45964</v>
      </c>
      <c r="H1441" s="2">
        <v>45971</v>
      </c>
      <c r="I1441" s="1" t="s">
        <v>23</v>
      </c>
      <c r="J1441">
        <v>4</v>
      </c>
      <c r="K1441">
        <v>7</v>
      </c>
      <c r="L1441">
        <v>10</v>
      </c>
      <c r="M1441" s="1" t="s">
        <v>24</v>
      </c>
      <c r="N1441" s="2">
        <v>45962</v>
      </c>
      <c r="O1441">
        <v>2025</v>
      </c>
      <c r="P1441">
        <v>4</v>
      </c>
      <c r="Q1441" s="1" t="s">
        <v>24</v>
      </c>
    </row>
    <row r="1442" spans="1:17" x14ac:dyDescent="0.3">
      <c r="A1442" s="1" t="s">
        <v>1507</v>
      </c>
      <c r="B1442" s="1" t="s">
        <v>63</v>
      </c>
      <c r="C1442" s="1" t="s">
        <v>74</v>
      </c>
      <c r="D1442" s="1" t="s">
        <v>71</v>
      </c>
      <c r="E1442" s="1" t="s">
        <v>48</v>
      </c>
      <c r="F1442" s="1" t="s">
        <v>31</v>
      </c>
      <c r="G1442" s="2">
        <v>45805</v>
      </c>
      <c r="H1442" s="2"/>
      <c r="I1442" s="1" t="s">
        <v>39</v>
      </c>
      <c r="L1442">
        <v>3</v>
      </c>
      <c r="M1442" s="1" t="s">
        <v>40</v>
      </c>
      <c r="N1442" s="2">
        <v>45778</v>
      </c>
      <c r="O1442">
        <v>2025</v>
      </c>
      <c r="P1442">
        <v>2</v>
      </c>
      <c r="Q1442" s="1" t="s">
        <v>33</v>
      </c>
    </row>
    <row r="1443" spans="1:17" x14ac:dyDescent="0.3">
      <c r="A1443" s="1" t="s">
        <v>1508</v>
      </c>
      <c r="B1443" s="1" t="s">
        <v>35</v>
      </c>
      <c r="C1443" s="1" t="s">
        <v>36</v>
      </c>
      <c r="D1443" s="1" t="s">
        <v>51</v>
      </c>
      <c r="E1443" s="1" t="s">
        <v>21</v>
      </c>
      <c r="F1443" s="1" t="s">
        <v>52</v>
      </c>
      <c r="G1443" s="2">
        <v>45895</v>
      </c>
      <c r="H1443" s="2">
        <v>45902</v>
      </c>
      <c r="I1443" s="1" t="s">
        <v>39</v>
      </c>
      <c r="J1443">
        <v>5</v>
      </c>
      <c r="K1443">
        <v>7</v>
      </c>
      <c r="L1443">
        <v>10</v>
      </c>
      <c r="M1443" s="1" t="s">
        <v>24</v>
      </c>
      <c r="N1443" s="2">
        <v>45870</v>
      </c>
      <c r="O1443">
        <v>2025</v>
      </c>
      <c r="P1443">
        <v>3</v>
      </c>
      <c r="Q1443" s="1" t="s">
        <v>24</v>
      </c>
    </row>
    <row r="1444" spans="1:17" x14ac:dyDescent="0.3">
      <c r="A1444" s="1" t="s">
        <v>1509</v>
      </c>
      <c r="B1444" s="1" t="s">
        <v>18</v>
      </c>
      <c r="C1444" s="1" t="s">
        <v>47</v>
      </c>
      <c r="D1444" s="1" t="s">
        <v>44</v>
      </c>
      <c r="E1444" s="1" t="s">
        <v>21</v>
      </c>
      <c r="F1444" s="1" t="s">
        <v>61</v>
      </c>
      <c r="G1444" s="2">
        <v>45908</v>
      </c>
      <c r="H1444" s="2">
        <v>45913</v>
      </c>
      <c r="I1444" s="1" t="s">
        <v>23</v>
      </c>
      <c r="J1444">
        <v>4</v>
      </c>
      <c r="K1444">
        <v>5</v>
      </c>
      <c r="L1444">
        <v>7</v>
      </c>
      <c r="M1444" s="1" t="s">
        <v>24</v>
      </c>
      <c r="N1444" s="2">
        <v>45901</v>
      </c>
      <c r="O1444">
        <v>2025</v>
      </c>
      <c r="P1444">
        <v>3</v>
      </c>
      <c r="Q1444" s="1" t="s">
        <v>24</v>
      </c>
    </row>
    <row r="1445" spans="1:17" x14ac:dyDescent="0.3">
      <c r="A1445" s="1" t="s">
        <v>1510</v>
      </c>
      <c r="B1445" s="1" t="s">
        <v>35</v>
      </c>
      <c r="C1445" s="1" t="s">
        <v>97</v>
      </c>
      <c r="D1445" s="1" t="s">
        <v>51</v>
      </c>
      <c r="E1445" s="1" t="s">
        <v>48</v>
      </c>
      <c r="F1445" s="1" t="s">
        <v>38</v>
      </c>
      <c r="G1445" s="2">
        <v>45867</v>
      </c>
      <c r="H1445" s="2"/>
      <c r="I1445" s="1" t="s">
        <v>82</v>
      </c>
      <c r="L1445">
        <v>10</v>
      </c>
      <c r="M1445" s="1" t="s">
        <v>40</v>
      </c>
      <c r="N1445" s="2">
        <v>45839</v>
      </c>
      <c r="O1445">
        <v>2025</v>
      </c>
      <c r="P1445">
        <v>3</v>
      </c>
      <c r="Q1445" s="1" t="s">
        <v>33</v>
      </c>
    </row>
    <row r="1446" spans="1:17" x14ac:dyDescent="0.3">
      <c r="A1446" s="1" t="s">
        <v>1511</v>
      </c>
      <c r="B1446" s="1" t="s">
        <v>35</v>
      </c>
      <c r="C1446" s="1" t="s">
        <v>97</v>
      </c>
      <c r="D1446" s="1" t="s">
        <v>51</v>
      </c>
      <c r="E1446" s="1" t="s">
        <v>21</v>
      </c>
      <c r="F1446" s="1" t="s">
        <v>38</v>
      </c>
      <c r="G1446" s="2">
        <v>45884</v>
      </c>
      <c r="H1446" s="2">
        <v>45892</v>
      </c>
      <c r="I1446" s="1" t="s">
        <v>32</v>
      </c>
      <c r="J1446">
        <v>4</v>
      </c>
      <c r="K1446">
        <v>8</v>
      </c>
      <c r="L1446">
        <v>10</v>
      </c>
      <c r="M1446" s="1" t="s">
        <v>24</v>
      </c>
      <c r="N1446" s="2">
        <v>45870</v>
      </c>
      <c r="O1446">
        <v>2025</v>
      </c>
      <c r="P1446">
        <v>3</v>
      </c>
      <c r="Q1446" s="1" t="s">
        <v>24</v>
      </c>
    </row>
    <row r="1447" spans="1:17" x14ac:dyDescent="0.3">
      <c r="A1447" s="1" t="s">
        <v>1512</v>
      </c>
      <c r="B1447" s="1" t="s">
        <v>58</v>
      </c>
      <c r="C1447" s="1" t="s">
        <v>108</v>
      </c>
      <c r="D1447" s="1" t="s">
        <v>51</v>
      </c>
      <c r="E1447" s="1" t="s">
        <v>37</v>
      </c>
      <c r="F1447" s="1" t="s">
        <v>31</v>
      </c>
      <c r="G1447" s="2">
        <v>45815</v>
      </c>
      <c r="H1447" s="2"/>
      <c r="I1447" s="1" t="s">
        <v>39</v>
      </c>
      <c r="L1447">
        <v>10</v>
      </c>
      <c r="M1447" s="1" t="s">
        <v>40</v>
      </c>
      <c r="N1447" s="2">
        <v>45809</v>
      </c>
      <c r="O1447">
        <v>2025</v>
      </c>
      <c r="P1447">
        <v>2</v>
      </c>
      <c r="Q1447" s="1" t="s">
        <v>33</v>
      </c>
    </row>
    <row r="1448" spans="1:17" x14ac:dyDescent="0.3">
      <c r="A1448" s="1" t="s">
        <v>1513</v>
      </c>
      <c r="B1448" s="1" t="s">
        <v>63</v>
      </c>
      <c r="C1448" s="1" t="s">
        <v>64</v>
      </c>
      <c r="D1448" s="1" t="s">
        <v>51</v>
      </c>
      <c r="E1448" s="1" t="s">
        <v>37</v>
      </c>
      <c r="F1448" s="1" t="s">
        <v>22</v>
      </c>
      <c r="G1448" s="2">
        <v>45714</v>
      </c>
      <c r="H1448" s="2"/>
      <c r="I1448" s="1" t="s">
        <v>82</v>
      </c>
      <c r="L1448">
        <v>10</v>
      </c>
      <c r="M1448" s="1" t="s">
        <v>40</v>
      </c>
      <c r="N1448" s="2">
        <v>45689</v>
      </c>
      <c r="O1448">
        <v>2025</v>
      </c>
      <c r="P1448">
        <v>1</v>
      </c>
      <c r="Q1448" s="1" t="s">
        <v>33</v>
      </c>
    </row>
    <row r="1449" spans="1:17" x14ac:dyDescent="0.3">
      <c r="A1449" s="1" t="s">
        <v>1514</v>
      </c>
      <c r="B1449" s="1" t="s">
        <v>35</v>
      </c>
      <c r="C1449" s="1" t="s">
        <v>36</v>
      </c>
      <c r="D1449" s="1" t="s">
        <v>51</v>
      </c>
      <c r="E1449" s="1" t="s">
        <v>21</v>
      </c>
      <c r="F1449" s="1" t="s">
        <v>52</v>
      </c>
      <c r="G1449" s="2">
        <v>45668</v>
      </c>
      <c r="H1449" s="2">
        <v>45676</v>
      </c>
      <c r="I1449" s="1" t="s">
        <v>32</v>
      </c>
      <c r="J1449">
        <v>2</v>
      </c>
      <c r="K1449">
        <v>8</v>
      </c>
      <c r="L1449">
        <v>10</v>
      </c>
      <c r="M1449" s="1" t="s">
        <v>24</v>
      </c>
      <c r="N1449" s="2">
        <v>45658</v>
      </c>
      <c r="O1449">
        <v>2025</v>
      </c>
      <c r="P1449">
        <v>1</v>
      </c>
      <c r="Q1449" s="1" t="s">
        <v>24</v>
      </c>
    </row>
    <row r="1450" spans="1:17" x14ac:dyDescent="0.3">
      <c r="A1450" s="1" t="s">
        <v>1515</v>
      </c>
      <c r="B1450" s="1" t="s">
        <v>26</v>
      </c>
      <c r="C1450" s="1" t="s">
        <v>67</v>
      </c>
      <c r="D1450" s="1" t="s">
        <v>51</v>
      </c>
      <c r="E1450" s="1" t="s">
        <v>21</v>
      </c>
      <c r="F1450" s="1" t="s">
        <v>61</v>
      </c>
      <c r="G1450" s="2">
        <v>45843</v>
      </c>
      <c r="H1450" s="2">
        <v>45853</v>
      </c>
      <c r="I1450" s="1" t="s">
        <v>82</v>
      </c>
      <c r="J1450">
        <v>3</v>
      </c>
      <c r="K1450">
        <v>10</v>
      </c>
      <c r="L1450">
        <v>10</v>
      </c>
      <c r="M1450" s="1" t="s">
        <v>24</v>
      </c>
      <c r="N1450" s="2">
        <v>45839</v>
      </c>
      <c r="O1450">
        <v>2025</v>
      </c>
      <c r="P1450">
        <v>3</v>
      </c>
      <c r="Q1450" s="1" t="s">
        <v>24</v>
      </c>
    </row>
    <row r="1451" spans="1:17" x14ac:dyDescent="0.3">
      <c r="A1451" s="1" t="s">
        <v>1516</v>
      </c>
      <c r="B1451" s="1" t="s">
        <v>58</v>
      </c>
      <c r="C1451" s="1" t="s">
        <v>108</v>
      </c>
      <c r="D1451" s="1" t="s">
        <v>51</v>
      </c>
      <c r="E1451" s="1" t="s">
        <v>21</v>
      </c>
      <c r="F1451" s="1" t="s">
        <v>22</v>
      </c>
      <c r="G1451" s="2">
        <v>45849</v>
      </c>
      <c r="H1451" s="2">
        <v>45856</v>
      </c>
      <c r="I1451" s="1" t="s">
        <v>28</v>
      </c>
      <c r="J1451">
        <v>4</v>
      </c>
      <c r="K1451">
        <v>7</v>
      </c>
      <c r="L1451">
        <v>10</v>
      </c>
      <c r="M1451" s="1" t="s">
        <v>24</v>
      </c>
      <c r="N1451" s="2">
        <v>45839</v>
      </c>
      <c r="O1451">
        <v>2025</v>
      </c>
      <c r="P1451">
        <v>3</v>
      </c>
      <c r="Q1451" s="1" t="s">
        <v>24</v>
      </c>
    </row>
    <row r="1452" spans="1:17" x14ac:dyDescent="0.3">
      <c r="A1452" s="1" t="s">
        <v>1517</v>
      </c>
      <c r="B1452" s="1" t="s">
        <v>42</v>
      </c>
      <c r="C1452" s="1" t="s">
        <v>81</v>
      </c>
      <c r="D1452" s="1" t="s">
        <v>44</v>
      </c>
      <c r="E1452" s="1" t="s">
        <v>37</v>
      </c>
      <c r="F1452" s="1" t="s">
        <v>38</v>
      </c>
      <c r="G1452" s="2">
        <v>45927</v>
      </c>
      <c r="H1452" s="2"/>
      <c r="I1452" s="1" t="s">
        <v>82</v>
      </c>
      <c r="L1452">
        <v>7</v>
      </c>
      <c r="M1452" s="1" t="s">
        <v>40</v>
      </c>
      <c r="N1452" s="2">
        <v>45901</v>
      </c>
      <c r="O1452">
        <v>2025</v>
      </c>
      <c r="P1452">
        <v>3</v>
      </c>
      <c r="Q1452" s="1" t="s">
        <v>33</v>
      </c>
    </row>
    <row r="1453" spans="1:17" x14ac:dyDescent="0.3">
      <c r="A1453" s="1" t="s">
        <v>1518</v>
      </c>
      <c r="B1453" s="1" t="s">
        <v>58</v>
      </c>
      <c r="C1453" s="1" t="s">
        <v>145</v>
      </c>
      <c r="D1453" s="1" t="s">
        <v>20</v>
      </c>
      <c r="E1453" s="1" t="s">
        <v>21</v>
      </c>
      <c r="F1453" s="1" t="s">
        <v>61</v>
      </c>
      <c r="G1453" s="2">
        <v>45670</v>
      </c>
      <c r="H1453" s="2">
        <v>45676</v>
      </c>
      <c r="I1453" s="1" t="s">
        <v>23</v>
      </c>
      <c r="J1453">
        <v>4</v>
      </c>
      <c r="K1453">
        <v>6</v>
      </c>
      <c r="L1453">
        <v>14</v>
      </c>
      <c r="M1453" s="1" t="s">
        <v>24</v>
      </c>
      <c r="N1453" s="2">
        <v>45658</v>
      </c>
      <c r="O1453">
        <v>2025</v>
      </c>
      <c r="P1453">
        <v>1</v>
      </c>
      <c r="Q1453" s="1" t="s">
        <v>24</v>
      </c>
    </row>
    <row r="1454" spans="1:17" x14ac:dyDescent="0.3">
      <c r="A1454" s="1" t="s">
        <v>1519</v>
      </c>
      <c r="B1454" s="1" t="s">
        <v>35</v>
      </c>
      <c r="C1454" s="1" t="s">
        <v>99</v>
      </c>
      <c r="D1454" s="1" t="s">
        <v>44</v>
      </c>
      <c r="E1454" s="1" t="s">
        <v>21</v>
      </c>
      <c r="F1454" s="1" t="s">
        <v>52</v>
      </c>
      <c r="G1454" s="2">
        <v>45863</v>
      </c>
      <c r="H1454" s="2">
        <v>45865</v>
      </c>
      <c r="I1454" s="1" t="s">
        <v>23</v>
      </c>
      <c r="J1454">
        <v>5</v>
      </c>
      <c r="K1454">
        <v>2</v>
      </c>
      <c r="L1454">
        <v>7</v>
      </c>
      <c r="M1454" s="1" t="s">
        <v>24</v>
      </c>
      <c r="N1454" s="2">
        <v>45839</v>
      </c>
      <c r="O1454">
        <v>2025</v>
      </c>
      <c r="P1454">
        <v>3</v>
      </c>
      <c r="Q1454" s="1" t="s">
        <v>24</v>
      </c>
    </row>
    <row r="1455" spans="1:17" x14ac:dyDescent="0.3">
      <c r="A1455" s="1" t="s">
        <v>1520</v>
      </c>
      <c r="B1455" s="1" t="s">
        <v>42</v>
      </c>
      <c r="C1455" s="1" t="s">
        <v>81</v>
      </c>
      <c r="D1455" s="1" t="s">
        <v>51</v>
      </c>
      <c r="E1455" s="1" t="s">
        <v>21</v>
      </c>
      <c r="F1455" s="1" t="s">
        <v>22</v>
      </c>
      <c r="G1455" s="2">
        <v>45870</v>
      </c>
      <c r="H1455" s="2">
        <v>45872</v>
      </c>
      <c r="I1455" s="1" t="s">
        <v>82</v>
      </c>
      <c r="J1455">
        <v>1</v>
      </c>
      <c r="K1455">
        <v>2</v>
      </c>
      <c r="L1455">
        <v>10</v>
      </c>
      <c r="M1455" s="1" t="s">
        <v>24</v>
      </c>
      <c r="N1455" s="2">
        <v>45870</v>
      </c>
      <c r="O1455">
        <v>2025</v>
      </c>
      <c r="P1455">
        <v>3</v>
      </c>
      <c r="Q1455" s="1" t="s">
        <v>24</v>
      </c>
    </row>
    <row r="1456" spans="1:17" x14ac:dyDescent="0.3">
      <c r="A1456" s="1" t="s">
        <v>1521</v>
      </c>
      <c r="B1456" s="1" t="s">
        <v>63</v>
      </c>
      <c r="C1456" s="1" t="s">
        <v>74</v>
      </c>
      <c r="D1456" s="1" t="s">
        <v>44</v>
      </c>
      <c r="E1456" s="1" t="s">
        <v>37</v>
      </c>
      <c r="F1456" s="1" t="s">
        <v>22</v>
      </c>
      <c r="G1456" s="2">
        <v>45757</v>
      </c>
      <c r="H1456" s="2"/>
      <c r="I1456" s="1" t="s">
        <v>32</v>
      </c>
      <c r="L1456">
        <v>7</v>
      </c>
      <c r="M1456" s="1" t="s">
        <v>40</v>
      </c>
      <c r="N1456" s="2">
        <v>45748</v>
      </c>
      <c r="O1456">
        <v>2025</v>
      </c>
      <c r="P1456">
        <v>2</v>
      </c>
      <c r="Q1456" s="1" t="s">
        <v>33</v>
      </c>
    </row>
    <row r="1457" spans="1:17" x14ac:dyDescent="0.3">
      <c r="A1457" s="1" t="s">
        <v>1522</v>
      </c>
      <c r="B1457" s="1" t="s">
        <v>35</v>
      </c>
      <c r="C1457" s="1" t="s">
        <v>50</v>
      </c>
      <c r="D1457" s="1" t="s">
        <v>51</v>
      </c>
      <c r="E1457" s="1" t="s">
        <v>21</v>
      </c>
      <c r="F1457" s="1" t="s">
        <v>52</v>
      </c>
      <c r="G1457" s="2">
        <v>45798</v>
      </c>
      <c r="H1457" s="2">
        <v>45807</v>
      </c>
      <c r="I1457" s="1" t="s">
        <v>82</v>
      </c>
      <c r="J1457">
        <v>3</v>
      </c>
      <c r="K1457">
        <v>9</v>
      </c>
      <c r="L1457">
        <v>10</v>
      </c>
      <c r="M1457" s="1" t="s">
        <v>24</v>
      </c>
      <c r="N1457" s="2">
        <v>45778</v>
      </c>
      <c r="O1457">
        <v>2025</v>
      </c>
      <c r="P1457">
        <v>2</v>
      </c>
      <c r="Q1457" s="1" t="s">
        <v>24</v>
      </c>
    </row>
    <row r="1458" spans="1:17" x14ac:dyDescent="0.3">
      <c r="A1458" s="1" t="s">
        <v>1523</v>
      </c>
      <c r="B1458" s="1" t="s">
        <v>58</v>
      </c>
      <c r="C1458" s="1" t="s">
        <v>145</v>
      </c>
      <c r="D1458" s="1" t="s">
        <v>51</v>
      </c>
      <c r="E1458" s="1" t="s">
        <v>21</v>
      </c>
      <c r="F1458" s="1" t="s">
        <v>52</v>
      </c>
      <c r="G1458" s="2">
        <v>45866</v>
      </c>
      <c r="H1458" s="2">
        <v>45876</v>
      </c>
      <c r="I1458" s="1" t="s">
        <v>82</v>
      </c>
      <c r="J1458">
        <v>3</v>
      </c>
      <c r="K1458">
        <v>10</v>
      </c>
      <c r="L1458">
        <v>10</v>
      </c>
      <c r="M1458" s="1" t="s">
        <v>24</v>
      </c>
      <c r="N1458" s="2">
        <v>45839</v>
      </c>
      <c r="O1458">
        <v>2025</v>
      </c>
      <c r="P1458">
        <v>3</v>
      </c>
      <c r="Q1458" s="1" t="s">
        <v>24</v>
      </c>
    </row>
    <row r="1459" spans="1:17" x14ac:dyDescent="0.3">
      <c r="A1459" s="1" t="s">
        <v>1524</v>
      </c>
      <c r="B1459" s="1" t="s">
        <v>26</v>
      </c>
      <c r="C1459" s="1" t="s">
        <v>54</v>
      </c>
      <c r="D1459" s="1" t="s">
        <v>51</v>
      </c>
      <c r="E1459" s="1" t="s">
        <v>48</v>
      </c>
      <c r="F1459" s="1" t="s">
        <v>52</v>
      </c>
      <c r="G1459" s="2">
        <v>45859</v>
      </c>
      <c r="H1459" s="2"/>
      <c r="I1459" s="1" t="s">
        <v>82</v>
      </c>
      <c r="L1459">
        <v>10</v>
      </c>
      <c r="M1459" s="1" t="s">
        <v>40</v>
      </c>
      <c r="N1459" s="2">
        <v>45839</v>
      </c>
      <c r="O1459">
        <v>2025</v>
      </c>
      <c r="P1459">
        <v>3</v>
      </c>
      <c r="Q1459" s="1" t="s">
        <v>33</v>
      </c>
    </row>
    <row r="1460" spans="1:17" x14ac:dyDescent="0.3">
      <c r="A1460" s="1" t="s">
        <v>1525</v>
      </c>
      <c r="B1460" s="1" t="s">
        <v>18</v>
      </c>
      <c r="C1460" s="1" t="s">
        <v>19</v>
      </c>
      <c r="D1460" s="1" t="s">
        <v>51</v>
      </c>
      <c r="E1460" s="1" t="s">
        <v>21</v>
      </c>
      <c r="F1460" s="1" t="s">
        <v>31</v>
      </c>
      <c r="G1460" s="2">
        <v>45670</v>
      </c>
      <c r="H1460" s="2">
        <v>45678</v>
      </c>
      <c r="I1460" s="1" t="s">
        <v>32</v>
      </c>
      <c r="J1460">
        <v>5</v>
      </c>
      <c r="K1460">
        <v>8</v>
      </c>
      <c r="L1460">
        <v>10</v>
      </c>
      <c r="M1460" s="1" t="s">
        <v>24</v>
      </c>
      <c r="N1460" s="2">
        <v>45658</v>
      </c>
      <c r="O1460">
        <v>2025</v>
      </c>
      <c r="P1460">
        <v>1</v>
      </c>
      <c r="Q1460" s="1" t="s">
        <v>24</v>
      </c>
    </row>
    <row r="1461" spans="1:17" x14ac:dyDescent="0.3">
      <c r="A1461" s="1" t="s">
        <v>1526</v>
      </c>
      <c r="B1461" s="1" t="s">
        <v>58</v>
      </c>
      <c r="C1461" s="1" t="s">
        <v>70</v>
      </c>
      <c r="D1461" s="1" t="s">
        <v>51</v>
      </c>
      <c r="E1461" s="1" t="s">
        <v>21</v>
      </c>
      <c r="F1461" s="1" t="s">
        <v>61</v>
      </c>
      <c r="G1461" s="2">
        <v>45980</v>
      </c>
      <c r="H1461" s="2">
        <v>45983</v>
      </c>
      <c r="I1461" s="1" t="s">
        <v>28</v>
      </c>
      <c r="J1461">
        <v>2</v>
      </c>
      <c r="K1461">
        <v>3</v>
      </c>
      <c r="L1461">
        <v>10</v>
      </c>
      <c r="M1461" s="1" t="s">
        <v>24</v>
      </c>
      <c r="N1461" s="2">
        <v>45962</v>
      </c>
      <c r="O1461">
        <v>2025</v>
      </c>
      <c r="P1461">
        <v>4</v>
      </c>
      <c r="Q1461" s="1" t="s">
        <v>24</v>
      </c>
    </row>
    <row r="1462" spans="1:17" x14ac:dyDescent="0.3">
      <c r="A1462" s="1" t="s">
        <v>1527</v>
      </c>
      <c r="B1462" s="1" t="s">
        <v>58</v>
      </c>
      <c r="C1462" s="1" t="s">
        <v>108</v>
      </c>
      <c r="D1462" s="1" t="s">
        <v>20</v>
      </c>
      <c r="E1462" s="1" t="s">
        <v>21</v>
      </c>
      <c r="F1462" s="1" t="s">
        <v>22</v>
      </c>
      <c r="G1462" s="2">
        <v>45900</v>
      </c>
      <c r="H1462" s="2">
        <v>45911</v>
      </c>
      <c r="I1462" s="1" t="s">
        <v>28</v>
      </c>
      <c r="J1462">
        <v>5</v>
      </c>
      <c r="K1462">
        <v>11</v>
      </c>
      <c r="L1462">
        <v>14</v>
      </c>
      <c r="M1462" s="1" t="s">
        <v>24</v>
      </c>
      <c r="N1462" s="2">
        <v>45870</v>
      </c>
      <c r="O1462">
        <v>2025</v>
      </c>
      <c r="P1462">
        <v>3</v>
      </c>
      <c r="Q1462" s="1" t="s">
        <v>24</v>
      </c>
    </row>
    <row r="1463" spans="1:17" x14ac:dyDescent="0.3">
      <c r="A1463" s="1" t="s">
        <v>1528</v>
      </c>
      <c r="B1463" s="1" t="s">
        <v>42</v>
      </c>
      <c r="C1463" s="1" t="s">
        <v>87</v>
      </c>
      <c r="D1463" s="1" t="s">
        <v>51</v>
      </c>
      <c r="E1463" s="1" t="s">
        <v>21</v>
      </c>
      <c r="F1463" s="1" t="s">
        <v>22</v>
      </c>
      <c r="G1463" s="2">
        <v>45830</v>
      </c>
      <c r="H1463" s="2">
        <v>45834</v>
      </c>
      <c r="I1463" s="1" t="s">
        <v>82</v>
      </c>
      <c r="J1463">
        <v>1</v>
      </c>
      <c r="K1463">
        <v>4</v>
      </c>
      <c r="L1463">
        <v>10</v>
      </c>
      <c r="M1463" s="1" t="s">
        <v>24</v>
      </c>
      <c r="N1463" s="2">
        <v>45809</v>
      </c>
      <c r="O1463">
        <v>2025</v>
      </c>
      <c r="P1463">
        <v>2</v>
      </c>
      <c r="Q1463" s="1" t="s">
        <v>24</v>
      </c>
    </row>
    <row r="1464" spans="1:17" x14ac:dyDescent="0.3">
      <c r="A1464" s="1" t="s">
        <v>1529</v>
      </c>
      <c r="B1464" s="1" t="s">
        <v>58</v>
      </c>
      <c r="C1464" s="1" t="s">
        <v>70</v>
      </c>
      <c r="D1464" s="1" t="s">
        <v>51</v>
      </c>
      <c r="E1464" s="1" t="s">
        <v>21</v>
      </c>
      <c r="F1464" s="1" t="s">
        <v>52</v>
      </c>
      <c r="G1464" s="2">
        <v>45945</v>
      </c>
      <c r="H1464" s="2">
        <v>45954</v>
      </c>
      <c r="I1464" s="1" t="s">
        <v>28</v>
      </c>
      <c r="J1464">
        <v>4</v>
      </c>
      <c r="K1464">
        <v>9</v>
      </c>
      <c r="L1464">
        <v>10</v>
      </c>
      <c r="M1464" s="1" t="s">
        <v>24</v>
      </c>
      <c r="N1464" s="2">
        <v>45931</v>
      </c>
      <c r="O1464">
        <v>2025</v>
      </c>
      <c r="P1464">
        <v>4</v>
      </c>
      <c r="Q1464" s="1" t="s">
        <v>24</v>
      </c>
    </row>
    <row r="1465" spans="1:17" x14ac:dyDescent="0.3">
      <c r="A1465" s="1" t="s">
        <v>1530</v>
      </c>
      <c r="B1465" s="1" t="s">
        <v>35</v>
      </c>
      <c r="C1465" s="1" t="s">
        <v>50</v>
      </c>
      <c r="D1465" s="1" t="s">
        <v>44</v>
      </c>
      <c r="E1465" s="1" t="s">
        <v>21</v>
      </c>
      <c r="F1465" s="1" t="s">
        <v>38</v>
      </c>
      <c r="G1465" s="2">
        <v>45699</v>
      </c>
      <c r="H1465" s="2">
        <v>45700</v>
      </c>
      <c r="I1465" s="1" t="s">
        <v>39</v>
      </c>
      <c r="J1465">
        <v>4</v>
      </c>
      <c r="K1465">
        <v>1</v>
      </c>
      <c r="L1465">
        <v>7</v>
      </c>
      <c r="M1465" s="1" t="s">
        <v>24</v>
      </c>
      <c r="N1465" s="2">
        <v>45689</v>
      </c>
      <c r="O1465">
        <v>2025</v>
      </c>
      <c r="P1465">
        <v>1</v>
      </c>
      <c r="Q1465" s="1" t="s">
        <v>24</v>
      </c>
    </row>
    <row r="1466" spans="1:17" x14ac:dyDescent="0.3">
      <c r="A1466" s="1" t="s">
        <v>1531</v>
      </c>
      <c r="B1466" s="1" t="s">
        <v>63</v>
      </c>
      <c r="C1466" s="1" t="s">
        <v>74</v>
      </c>
      <c r="D1466" s="1" t="s">
        <v>20</v>
      </c>
      <c r="E1466" s="1" t="s">
        <v>37</v>
      </c>
      <c r="F1466" s="1" t="s">
        <v>61</v>
      </c>
      <c r="G1466" s="2">
        <v>45743</v>
      </c>
      <c r="H1466" s="2"/>
      <c r="I1466" s="1" t="s">
        <v>39</v>
      </c>
      <c r="L1466">
        <v>14</v>
      </c>
      <c r="M1466" s="1" t="s">
        <v>40</v>
      </c>
      <c r="N1466" s="2">
        <v>45717</v>
      </c>
      <c r="O1466">
        <v>2025</v>
      </c>
      <c r="P1466">
        <v>1</v>
      </c>
      <c r="Q1466" s="1" t="s">
        <v>33</v>
      </c>
    </row>
    <row r="1467" spans="1:17" x14ac:dyDescent="0.3">
      <c r="A1467" s="1" t="s">
        <v>1532</v>
      </c>
      <c r="B1467" s="1" t="s">
        <v>42</v>
      </c>
      <c r="C1467" s="1" t="s">
        <v>81</v>
      </c>
      <c r="D1467" s="1" t="s">
        <v>44</v>
      </c>
      <c r="E1467" s="1" t="s">
        <v>21</v>
      </c>
      <c r="F1467" s="1" t="s">
        <v>61</v>
      </c>
      <c r="G1467" s="2">
        <v>45978</v>
      </c>
      <c r="H1467" s="2">
        <v>45985</v>
      </c>
      <c r="I1467" s="1" t="s">
        <v>82</v>
      </c>
      <c r="J1467">
        <v>4</v>
      </c>
      <c r="K1467">
        <v>7</v>
      </c>
      <c r="L1467">
        <v>7</v>
      </c>
      <c r="M1467" s="1" t="s">
        <v>24</v>
      </c>
      <c r="N1467" s="2">
        <v>45962</v>
      </c>
      <c r="O1467">
        <v>2025</v>
      </c>
      <c r="P1467">
        <v>4</v>
      </c>
      <c r="Q1467" s="1" t="s">
        <v>24</v>
      </c>
    </row>
    <row r="1468" spans="1:17" x14ac:dyDescent="0.3">
      <c r="A1468" s="1" t="s">
        <v>1533</v>
      </c>
      <c r="B1468" s="1" t="s">
        <v>58</v>
      </c>
      <c r="C1468" s="1" t="s">
        <v>145</v>
      </c>
      <c r="D1468" s="1" t="s">
        <v>20</v>
      </c>
      <c r="E1468" s="1" t="s">
        <v>21</v>
      </c>
      <c r="F1468" s="1" t="s">
        <v>52</v>
      </c>
      <c r="G1468" s="2">
        <v>45808</v>
      </c>
      <c r="H1468" s="2">
        <v>45822</v>
      </c>
      <c r="I1468" s="1" t="s">
        <v>82</v>
      </c>
      <c r="J1468">
        <v>5</v>
      </c>
      <c r="K1468">
        <v>14</v>
      </c>
      <c r="L1468">
        <v>14</v>
      </c>
      <c r="M1468" s="1" t="s">
        <v>24</v>
      </c>
      <c r="N1468" s="2">
        <v>45778</v>
      </c>
      <c r="O1468">
        <v>2025</v>
      </c>
      <c r="P1468">
        <v>2</v>
      </c>
      <c r="Q1468" s="1" t="s">
        <v>24</v>
      </c>
    </row>
    <row r="1469" spans="1:17" x14ac:dyDescent="0.3">
      <c r="A1469" s="1" t="s">
        <v>1534</v>
      </c>
      <c r="B1469" s="1" t="s">
        <v>35</v>
      </c>
      <c r="C1469" s="1" t="s">
        <v>97</v>
      </c>
      <c r="D1469" s="1" t="s">
        <v>51</v>
      </c>
      <c r="E1469" s="1" t="s">
        <v>21</v>
      </c>
      <c r="F1469" s="1" t="s">
        <v>22</v>
      </c>
      <c r="G1469" s="2">
        <v>45806</v>
      </c>
      <c r="H1469" s="2">
        <v>45816</v>
      </c>
      <c r="I1469" s="1" t="s">
        <v>32</v>
      </c>
      <c r="J1469">
        <v>5</v>
      </c>
      <c r="K1469">
        <v>10</v>
      </c>
      <c r="L1469">
        <v>10</v>
      </c>
      <c r="M1469" s="1" t="s">
        <v>24</v>
      </c>
      <c r="N1469" s="2">
        <v>45778</v>
      </c>
      <c r="O1469">
        <v>2025</v>
      </c>
      <c r="P1469">
        <v>2</v>
      </c>
      <c r="Q1469" s="1" t="s">
        <v>24</v>
      </c>
    </row>
    <row r="1470" spans="1:17" x14ac:dyDescent="0.3">
      <c r="A1470" s="1" t="s">
        <v>1535</v>
      </c>
      <c r="B1470" s="1" t="s">
        <v>26</v>
      </c>
      <c r="C1470" s="1" t="s">
        <v>123</v>
      </c>
      <c r="D1470" s="1" t="s">
        <v>51</v>
      </c>
      <c r="E1470" s="1" t="s">
        <v>21</v>
      </c>
      <c r="F1470" s="1" t="s">
        <v>31</v>
      </c>
      <c r="G1470" s="2">
        <v>45827</v>
      </c>
      <c r="H1470" s="2">
        <v>45831</v>
      </c>
      <c r="I1470" s="1" t="s">
        <v>23</v>
      </c>
      <c r="J1470">
        <v>3</v>
      </c>
      <c r="K1470">
        <v>4</v>
      </c>
      <c r="L1470">
        <v>10</v>
      </c>
      <c r="M1470" s="1" t="s">
        <v>24</v>
      </c>
      <c r="N1470" s="2">
        <v>45809</v>
      </c>
      <c r="O1470">
        <v>2025</v>
      </c>
      <c r="P1470">
        <v>2</v>
      </c>
      <c r="Q1470" s="1" t="s">
        <v>24</v>
      </c>
    </row>
    <row r="1471" spans="1:17" x14ac:dyDescent="0.3">
      <c r="A1471" s="1" t="s">
        <v>1536</v>
      </c>
      <c r="B1471" s="1" t="s">
        <v>35</v>
      </c>
      <c r="C1471" s="1" t="s">
        <v>50</v>
      </c>
      <c r="D1471" s="1" t="s">
        <v>20</v>
      </c>
      <c r="E1471" s="1" t="s">
        <v>21</v>
      </c>
      <c r="F1471" s="1" t="s">
        <v>61</v>
      </c>
      <c r="G1471" s="2">
        <v>45660</v>
      </c>
      <c r="H1471" s="2">
        <v>45667</v>
      </c>
      <c r="I1471" s="1" t="s">
        <v>23</v>
      </c>
      <c r="J1471">
        <v>5</v>
      </c>
      <c r="K1471">
        <v>7</v>
      </c>
      <c r="L1471">
        <v>14</v>
      </c>
      <c r="M1471" s="1" t="s">
        <v>24</v>
      </c>
      <c r="N1471" s="2">
        <v>45658</v>
      </c>
      <c r="O1471">
        <v>2025</v>
      </c>
      <c r="P1471">
        <v>1</v>
      </c>
      <c r="Q1471" s="1" t="s">
        <v>24</v>
      </c>
    </row>
    <row r="1472" spans="1:17" x14ac:dyDescent="0.3">
      <c r="A1472" s="1" t="s">
        <v>1537</v>
      </c>
      <c r="B1472" s="1" t="s">
        <v>26</v>
      </c>
      <c r="C1472" s="1" t="s">
        <v>27</v>
      </c>
      <c r="D1472" s="1" t="s">
        <v>51</v>
      </c>
      <c r="E1472" s="1" t="s">
        <v>21</v>
      </c>
      <c r="F1472" s="1" t="s">
        <v>22</v>
      </c>
      <c r="G1472" s="2">
        <v>45897</v>
      </c>
      <c r="H1472" s="2">
        <v>45901</v>
      </c>
      <c r="I1472" s="1" t="s">
        <v>28</v>
      </c>
      <c r="J1472">
        <v>2</v>
      </c>
      <c r="K1472">
        <v>4</v>
      </c>
      <c r="L1472">
        <v>10</v>
      </c>
      <c r="M1472" s="1" t="s">
        <v>24</v>
      </c>
      <c r="N1472" s="2">
        <v>45870</v>
      </c>
      <c r="O1472">
        <v>2025</v>
      </c>
      <c r="P1472">
        <v>3</v>
      </c>
      <c r="Q1472" s="1" t="s">
        <v>24</v>
      </c>
    </row>
    <row r="1473" spans="1:17" x14ac:dyDescent="0.3">
      <c r="A1473" s="1" t="s">
        <v>1538</v>
      </c>
      <c r="B1473" s="1" t="s">
        <v>35</v>
      </c>
      <c r="C1473" s="1" t="s">
        <v>99</v>
      </c>
      <c r="D1473" s="1" t="s">
        <v>44</v>
      </c>
      <c r="E1473" s="1" t="s">
        <v>21</v>
      </c>
      <c r="F1473" s="1" t="s">
        <v>52</v>
      </c>
      <c r="G1473" s="2">
        <v>45876</v>
      </c>
      <c r="H1473" s="2">
        <v>45881</v>
      </c>
      <c r="I1473" s="1" t="s">
        <v>82</v>
      </c>
      <c r="J1473">
        <v>5</v>
      </c>
      <c r="K1473">
        <v>5</v>
      </c>
      <c r="L1473">
        <v>7</v>
      </c>
      <c r="M1473" s="1" t="s">
        <v>24</v>
      </c>
      <c r="N1473" s="2">
        <v>45870</v>
      </c>
      <c r="O1473">
        <v>2025</v>
      </c>
      <c r="P1473">
        <v>3</v>
      </c>
      <c r="Q1473" s="1" t="s">
        <v>24</v>
      </c>
    </row>
    <row r="1474" spans="1:17" x14ac:dyDescent="0.3">
      <c r="A1474" s="1" t="s">
        <v>1539</v>
      </c>
      <c r="B1474" s="1" t="s">
        <v>58</v>
      </c>
      <c r="C1474" s="1" t="s">
        <v>59</v>
      </c>
      <c r="D1474" s="1" t="s">
        <v>51</v>
      </c>
      <c r="E1474" s="1" t="s">
        <v>21</v>
      </c>
      <c r="F1474" s="1" t="s">
        <v>38</v>
      </c>
      <c r="G1474" s="2">
        <v>45761</v>
      </c>
      <c r="H1474" s="2">
        <v>45764</v>
      </c>
      <c r="I1474" s="1" t="s">
        <v>28</v>
      </c>
      <c r="J1474">
        <v>4</v>
      </c>
      <c r="K1474">
        <v>3</v>
      </c>
      <c r="L1474">
        <v>10</v>
      </c>
      <c r="M1474" s="1" t="s">
        <v>24</v>
      </c>
      <c r="N1474" s="2">
        <v>45748</v>
      </c>
      <c r="O1474">
        <v>2025</v>
      </c>
      <c r="P1474">
        <v>2</v>
      </c>
      <c r="Q1474" s="1" t="s">
        <v>24</v>
      </c>
    </row>
    <row r="1475" spans="1:17" x14ac:dyDescent="0.3">
      <c r="A1475" s="1" t="s">
        <v>1540</v>
      </c>
      <c r="B1475" s="1" t="s">
        <v>35</v>
      </c>
      <c r="C1475" s="1" t="s">
        <v>36</v>
      </c>
      <c r="D1475" s="1" t="s">
        <v>51</v>
      </c>
      <c r="E1475" s="1" t="s">
        <v>21</v>
      </c>
      <c r="F1475" s="1" t="s">
        <v>22</v>
      </c>
      <c r="G1475" s="2">
        <v>45925</v>
      </c>
      <c r="H1475" s="2">
        <v>45933</v>
      </c>
      <c r="I1475" s="1" t="s">
        <v>82</v>
      </c>
      <c r="J1475">
        <v>4</v>
      </c>
      <c r="K1475">
        <v>8</v>
      </c>
      <c r="L1475">
        <v>10</v>
      </c>
      <c r="M1475" s="1" t="s">
        <v>24</v>
      </c>
      <c r="N1475" s="2">
        <v>45901</v>
      </c>
      <c r="O1475">
        <v>2025</v>
      </c>
      <c r="P1475">
        <v>3</v>
      </c>
      <c r="Q1475" s="1" t="s">
        <v>24</v>
      </c>
    </row>
    <row r="1476" spans="1:17" x14ac:dyDescent="0.3">
      <c r="A1476" s="1" t="s">
        <v>1541</v>
      </c>
      <c r="B1476" s="1" t="s">
        <v>35</v>
      </c>
      <c r="C1476" s="1" t="s">
        <v>50</v>
      </c>
      <c r="D1476" s="1" t="s">
        <v>20</v>
      </c>
      <c r="E1476" s="1" t="s">
        <v>21</v>
      </c>
      <c r="F1476" s="1" t="s">
        <v>22</v>
      </c>
      <c r="G1476" s="2">
        <v>45776</v>
      </c>
      <c r="H1476" s="2">
        <v>45782</v>
      </c>
      <c r="I1476" s="1" t="s">
        <v>28</v>
      </c>
      <c r="J1476">
        <v>2</v>
      </c>
      <c r="K1476">
        <v>6</v>
      </c>
      <c r="L1476">
        <v>14</v>
      </c>
      <c r="M1476" s="1" t="s">
        <v>24</v>
      </c>
      <c r="N1476" s="2">
        <v>45748</v>
      </c>
      <c r="O1476">
        <v>2025</v>
      </c>
      <c r="P1476">
        <v>2</v>
      </c>
      <c r="Q1476" s="1" t="s">
        <v>24</v>
      </c>
    </row>
    <row r="1477" spans="1:17" x14ac:dyDescent="0.3">
      <c r="A1477" s="1" t="s">
        <v>1542</v>
      </c>
      <c r="B1477" s="1" t="s">
        <v>63</v>
      </c>
      <c r="C1477" s="1" t="s">
        <v>64</v>
      </c>
      <c r="D1477" s="1" t="s">
        <v>51</v>
      </c>
      <c r="E1477" s="1" t="s">
        <v>21</v>
      </c>
      <c r="F1477" s="1" t="s">
        <v>31</v>
      </c>
      <c r="G1477" s="2">
        <v>45697</v>
      </c>
      <c r="H1477" s="2">
        <v>45699</v>
      </c>
      <c r="I1477" s="1" t="s">
        <v>39</v>
      </c>
      <c r="J1477">
        <v>3</v>
      </c>
      <c r="K1477">
        <v>2</v>
      </c>
      <c r="L1477">
        <v>10</v>
      </c>
      <c r="M1477" s="1" t="s">
        <v>24</v>
      </c>
      <c r="N1477" s="2">
        <v>45689</v>
      </c>
      <c r="O1477">
        <v>2025</v>
      </c>
      <c r="P1477">
        <v>1</v>
      </c>
      <c r="Q1477" s="1" t="s">
        <v>24</v>
      </c>
    </row>
    <row r="1478" spans="1:17" x14ac:dyDescent="0.3">
      <c r="A1478" s="1" t="s">
        <v>1543</v>
      </c>
      <c r="B1478" s="1" t="s">
        <v>18</v>
      </c>
      <c r="C1478" s="1" t="s">
        <v>30</v>
      </c>
      <c r="D1478" s="1" t="s">
        <v>51</v>
      </c>
      <c r="E1478" s="1" t="s">
        <v>21</v>
      </c>
      <c r="F1478" s="1" t="s">
        <v>31</v>
      </c>
      <c r="G1478" s="2">
        <v>45718</v>
      </c>
      <c r="H1478" s="2">
        <v>45723</v>
      </c>
      <c r="I1478" s="1" t="s">
        <v>39</v>
      </c>
      <c r="J1478">
        <v>4</v>
      </c>
      <c r="K1478">
        <v>5</v>
      </c>
      <c r="L1478">
        <v>10</v>
      </c>
      <c r="M1478" s="1" t="s">
        <v>24</v>
      </c>
      <c r="N1478" s="2">
        <v>45717</v>
      </c>
      <c r="O1478">
        <v>2025</v>
      </c>
      <c r="P1478">
        <v>1</v>
      </c>
      <c r="Q1478" s="1" t="s">
        <v>24</v>
      </c>
    </row>
    <row r="1479" spans="1:17" x14ac:dyDescent="0.3">
      <c r="A1479" s="1" t="s">
        <v>1544</v>
      </c>
      <c r="B1479" s="1" t="s">
        <v>18</v>
      </c>
      <c r="C1479" s="1" t="s">
        <v>30</v>
      </c>
      <c r="D1479" s="1" t="s">
        <v>51</v>
      </c>
      <c r="E1479" s="1" t="s">
        <v>37</v>
      </c>
      <c r="F1479" s="1" t="s">
        <v>22</v>
      </c>
      <c r="G1479" s="2">
        <v>45820</v>
      </c>
      <c r="H1479" s="2"/>
      <c r="I1479" s="1" t="s">
        <v>23</v>
      </c>
      <c r="L1479">
        <v>10</v>
      </c>
      <c r="M1479" s="1" t="s">
        <v>40</v>
      </c>
      <c r="N1479" s="2">
        <v>45809</v>
      </c>
      <c r="O1479">
        <v>2025</v>
      </c>
      <c r="P1479">
        <v>2</v>
      </c>
      <c r="Q1479" s="1" t="s">
        <v>33</v>
      </c>
    </row>
    <row r="1480" spans="1:17" x14ac:dyDescent="0.3">
      <c r="A1480" s="1" t="s">
        <v>1545</v>
      </c>
      <c r="B1480" s="1" t="s">
        <v>26</v>
      </c>
      <c r="C1480" s="1" t="s">
        <v>54</v>
      </c>
      <c r="D1480" s="1" t="s">
        <v>71</v>
      </c>
      <c r="E1480" s="1" t="s">
        <v>48</v>
      </c>
      <c r="F1480" s="1" t="s">
        <v>61</v>
      </c>
      <c r="G1480" s="2">
        <v>45800</v>
      </c>
      <c r="H1480" s="2"/>
      <c r="I1480" s="1" t="s">
        <v>39</v>
      </c>
      <c r="L1480">
        <v>3</v>
      </c>
      <c r="M1480" s="1" t="s">
        <v>40</v>
      </c>
      <c r="N1480" s="2">
        <v>45778</v>
      </c>
      <c r="O1480">
        <v>2025</v>
      </c>
      <c r="P1480">
        <v>2</v>
      </c>
      <c r="Q1480" s="1" t="s">
        <v>33</v>
      </c>
    </row>
    <row r="1481" spans="1:17" x14ac:dyDescent="0.3">
      <c r="A1481" s="1" t="s">
        <v>1546</v>
      </c>
      <c r="B1481" s="1" t="s">
        <v>26</v>
      </c>
      <c r="C1481" s="1" t="s">
        <v>27</v>
      </c>
      <c r="D1481" s="1" t="s">
        <v>51</v>
      </c>
      <c r="E1481" s="1" t="s">
        <v>37</v>
      </c>
      <c r="F1481" s="1" t="s">
        <v>38</v>
      </c>
      <c r="G1481" s="2">
        <v>46008</v>
      </c>
      <c r="H1481" s="2"/>
      <c r="I1481" s="1" t="s">
        <v>82</v>
      </c>
      <c r="L1481">
        <v>10</v>
      </c>
      <c r="M1481" s="1" t="s">
        <v>40</v>
      </c>
      <c r="N1481" s="2">
        <v>45992</v>
      </c>
      <c r="O1481">
        <v>2025</v>
      </c>
      <c r="P1481">
        <v>4</v>
      </c>
      <c r="Q1481" s="1" t="s">
        <v>33</v>
      </c>
    </row>
    <row r="1482" spans="1:17" x14ac:dyDescent="0.3">
      <c r="A1482" s="1" t="s">
        <v>1547</v>
      </c>
      <c r="B1482" s="1" t="s">
        <v>58</v>
      </c>
      <c r="C1482" s="1" t="s">
        <v>59</v>
      </c>
      <c r="D1482" s="1" t="s">
        <v>20</v>
      </c>
      <c r="E1482" s="1" t="s">
        <v>48</v>
      </c>
      <c r="F1482" s="1" t="s">
        <v>52</v>
      </c>
      <c r="G1482" s="2">
        <v>45896</v>
      </c>
      <c r="H1482" s="2"/>
      <c r="I1482" s="1" t="s">
        <v>39</v>
      </c>
      <c r="L1482">
        <v>14</v>
      </c>
      <c r="M1482" s="1" t="s">
        <v>40</v>
      </c>
      <c r="N1482" s="2">
        <v>45870</v>
      </c>
      <c r="O1482">
        <v>2025</v>
      </c>
      <c r="P1482">
        <v>3</v>
      </c>
      <c r="Q1482" s="1" t="s">
        <v>33</v>
      </c>
    </row>
    <row r="1483" spans="1:17" x14ac:dyDescent="0.3">
      <c r="A1483" s="1" t="s">
        <v>1548</v>
      </c>
      <c r="B1483" s="1" t="s">
        <v>63</v>
      </c>
      <c r="C1483" s="1" t="s">
        <v>64</v>
      </c>
      <c r="D1483" s="1" t="s">
        <v>51</v>
      </c>
      <c r="E1483" s="1" t="s">
        <v>21</v>
      </c>
      <c r="F1483" s="1" t="s">
        <v>22</v>
      </c>
      <c r="G1483" s="2">
        <v>45663</v>
      </c>
      <c r="H1483" s="2">
        <v>45668</v>
      </c>
      <c r="I1483" s="1" t="s">
        <v>28</v>
      </c>
      <c r="J1483">
        <v>4</v>
      </c>
      <c r="K1483">
        <v>5</v>
      </c>
      <c r="L1483">
        <v>10</v>
      </c>
      <c r="M1483" s="1" t="s">
        <v>24</v>
      </c>
      <c r="N1483" s="2">
        <v>45658</v>
      </c>
      <c r="O1483">
        <v>2025</v>
      </c>
      <c r="P1483">
        <v>1</v>
      </c>
      <c r="Q1483" s="1" t="s">
        <v>24</v>
      </c>
    </row>
    <row r="1484" spans="1:17" x14ac:dyDescent="0.3">
      <c r="A1484" s="1" t="s">
        <v>1549</v>
      </c>
      <c r="B1484" s="1" t="s">
        <v>42</v>
      </c>
      <c r="C1484" s="1" t="s">
        <v>43</v>
      </c>
      <c r="D1484" s="1" t="s">
        <v>51</v>
      </c>
      <c r="E1484" s="1" t="s">
        <v>48</v>
      </c>
      <c r="F1484" s="1" t="s">
        <v>22</v>
      </c>
      <c r="G1484" s="2">
        <v>45787</v>
      </c>
      <c r="H1484" s="2"/>
      <c r="I1484" s="1" t="s">
        <v>23</v>
      </c>
      <c r="L1484">
        <v>10</v>
      </c>
      <c r="M1484" s="1" t="s">
        <v>40</v>
      </c>
      <c r="N1484" s="2">
        <v>45778</v>
      </c>
      <c r="O1484">
        <v>2025</v>
      </c>
      <c r="P1484">
        <v>2</v>
      </c>
      <c r="Q1484" s="1" t="s">
        <v>33</v>
      </c>
    </row>
    <row r="1485" spans="1:17" x14ac:dyDescent="0.3">
      <c r="A1485" s="1" t="s">
        <v>1550</v>
      </c>
      <c r="B1485" s="1" t="s">
        <v>26</v>
      </c>
      <c r="C1485" s="1" t="s">
        <v>123</v>
      </c>
      <c r="D1485" s="1" t="s">
        <v>20</v>
      </c>
      <c r="E1485" s="1" t="s">
        <v>21</v>
      </c>
      <c r="F1485" s="1" t="s">
        <v>52</v>
      </c>
      <c r="G1485" s="2">
        <v>45903</v>
      </c>
      <c r="H1485" s="2">
        <v>45912</v>
      </c>
      <c r="I1485" s="1" t="s">
        <v>32</v>
      </c>
      <c r="J1485">
        <v>2</v>
      </c>
      <c r="K1485">
        <v>9</v>
      </c>
      <c r="L1485">
        <v>14</v>
      </c>
      <c r="M1485" s="1" t="s">
        <v>24</v>
      </c>
      <c r="N1485" s="2">
        <v>45901</v>
      </c>
      <c r="O1485">
        <v>2025</v>
      </c>
      <c r="P1485">
        <v>3</v>
      </c>
      <c r="Q1485" s="1" t="s">
        <v>24</v>
      </c>
    </row>
    <row r="1486" spans="1:17" x14ac:dyDescent="0.3">
      <c r="A1486" s="1" t="s">
        <v>1551</v>
      </c>
      <c r="B1486" s="1" t="s">
        <v>18</v>
      </c>
      <c r="C1486" s="1" t="s">
        <v>19</v>
      </c>
      <c r="D1486" s="1" t="s">
        <v>71</v>
      </c>
      <c r="E1486" s="1" t="s">
        <v>37</v>
      </c>
      <c r="F1486" s="1" t="s">
        <v>22</v>
      </c>
      <c r="G1486" s="2">
        <v>45899</v>
      </c>
      <c r="H1486" s="2"/>
      <c r="I1486" s="1" t="s">
        <v>39</v>
      </c>
      <c r="L1486">
        <v>3</v>
      </c>
      <c r="M1486" s="1" t="s">
        <v>40</v>
      </c>
      <c r="N1486" s="2">
        <v>45870</v>
      </c>
      <c r="O1486">
        <v>2025</v>
      </c>
      <c r="P1486">
        <v>3</v>
      </c>
      <c r="Q1486" s="1" t="s">
        <v>33</v>
      </c>
    </row>
    <row r="1487" spans="1:17" x14ac:dyDescent="0.3">
      <c r="A1487" s="1" t="s">
        <v>1552</v>
      </c>
      <c r="B1487" s="1" t="s">
        <v>58</v>
      </c>
      <c r="C1487" s="1" t="s">
        <v>108</v>
      </c>
      <c r="D1487" s="1" t="s">
        <v>51</v>
      </c>
      <c r="E1487" s="1" t="s">
        <v>48</v>
      </c>
      <c r="F1487" s="1" t="s">
        <v>38</v>
      </c>
      <c r="G1487" s="2">
        <v>45937</v>
      </c>
      <c r="H1487" s="2"/>
      <c r="I1487" s="1" t="s">
        <v>23</v>
      </c>
      <c r="L1487">
        <v>10</v>
      </c>
      <c r="M1487" s="1" t="s">
        <v>40</v>
      </c>
      <c r="N1487" s="2">
        <v>45931</v>
      </c>
      <c r="O1487">
        <v>2025</v>
      </c>
      <c r="P1487">
        <v>4</v>
      </c>
      <c r="Q1487" s="1" t="s">
        <v>33</v>
      </c>
    </row>
    <row r="1488" spans="1:17" x14ac:dyDescent="0.3">
      <c r="A1488" s="1" t="s">
        <v>1553</v>
      </c>
      <c r="B1488" s="1" t="s">
        <v>35</v>
      </c>
      <c r="C1488" s="1" t="s">
        <v>99</v>
      </c>
      <c r="D1488" s="1" t="s">
        <v>51</v>
      </c>
      <c r="E1488" s="1" t="s">
        <v>21</v>
      </c>
      <c r="F1488" s="1" t="s">
        <v>61</v>
      </c>
      <c r="G1488" s="2">
        <v>46019</v>
      </c>
      <c r="H1488" s="2">
        <v>46023</v>
      </c>
      <c r="I1488" s="1" t="s">
        <v>23</v>
      </c>
      <c r="J1488">
        <v>5</v>
      </c>
      <c r="K1488">
        <v>4</v>
      </c>
      <c r="L1488">
        <v>10</v>
      </c>
      <c r="M1488" s="1" t="s">
        <v>24</v>
      </c>
      <c r="N1488" s="2">
        <v>45992</v>
      </c>
      <c r="O1488">
        <v>2025</v>
      </c>
      <c r="P1488">
        <v>4</v>
      </c>
      <c r="Q1488" s="1" t="s">
        <v>24</v>
      </c>
    </row>
    <row r="1489" spans="1:17" x14ac:dyDescent="0.3">
      <c r="A1489" s="1" t="s">
        <v>1554</v>
      </c>
      <c r="B1489" s="1" t="s">
        <v>58</v>
      </c>
      <c r="C1489" s="1" t="s">
        <v>70</v>
      </c>
      <c r="D1489" s="1" t="s">
        <v>20</v>
      </c>
      <c r="E1489" s="1" t="s">
        <v>21</v>
      </c>
      <c r="F1489" s="1" t="s">
        <v>22</v>
      </c>
      <c r="G1489" s="2">
        <v>45689</v>
      </c>
      <c r="H1489" s="2">
        <v>45697</v>
      </c>
      <c r="I1489" s="1" t="s">
        <v>32</v>
      </c>
      <c r="J1489">
        <v>2</v>
      </c>
      <c r="K1489">
        <v>8</v>
      </c>
      <c r="L1489">
        <v>14</v>
      </c>
      <c r="M1489" s="1" t="s">
        <v>24</v>
      </c>
      <c r="N1489" s="2">
        <v>45689</v>
      </c>
      <c r="O1489">
        <v>2025</v>
      </c>
      <c r="P1489">
        <v>1</v>
      </c>
      <c r="Q1489" s="1" t="s">
        <v>24</v>
      </c>
    </row>
    <row r="1490" spans="1:17" x14ac:dyDescent="0.3">
      <c r="A1490" s="1" t="s">
        <v>1555</v>
      </c>
      <c r="B1490" s="1" t="s">
        <v>63</v>
      </c>
      <c r="C1490" s="1" t="s">
        <v>74</v>
      </c>
      <c r="D1490" s="1" t="s">
        <v>51</v>
      </c>
      <c r="E1490" s="1" t="s">
        <v>21</v>
      </c>
      <c r="F1490" s="1" t="s">
        <v>22</v>
      </c>
      <c r="G1490" s="2">
        <v>45820</v>
      </c>
      <c r="H1490" s="2">
        <v>45824</v>
      </c>
      <c r="I1490" s="1" t="s">
        <v>32</v>
      </c>
      <c r="J1490">
        <v>5</v>
      </c>
      <c r="K1490">
        <v>4</v>
      </c>
      <c r="L1490">
        <v>10</v>
      </c>
      <c r="M1490" s="1" t="s">
        <v>24</v>
      </c>
      <c r="N1490" s="2">
        <v>45809</v>
      </c>
      <c r="O1490">
        <v>2025</v>
      </c>
      <c r="P1490">
        <v>2</v>
      </c>
      <c r="Q1490" s="1" t="s">
        <v>24</v>
      </c>
    </row>
    <row r="1491" spans="1:17" x14ac:dyDescent="0.3">
      <c r="A1491" s="1" t="s">
        <v>1556</v>
      </c>
      <c r="B1491" s="1" t="s">
        <v>26</v>
      </c>
      <c r="C1491" s="1" t="s">
        <v>67</v>
      </c>
      <c r="D1491" s="1" t="s">
        <v>71</v>
      </c>
      <c r="E1491" s="1" t="s">
        <v>21</v>
      </c>
      <c r="F1491" s="1" t="s">
        <v>22</v>
      </c>
      <c r="G1491" s="2">
        <v>45999</v>
      </c>
      <c r="H1491" s="2">
        <v>45999</v>
      </c>
      <c r="I1491" s="1" t="s">
        <v>28</v>
      </c>
      <c r="J1491">
        <v>2</v>
      </c>
      <c r="K1491">
        <v>0</v>
      </c>
      <c r="L1491">
        <v>3</v>
      </c>
      <c r="M1491" s="1" t="s">
        <v>24</v>
      </c>
      <c r="N1491" s="2">
        <v>45992</v>
      </c>
      <c r="O1491">
        <v>2025</v>
      </c>
      <c r="P1491">
        <v>4</v>
      </c>
      <c r="Q1491" s="1" t="s">
        <v>24</v>
      </c>
    </row>
    <row r="1492" spans="1:17" x14ac:dyDescent="0.3">
      <c r="A1492" s="1" t="s">
        <v>1557</v>
      </c>
      <c r="B1492" s="1" t="s">
        <v>18</v>
      </c>
      <c r="C1492" s="1" t="s">
        <v>56</v>
      </c>
      <c r="D1492" s="1" t="s">
        <v>20</v>
      </c>
      <c r="E1492" s="1" t="s">
        <v>21</v>
      </c>
      <c r="F1492" s="1" t="s">
        <v>22</v>
      </c>
      <c r="G1492" s="2">
        <v>45799</v>
      </c>
      <c r="H1492" s="2">
        <v>45811</v>
      </c>
      <c r="I1492" s="1" t="s">
        <v>39</v>
      </c>
      <c r="J1492">
        <v>3</v>
      </c>
      <c r="K1492">
        <v>12</v>
      </c>
      <c r="L1492">
        <v>14</v>
      </c>
      <c r="M1492" s="1" t="s">
        <v>24</v>
      </c>
      <c r="N1492" s="2">
        <v>45778</v>
      </c>
      <c r="O1492">
        <v>2025</v>
      </c>
      <c r="P1492">
        <v>2</v>
      </c>
      <c r="Q1492" s="1" t="s">
        <v>24</v>
      </c>
    </row>
    <row r="1493" spans="1:17" x14ac:dyDescent="0.3">
      <c r="A1493" s="1" t="s">
        <v>1558</v>
      </c>
      <c r="B1493" s="1" t="s">
        <v>63</v>
      </c>
      <c r="C1493" s="1" t="s">
        <v>74</v>
      </c>
      <c r="D1493" s="1" t="s">
        <v>51</v>
      </c>
      <c r="E1493" s="1" t="s">
        <v>21</v>
      </c>
      <c r="F1493" s="1" t="s">
        <v>38</v>
      </c>
      <c r="G1493" s="2">
        <v>45718</v>
      </c>
      <c r="H1493" s="2">
        <v>45725</v>
      </c>
      <c r="I1493" s="1" t="s">
        <v>82</v>
      </c>
      <c r="J1493">
        <v>4</v>
      </c>
      <c r="K1493">
        <v>7</v>
      </c>
      <c r="L1493">
        <v>10</v>
      </c>
      <c r="M1493" s="1" t="s">
        <v>24</v>
      </c>
      <c r="N1493" s="2">
        <v>45717</v>
      </c>
      <c r="O1493">
        <v>2025</v>
      </c>
      <c r="P1493">
        <v>1</v>
      </c>
      <c r="Q1493" s="1" t="s">
        <v>24</v>
      </c>
    </row>
    <row r="1494" spans="1:17" x14ac:dyDescent="0.3">
      <c r="A1494" s="1" t="s">
        <v>1559</v>
      </c>
      <c r="B1494" s="1" t="s">
        <v>58</v>
      </c>
      <c r="C1494" s="1" t="s">
        <v>70</v>
      </c>
      <c r="D1494" s="1" t="s">
        <v>20</v>
      </c>
      <c r="E1494" s="1" t="s">
        <v>21</v>
      </c>
      <c r="F1494" s="1" t="s">
        <v>38</v>
      </c>
      <c r="G1494" s="2">
        <v>45702</v>
      </c>
      <c r="H1494" s="2">
        <v>45707</v>
      </c>
      <c r="I1494" s="1" t="s">
        <v>28</v>
      </c>
      <c r="J1494">
        <v>4</v>
      </c>
      <c r="K1494">
        <v>5</v>
      </c>
      <c r="L1494">
        <v>14</v>
      </c>
      <c r="M1494" s="1" t="s">
        <v>24</v>
      </c>
      <c r="N1494" s="2">
        <v>45689</v>
      </c>
      <c r="O1494">
        <v>2025</v>
      </c>
      <c r="P1494">
        <v>1</v>
      </c>
      <c r="Q1494" s="1" t="s">
        <v>24</v>
      </c>
    </row>
    <row r="1495" spans="1:17" x14ac:dyDescent="0.3">
      <c r="A1495" s="1" t="s">
        <v>1560</v>
      </c>
      <c r="B1495" s="1" t="s">
        <v>42</v>
      </c>
      <c r="C1495" s="1" t="s">
        <v>76</v>
      </c>
      <c r="D1495" s="1" t="s">
        <v>51</v>
      </c>
      <c r="E1495" s="1" t="s">
        <v>21</v>
      </c>
      <c r="F1495" s="1" t="s">
        <v>61</v>
      </c>
      <c r="G1495" s="2">
        <v>45784</v>
      </c>
      <c r="H1495" s="2">
        <v>45790</v>
      </c>
      <c r="I1495" s="1" t="s">
        <v>28</v>
      </c>
      <c r="J1495">
        <v>5</v>
      </c>
      <c r="K1495">
        <v>6</v>
      </c>
      <c r="L1495">
        <v>10</v>
      </c>
      <c r="M1495" s="1" t="s">
        <v>24</v>
      </c>
      <c r="N1495" s="2">
        <v>45778</v>
      </c>
      <c r="O1495">
        <v>2025</v>
      </c>
      <c r="P1495">
        <v>2</v>
      </c>
      <c r="Q1495" s="1" t="s">
        <v>24</v>
      </c>
    </row>
    <row r="1496" spans="1:17" x14ac:dyDescent="0.3">
      <c r="A1496" s="1" t="s">
        <v>1561</v>
      </c>
      <c r="B1496" s="1" t="s">
        <v>35</v>
      </c>
      <c r="C1496" s="1" t="s">
        <v>99</v>
      </c>
      <c r="D1496" s="1" t="s">
        <v>51</v>
      </c>
      <c r="E1496" s="1" t="s">
        <v>21</v>
      </c>
      <c r="F1496" s="1" t="s">
        <v>31</v>
      </c>
      <c r="G1496" s="2">
        <v>45800</v>
      </c>
      <c r="H1496" s="2">
        <v>45804</v>
      </c>
      <c r="I1496" s="1" t="s">
        <v>28</v>
      </c>
      <c r="J1496">
        <v>4</v>
      </c>
      <c r="K1496">
        <v>4</v>
      </c>
      <c r="L1496">
        <v>10</v>
      </c>
      <c r="M1496" s="1" t="s">
        <v>24</v>
      </c>
      <c r="N1496" s="2">
        <v>45778</v>
      </c>
      <c r="O1496">
        <v>2025</v>
      </c>
      <c r="P1496">
        <v>2</v>
      </c>
      <c r="Q1496" s="1" t="s">
        <v>24</v>
      </c>
    </row>
    <row r="1497" spans="1:17" x14ac:dyDescent="0.3">
      <c r="A1497" s="1" t="s">
        <v>1562</v>
      </c>
      <c r="B1497" s="1" t="s">
        <v>63</v>
      </c>
      <c r="C1497" s="1" t="s">
        <v>84</v>
      </c>
      <c r="D1497" s="1" t="s">
        <v>44</v>
      </c>
      <c r="E1497" s="1" t="s">
        <v>21</v>
      </c>
      <c r="F1497" s="1" t="s">
        <v>52</v>
      </c>
      <c r="G1497" s="2">
        <v>45809</v>
      </c>
      <c r="H1497" s="2">
        <v>45812</v>
      </c>
      <c r="I1497" s="1" t="s">
        <v>23</v>
      </c>
      <c r="J1497">
        <v>5</v>
      </c>
      <c r="K1497">
        <v>3</v>
      </c>
      <c r="L1497">
        <v>7</v>
      </c>
      <c r="M1497" s="1" t="s">
        <v>24</v>
      </c>
      <c r="N1497" s="2">
        <v>45809</v>
      </c>
      <c r="O1497">
        <v>2025</v>
      </c>
      <c r="P1497">
        <v>2</v>
      </c>
      <c r="Q1497" s="1" t="s">
        <v>24</v>
      </c>
    </row>
    <row r="1498" spans="1:17" x14ac:dyDescent="0.3">
      <c r="A1498" s="1" t="s">
        <v>1563</v>
      </c>
      <c r="B1498" s="1" t="s">
        <v>58</v>
      </c>
      <c r="C1498" s="1" t="s">
        <v>59</v>
      </c>
      <c r="D1498" s="1" t="s">
        <v>51</v>
      </c>
      <c r="E1498" s="1" t="s">
        <v>21</v>
      </c>
      <c r="F1498" s="1" t="s">
        <v>61</v>
      </c>
      <c r="G1498" s="2">
        <v>45986</v>
      </c>
      <c r="H1498" s="2">
        <v>45996</v>
      </c>
      <c r="I1498" s="1" t="s">
        <v>23</v>
      </c>
      <c r="J1498">
        <v>4</v>
      </c>
      <c r="K1498">
        <v>10</v>
      </c>
      <c r="L1498">
        <v>10</v>
      </c>
      <c r="M1498" s="1" t="s">
        <v>24</v>
      </c>
      <c r="N1498" s="2">
        <v>45962</v>
      </c>
      <c r="O1498">
        <v>2025</v>
      </c>
      <c r="P1498">
        <v>4</v>
      </c>
      <c r="Q1498" s="1" t="s">
        <v>24</v>
      </c>
    </row>
    <row r="1499" spans="1:17" x14ac:dyDescent="0.3">
      <c r="A1499" s="1" t="s">
        <v>1564</v>
      </c>
      <c r="B1499" s="1" t="s">
        <v>26</v>
      </c>
      <c r="C1499" s="1" t="s">
        <v>27</v>
      </c>
      <c r="D1499" s="1" t="s">
        <v>20</v>
      </c>
      <c r="E1499" s="1" t="s">
        <v>21</v>
      </c>
      <c r="F1499" s="1" t="s">
        <v>52</v>
      </c>
      <c r="G1499" s="2">
        <v>46017</v>
      </c>
      <c r="H1499" s="2">
        <v>46026</v>
      </c>
      <c r="I1499" s="1" t="s">
        <v>28</v>
      </c>
      <c r="J1499">
        <v>4</v>
      </c>
      <c r="K1499">
        <v>9</v>
      </c>
      <c r="L1499">
        <v>14</v>
      </c>
      <c r="M1499" s="1" t="s">
        <v>24</v>
      </c>
      <c r="N1499" s="2">
        <v>45992</v>
      </c>
      <c r="O1499">
        <v>2025</v>
      </c>
      <c r="P1499">
        <v>4</v>
      </c>
      <c r="Q1499" s="1" t="s">
        <v>24</v>
      </c>
    </row>
    <row r="1500" spans="1:17" x14ac:dyDescent="0.3">
      <c r="A1500" s="1" t="s">
        <v>1565</v>
      </c>
      <c r="B1500" s="1" t="s">
        <v>35</v>
      </c>
      <c r="C1500" s="1" t="s">
        <v>97</v>
      </c>
      <c r="D1500" s="1" t="s">
        <v>20</v>
      </c>
      <c r="E1500" s="1" t="s">
        <v>37</v>
      </c>
      <c r="F1500" s="1" t="s">
        <v>61</v>
      </c>
      <c r="G1500" s="2">
        <v>45790</v>
      </c>
      <c r="H1500" s="2"/>
      <c r="I1500" s="1" t="s">
        <v>39</v>
      </c>
      <c r="L1500">
        <v>14</v>
      </c>
      <c r="M1500" s="1" t="s">
        <v>40</v>
      </c>
      <c r="N1500" s="2">
        <v>45778</v>
      </c>
      <c r="O1500">
        <v>2025</v>
      </c>
      <c r="P1500">
        <v>2</v>
      </c>
      <c r="Q1500" s="1" t="s">
        <v>33</v>
      </c>
    </row>
    <row r="1501" spans="1:17" x14ac:dyDescent="0.3">
      <c r="A1501" s="1" t="s">
        <v>1566</v>
      </c>
      <c r="B1501" s="1" t="s">
        <v>35</v>
      </c>
      <c r="C1501" s="1" t="s">
        <v>99</v>
      </c>
      <c r="D1501" s="1" t="s">
        <v>44</v>
      </c>
      <c r="E1501" s="1" t="s">
        <v>21</v>
      </c>
      <c r="F1501" s="1" t="s">
        <v>31</v>
      </c>
      <c r="G1501" s="2">
        <v>45981</v>
      </c>
      <c r="H1501" s="2">
        <v>45983</v>
      </c>
      <c r="I1501" s="1" t="s">
        <v>82</v>
      </c>
      <c r="J1501">
        <v>4</v>
      </c>
      <c r="K1501">
        <v>2</v>
      </c>
      <c r="L1501">
        <v>7</v>
      </c>
      <c r="M1501" s="1" t="s">
        <v>24</v>
      </c>
      <c r="N1501" s="2">
        <v>45962</v>
      </c>
      <c r="O1501">
        <v>2025</v>
      </c>
      <c r="P1501">
        <v>4</v>
      </c>
      <c r="Q1501" s="1" t="s">
        <v>24</v>
      </c>
    </row>
    <row r="1502" spans="1:17" x14ac:dyDescent="0.3">
      <c r="A1502" s="1" t="s">
        <v>1567</v>
      </c>
      <c r="B1502" s="1" t="s">
        <v>35</v>
      </c>
      <c r="C1502" s="1" t="s">
        <v>97</v>
      </c>
      <c r="D1502" s="1" t="s">
        <v>51</v>
      </c>
      <c r="E1502" s="1" t="s">
        <v>21</v>
      </c>
      <c r="F1502" s="1" t="s">
        <v>52</v>
      </c>
      <c r="G1502" s="2">
        <v>45675</v>
      </c>
      <c r="H1502" s="2">
        <v>45682</v>
      </c>
      <c r="I1502" s="1" t="s">
        <v>23</v>
      </c>
      <c r="J1502">
        <v>5</v>
      </c>
      <c r="K1502">
        <v>7</v>
      </c>
      <c r="L1502">
        <v>10</v>
      </c>
      <c r="M1502" s="1" t="s">
        <v>24</v>
      </c>
      <c r="N1502" s="2">
        <v>45658</v>
      </c>
      <c r="O1502">
        <v>2025</v>
      </c>
      <c r="P1502">
        <v>1</v>
      </c>
      <c r="Q1502" s="1" t="s">
        <v>24</v>
      </c>
    </row>
    <row r="1503" spans="1:17" x14ac:dyDescent="0.3">
      <c r="A1503" s="1" t="s">
        <v>1568</v>
      </c>
      <c r="B1503" s="1" t="s">
        <v>63</v>
      </c>
      <c r="C1503" s="1" t="s">
        <v>89</v>
      </c>
      <c r="D1503" s="1" t="s">
        <v>51</v>
      </c>
      <c r="E1503" s="1" t="s">
        <v>21</v>
      </c>
      <c r="F1503" s="1" t="s">
        <v>52</v>
      </c>
      <c r="G1503" s="2">
        <v>45709</v>
      </c>
      <c r="H1503" s="2">
        <v>45713</v>
      </c>
      <c r="I1503" s="1" t="s">
        <v>28</v>
      </c>
      <c r="J1503">
        <v>5</v>
      </c>
      <c r="K1503">
        <v>4</v>
      </c>
      <c r="L1503">
        <v>10</v>
      </c>
      <c r="M1503" s="1" t="s">
        <v>24</v>
      </c>
      <c r="N1503" s="2">
        <v>45689</v>
      </c>
      <c r="O1503">
        <v>2025</v>
      </c>
      <c r="P1503">
        <v>1</v>
      </c>
      <c r="Q1503" s="1" t="s">
        <v>24</v>
      </c>
    </row>
    <row r="1504" spans="1:17" x14ac:dyDescent="0.3">
      <c r="A1504" s="1" t="s">
        <v>1569</v>
      </c>
      <c r="B1504" s="1" t="s">
        <v>58</v>
      </c>
      <c r="C1504" s="1" t="s">
        <v>108</v>
      </c>
      <c r="D1504" s="1" t="s">
        <v>44</v>
      </c>
      <c r="E1504" s="1" t="s">
        <v>21</v>
      </c>
      <c r="F1504" s="1" t="s">
        <v>31</v>
      </c>
      <c r="G1504" s="2">
        <v>45973</v>
      </c>
      <c r="H1504" s="2">
        <v>45977</v>
      </c>
      <c r="I1504" s="1" t="s">
        <v>39</v>
      </c>
      <c r="J1504">
        <v>4</v>
      </c>
      <c r="K1504">
        <v>4</v>
      </c>
      <c r="L1504">
        <v>7</v>
      </c>
      <c r="M1504" s="1" t="s">
        <v>24</v>
      </c>
      <c r="N1504" s="2">
        <v>45962</v>
      </c>
      <c r="O1504">
        <v>2025</v>
      </c>
      <c r="P1504">
        <v>4</v>
      </c>
      <c r="Q1504" s="1" t="s">
        <v>24</v>
      </c>
    </row>
    <row r="1505" spans="1:17" x14ac:dyDescent="0.3">
      <c r="A1505" s="1" t="s">
        <v>1570</v>
      </c>
      <c r="B1505" s="1" t="s">
        <v>58</v>
      </c>
      <c r="C1505" s="1" t="s">
        <v>108</v>
      </c>
      <c r="D1505" s="1" t="s">
        <v>51</v>
      </c>
      <c r="E1505" s="1" t="s">
        <v>21</v>
      </c>
      <c r="F1505" s="1" t="s">
        <v>52</v>
      </c>
      <c r="G1505" s="2">
        <v>45830</v>
      </c>
      <c r="H1505" s="2">
        <v>45839</v>
      </c>
      <c r="I1505" s="1" t="s">
        <v>23</v>
      </c>
      <c r="J1505">
        <v>5</v>
      </c>
      <c r="K1505">
        <v>9</v>
      </c>
      <c r="L1505">
        <v>10</v>
      </c>
      <c r="M1505" s="1" t="s">
        <v>24</v>
      </c>
      <c r="N1505" s="2">
        <v>45809</v>
      </c>
      <c r="O1505">
        <v>2025</v>
      </c>
      <c r="P1505">
        <v>2</v>
      </c>
      <c r="Q1505" s="1" t="s">
        <v>24</v>
      </c>
    </row>
    <row r="1506" spans="1:17" x14ac:dyDescent="0.3">
      <c r="A1506" s="1" t="s">
        <v>1571</v>
      </c>
      <c r="B1506" s="1" t="s">
        <v>63</v>
      </c>
      <c r="C1506" s="1" t="s">
        <v>74</v>
      </c>
      <c r="D1506" s="1" t="s">
        <v>51</v>
      </c>
      <c r="E1506" s="1" t="s">
        <v>37</v>
      </c>
      <c r="F1506" s="1" t="s">
        <v>31</v>
      </c>
      <c r="G1506" s="2">
        <v>45953</v>
      </c>
      <c r="H1506" s="2"/>
      <c r="I1506" s="1" t="s">
        <v>82</v>
      </c>
      <c r="L1506">
        <v>10</v>
      </c>
      <c r="M1506" s="1" t="s">
        <v>40</v>
      </c>
      <c r="N1506" s="2">
        <v>45931</v>
      </c>
      <c r="O1506">
        <v>2025</v>
      </c>
      <c r="P1506">
        <v>4</v>
      </c>
      <c r="Q1506" s="1" t="s">
        <v>33</v>
      </c>
    </row>
    <row r="1507" spans="1:17" x14ac:dyDescent="0.3">
      <c r="A1507" s="1" t="s">
        <v>1572</v>
      </c>
      <c r="B1507" s="1" t="s">
        <v>42</v>
      </c>
      <c r="C1507" s="1" t="s">
        <v>76</v>
      </c>
      <c r="D1507" s="1" t="s">
        <v>51</v>
      </c>
      <c r="E1507" s="1" t="s">
        <v>48</v>
      </c>
      <c r="F1507" s="1" t="s">
        <v>22</v>
      </c>
      <c r="G1507" s="2">
        <v>45963</v>
      </c>
      <c r="H1507" s="2"/>
      <c r="I1507" s="1" t="s">
        <v>28</v>
      </c>
      <c r="L1507">
        <v>10</v>
      </c>
      <c r="M1507" s="1" t="s">
        <v>40</v>
      </c>
      <c r="N1507" s="2">
        <v>45962</v>
      </c>
      <c r="O1507">
        <v>2025</v>
      </c>
      <c r="P1507">
        <v>4</v>
      </c>
      <c r="Q1507" s="1" t="s">
        <v>33</v>
      </c>
    </row>
    <row r="1508" spans="1:17" x14ac:dyDescent="0.3">
      <c r="A1508" s="1" t="s">
        <v>1573</v>
      </c>
      <c r="B1508" s="1" t="s">
        <v>26</v>
      </c>
      <c r="C1508" s="1" t="s">
        <v>54</v>
      </c>
      <c r="D1508" s="1" t="s">
        <v>20</v>
      </c>
      <c r="E1508" s="1" t="s">
        <v>21</v>
      </c>
      <c r="F1508" s="1" t="s">
        <v>61</v>
      </c>
      <c r="G1508" s="2">
        <v>45685</v>
      </c>
      <c r="H1508" s="2">
        <v>45689</v>
      </c>
      <c r="I1508" s="1" t="s">
        <v>32</v>
      </c>
      <c r="J1508">
        <v>4</v>
      </c>
      <c r="K1508">
        <v>4</v>
      </c>
      <c r="L1508">
        <v>14</v>
      </c>
      <c r="M1508" s="1" t="s">
        <v>24</v>
      </c>
      <c r="N1508" s="2">
        <v>45658</v>
      </c>
      <c r="O1508">
        <v>2025</v>
      </c>
      <c r="P1508">
        <v>1</v>
      </c>
      <c r="Q1508" s="1" t="s">
        <v>24</v>
      </c>
    </row>
    <row r="1509" spans="1:17" x14ac:dyDescent="0.3">
      <c r="A1509" s="1" t="s">
        <v>1574</v>
      </c>
      <c r="B1509" s="1" t="s">
        <v>58</v>
      </c>
      <c r="C1509" s="1" t="s">
        <v>145</v>
      </c>
      <c r="D1509" s="1" t="s">
        <v>20</v>
      </c>
      <c r="E1509" s="1" t="s">
        <v>21</v>
      </c>
      <c r="F1509" s="1" t="s">
        <v>52</v>
      </c>
      <c r="G1509" s="2">
        <v>45733</v>
      </c>
      <c r="H1509" s="2">
        <v>45739</v>
      </c>
      <c r="I1509" s="1" t="s">
        <v>32</v>
      </c>
      <c r="J1509">
        <v>5</v>
      </c>
      <c r="K1509">
        <v>6</v>
      </c>
      <c r="L1509">
        <v>14</v>
      </c>
      <c r="M1509" s="1" t="s">
        <v>24</v>
      </c>
      <c r="N1509" s="2">
        <v>45717</v>
      </c>
      <c r="O1509">
        <v>2025</v>
      </c>
      <c r="P1509">
        <v>1</v>
      </c>
      <c r="Q1509" s="1" t="s">
        <v>24</v>
      </c>
    </row>
    <row r="1510" spans="1:17" x14ac:dyDescent="0.3">
      <c r="A1510" s="1" t="s">
        <v>1575</v>
      </c>
      <c r="B1510" s="1" t="s">
        <v>42</v>
      </c>
      <c r="C1510" s="1" t="s">
        <v>76</v>
      </c>
      <c r="D1510" s="1" t="s">
        <v>20</v>
      </c>
      <c r="E1510" s="1" t="s">
        <v>21</v>
      </c>
      <c r="F1510" s="1" t="s">
        <v>22</v>
      </c>
      <c r="G1510" s="2">
        <v>45704</v>
      </c>
      <c r="H1510" s="2">
        <v>45718</v>
      </c>
      <c r="I1510" s="1" t="s">
        <v>32</v>
      </c>
      <c r="J1510">
        <v>3</v>
      </c>
      <c r="K1510">
        <v>14</v>
      </c>
      <c r="L1510">
        <v>14</v>
      </c>
      <c r="M1510" s="1" t="s">
        <v>24</v>
      </c>
      <c r="N1510" s="2">
        <v>45689</v>
      </c>
      <c r="O1510">
        <v>2025</v>
      </c>
      <c r="P1510">
        <v>1</v>
      </c>
      <c r="Q1510" s="1" t="s">
        <v>24</v>
      </c>
    </row>
    <row r="1511" spans="1:17" x14ac:dyDescent="0.3">
      <c r="A1511" s="1" t="s">
        <v>1576</v>
      </c>
      <c r="B1511" s="1" t="s">
        <v>42</v>
      </c>
      <c r="C1511" s="1" t="s">
        <v>87</v>
      </c>
      <c r="D1511" s="1" t="s">
        <v>20</v>
      </c>
      <c r="E1511" s="1" t="s">
        <v>21</v>
      </c>
      <c r="F1511" s="1" t="s">
        <v>61</v>
      </c>
      <c r="G1511" s="2">
        <v>45939</v>
      </c>
      <c r="H1511" s="2">
        <v>45952</v>
      </c>
      <c r="I1511" s="1" t="s">
        <v>39</v>
      </c>
      <c r="J1511">
        <v>4</v>
      </c>
      <c r="K1511">
        <v>13</v>
      </c>
      <c r="L1511">
        <v>14</v>
      </c>
      <c r="M1511" s="1" t="s">
        <v>24</v>
      </c>
      <c r="N1511" s="2">
        <v>45931</v>
      </c>
      <c r="O1511">
        <v>2025</v>
      </c>
      <c r="P1511">
        <v>4</v>
      </c>
      <c r="Q1511" s="1" t="s">
        <v>24</v>
      </c>
    </row>
    <row r="1512" spans="1:17" x14ac:dyDescent="0.3">
      <c r="A1512" s="1" t="s">
        <v>1577</v>
      </c>
      <c r="B1512" s="1" t="s">
        <v>18</v>
      </c>
      <c r="C1512" s="1" t="s">
        <v>30</v>
      </c>
      <c r="D1512" s="1" t="s">
        <v>44</v>
      </c>
      <c r="E1512" s="1" t="s">
        <v>21</v>
      </c>
      <c r="F1512" s="1" t="s">
        <v>61</v>
      </c>
      <c r="G1512" s="2">
        <v>45707</v>
      </c>
      <c r="H1512" s="2">
        <v>45711</v>
      </c>
      <c r="I1512" s="1" t="s">
        <v>39</v>
      </c>
      <c r="J1512">
        <v>3</v>
      </c>
      <c r="K1512">
        <v>4</v>
      </c>
      <c r="L1512">
        <v>7</v>
      </c>
      <c r="M1512" s="1" t="s">
        <v>24</v>
      </c>
      <c r="N1512" s="2">
        <v>45689</v>
      </c>
      <c r="O1512">
        <v>2025</v>
      </c>
      <c r="P1512">
        <v>1</v>
      </c>
      <c r="Q1512" s="1" t="s">
        <v>24</v>
      </c>
    </row>
    <row r="1513" spans="1:17" x14ac:dyDescent="0.3">
      <c r="A1513" s="1" t="s">
        <v>1578</v>
      </c>
      <c r="B1513" s="1" t="s">
        <v>35</v>
      </c>
      <c r="C1513" s="1" t="s">
        <v>97</v>
      </c>
      <c r="D1513" s="1" t="s">
        <v>44</v>
      </c>
      <c r="E1513" s="1" t="s">
        <v>21</v>
      </c>
      <c r="F1513" s="1" t="s">
        <v>38</v>
      </c>
      <c r="G1513" s="2">
        <v>45875</v>
      </c>
      <c r="H1513" s="2">
        <v>45880</v>
      </c>
      <c r="I1513" s="1" t="s">
        <v>32</v>
      </c>
      <c r="J1513">
        <v>4</v>
      </c>
      <c r="K1513">
        <v>5</v>
      </c>
      <c r="L1513">
        <v>7</v>
      </c>
      <c r="M1513" s="1" t="s">
        <v>24</v>
      </c>
      <c r="N1513" s="2">
        <v>45870</v>
      </c>
      <c r="O1513">
        <v>2025</v>
      </c>
      <c r="P1513">
        <v>3</v>
      </c>
      <c r="Q1513" s="1" t="s">
        <v>24</v>
      </c>
    </row>
    <row r="1514" spans="1:17" x14ac:dyDescent="0.3">
      <c r="A1514" s="1" t="s">
        <v>1579</v>
      </c>
      <c r="B1514" s="1" t="s">
        <v>58</v>
      </c>
      <c r="C1514" s="1" t="s">
        <v>70</v>
      </c>
      <c r="D1514" s="1" t="s">
        <v>20</v>
      </c>
      <c r="E1514" s="1" t="s">
        <v>21</v>
      </c>
      <c r="F1514" s="1" t="s">
        <v>22</v>
      </c>
      <c r="G1514" s="2">
        <v>45778</v>
      </c>
      <c r="H1514" s="2">
        <v>45786</v>
      </c>
      <c r="I1514" s="1" t="s">
        <v>23</v>
      </c>
      <c r="J1514">
        <v>4</v>
      </c>
      <c r="K1514">
        <v>8</v>
      </c>
      <c r="L1514">
        <v>14</v>
      </c>
      <c r="M1514" s="1" t="s">
        <v>24</v>
      </c>
      <c r="N1514" s="2">
        <v>45778</v>
      </c>
      <c r="O1514">
        <v>2025</v>
      </c>
      <c r="P1514">
        <v>2</v>
      </c>
      <c r="Q1514" s="1" t="s">
        <v>24</v>
      </c>
    </row>
    <row r="1515" spans="1:17" x14ac:dyDescent="0.3">
      <c r="A1515" s="1" t="s">
        <v>1580</v>
      </c>
      <c r="B1515" s="1" t="s">
        <v>26</v>
      </c>
      <c r="C1515" s="1" t="s">
        <v>27</v>
      </c>
      <c r="D1515" s="1" t="s">
        <v>44</v>
      </c>
      <c r="E1515" s="1" t="s">
        <v>21</v>
      </c>
      <c r="F1515" s="1" t="s">
        <v>61</v>
      </c>
      <c r="G1515" s="2">
        <v>45728</v>
      </c>
      <c r="H1515" s="2">
        <v>45732</v>
      </c>
      <c r="I1515" s="1" t="s">
        <v>32</v>
      </c>
      <c r="J1515">
        <v>3</v>
      </c>
      <c r="K1515">
        <v>4</v>
      </c>
      <c r="L1515">
        <v>7</v>
      </c>
      <c r="M1515" s="1" t="s">
        <v>24</v>
      </c>
      <c r="N1515" s="2">
        <v>45717</v>
      </c>
      <c r="O1515">
        <v>2025</v>
      </c>
      <c r="P1515">
        <v>1</v>
      </c>
      <c r="Q1515" s="1" t="s">
        <v>24</v>
      </c>
    </row>
    <row r="1516" spans="1:17" x14ac:dyDescent="0.3">
      <c r="A1516" s="1" t="s">
        <v>1581</v>
      </c>
      <c r="B1516" s="1" t="s">
        <v>58</v>
      </c>
      <c r="C1516" s="1" t="s">
        <v>70</v>
      </c>
      <c r="D1516" s="1" t="s">
        <v>51</v>
      </c>
      <c r="E1516" s="1" t="s">
        <v>21</v>
      </c>
      <c r="F1516" s="1" t="s">
        <v>31</v>
      </c>
      <c r="G1516" s="2">
        <v>45875</v>
      </c>
      <c r="H1516" s="2">
        <v>45879</v>
      </c>
      <c r="I1516" s="1" t="s">
        <v>39</v>
      </c>
      <c r="J1516">
        <v>3</v>
      </c>
      <c r="K1516">
        <v>4</v>
      </c>
      <c r="L1516">
        <v>10</v>
      </c>
      <c r="M1516" s="1" t="s">
        <v>24</v>
      </c>
      <c r="N1516" s="2">
        <v>45870</v>
      </c>
      <c r="O1516">
        <v>2025</v>
      </c>
      <c r="P1516">
        <v>3</v>
      </c>
      <c r="Q1516" s="1" t="s">
        <v>24</v>
      </c>
    </row>
    <row r="1517" spans="1:17" x14ac:dyDescent="0.3">
      <c r="A1517" s="1" t="s">
        <v>1582</v>
      </c>
      <c r="B1517" s="1" t="s">
        <v>42</v>
      </c>
      <c r="C1517" s="1" t="s">
        <v>43</v>
      </c>
      <c r="D1517" s="1" t="s">
        <v>71</v>
      </c>
      <c r="E1517" s="1" t="s">
        <v>21</v>
      </c>
      <c r="F1517" s="1" t="s">
        <v>38</v>
      </c>
      <c r="G1517" s="2">
        <v>45741</v>
      </c>
      <c r="H1517" s="2">
        <v>45744</v>
      </c>
      <c r="I1517" s="1" t="s">
        <v>39</v>
      </c>
      <c r="J1517">
        <v>5</v>
      </c>
      <c r="K1517">
        <v>3</v>
      </c>
      <c r="L1517">
        <v>3</v>
      </c>
      <c r="M1517" s="1" t="s">
        <v>24</v>
      </c>
      <c r="N1517" s="2">
        <v>45717</v>
      </c>
      <c r="O1517">
        <v>2025</v>
      </c>
      <c r="P1517">
        <v>1</v>
      </c>
      <c r="Q1517" s="1" t="s">
        <v>24</v>
      </c>
    </row>
    <row r="1518" spans="1:17" x14ac:dyDescent="0.3">
      <c r="A1518" s="1" t="s">
        <v>1583</v>
      </c>
      <c r="B1518" s="1" t="s">
        <v>42</v>
      </c>
      <c r="C1518" s="1" t="s">
        <v>43</v>
      </c>
      <c r="D1518" s="1" t="s">
        <v>51</v>
      </c>
      <c r="E1518" s="1" t="s">
        <v>21</v>
      </c>
      <c r="F1518" s="1" t="s">
        <v>61</v>
      </c>
      <c r="G1518" s="2">
        <v>45865</v>
      </c>
      <c r="H1518" s="2">
        <v>45867</v>
      </c>
      <c r="I1518" s="1" t="s">
        <v>82</v>
      </c>
      <c r="J1518">
        <v>3</v>
      </c>
      <c r="K1518">
        <v>2</v>
      </c>
      <c r="L1518">
        <v>10</v>
      </c>
      <c r="M1518" s="1" t="s">
        <v>24</v>
      </c>
      <c r="N1518" s="2">
        <v>45839</v>
      </c>
      <c r="O1518">
        <v>2025</v>
      </c>
      <c r="P1518">
        <v>3</v>
      </c>
      <c r="Q1518" s="1" t="s">
        <v>24</v>
      </c>
    </row>
    <row r="1519" spans="1:17" x14ac:dyDescent="0.3">
      <c r="A1519" s="1" t="s">
        <v>1584</v>
      </c>
      <c r="B1519" s="1" t="s">
        <v>26</v>
      </c>
      <c r="C1519" s="1" t="s">
        <v>27</v>
      </c>
      <c r="D1519" s="1" t="s">
        <v>51</v>
      </c>
      <c r="E1519" s="1" t="s">
        <v>21</v>
      </c>
      <c r="F1519" s="1" t="s">
        <v>38</v>
      </c>
      <c r="G1519" s="2">
        <v>45992</v>
      </c>
      <c r="H1519" s="2">
        <v>46000</v>
      </c>
      <c r="I1519" s="1" t="s">
        <v>32</v>
      </c>
      <c r="J1519">
        <v>4</v>
      </c>
      <c r="K1519">
        <v>8</v>
      </c>
      <c r="L1519">
        <v>10</v>
      </c>
      <c r="M1519" s="1" t="s">
        <v>24</v>
      </c>
      <c r="N1519" s="2">
        <v>45992</v>
      </c>
      <c r="O1519">
        <v>2025</v>
      </c>
      <c r="P1519">
        <v>4</v>
      </c>
      <c r="Q1519" s="1" t="s">
        <v>24</v>
      </c>
    </row>
    <row r="1520" spans="1:17" x14ac:dyDescent="0.3">
      <c r="A1520" s="1" t="s">
        <v>1585</v>
      </c>
      <c r="B1520" s="1" t="s">
        <v>58</v>
      </c>
      <c r="C1520" s="1" t="s">
        <v>59</v>
      </c>
      <c r="D1520" s="1" t="s">
        <v>44</v>
      </c>
      <c r="E1520" s="1" t="s">
        <v>21</v>
      </c>
      <c r="F1520" s="1" t="s">
        <v>31</v>
      </c>
      <c r="G1520" s="2">
        <v>45888</v>
      </c>
      <c r="H1520" s="2">
        <v>45893</v>
      </c>
      <c r="I1520" s="1" t="s">
        <v>32</v>
      </c>
      <c r="J1520">
        <v>4</v>
      </c>
      <c r="K1520">
        <v>5</v>
      </c>
      <c r="L1520">
        <v>7</v>
      </c>
      <c r="M1520" s="1" t="s">
        <v>24</v>
      </c>
      <c r="N1520" s="2">
        <v>45870</v>
      </c>
      <c r="O1520">
        <v>2025</v>
      </c>
      <c r="P1520">
        <v>3</v>
      </c>
      <c r="Q1520" s="1" t="s">
        <v>24</v>
      </c>
    </row>
    <row r="1521" spans="1:17" x14ac:dyDescent="0.3">
      <c r="A1521" s="1" t="s">
        <v>1586</v>
      </c>
      <c r="B1521" s="1" t="s">
        <v>26</v>
      </c>
      <c r="C1521" s="1" t="s">
        <v>123</v>
      </c>
      <c r="D1521" s="1" t="s">
        <v>20</v>
      </c>
      <c r="E1521" s="1" t="s">
        <v>21</v>
      </c>
      <c r="F1521" s="1" t="s">
        <v>38</v>
      </c>
      <c r="G1521" s="2">
        <v>45875</v>
      </c>
      <c r="H1521" s="2">
        <v>45886</v>
      </c>
      <c r="I1521" s="1" t="s">
        <v>28</v>
      </c>
      <c r="J1521">
        <v>5</v>
      </c>
      <c r="K1521">
        <v>11</v>
      </c>
      <c r="L1521">
        <v>14</v>
      </c>
      <c r="M1521" s="1" t="s">
        <v>24</v>
      </c>
      <c r="N1521" s="2">
        <v>45870</v>
      </c>
      <c r="O1521">
        <v>2025</v>
      </c>
      <c r="P1521">
        <v>3</v>
      </c>
      <c r="Q1521" s="1" t="s">
        <v>24</v>
      </c>
    </row>
    <row r="1522" spans="1:17" x14ac:dyDescent="0.3">
      <c r="A1522" s="1" t="s">
        <v>1587</v>
      </c>
      <c r="B1522" s="1" t="s">
        <v>42</v>
      </c>
      <c r="C1522" s="1" t="s">
        <v>43</v>
      </c>
      <c r="D1522" s="1" t="s">
        <v>71</v>
      </c>
      <c r="E1522" s="1" t="s">
        <v>21</v>
      </c>
      <c r="F1522" s="1" t="s">
        <v>22</v>
      </c>
      <c r="G1522" s="2">
        <v>45790</v>
      </c>
      <c r="H1522" s="2">
        <v>45791</v>
      </c>
      <c r="I1522" s="1" t="s">
        <v>39</v>
      </c>
      <c r="J1522">
        <v>4</v>
      </c>
      <c r="K1522">
        <v>1</v>
      </c>
      <c r="L1522">
        <v>3</v>
      </c>
      <c r="M1522" s="1" t="s">
        <v>24</v>
      </c>
      <c r="N1522" s="2">
        <v>45778</v>
      </c>
      <c r="O1522">
        <v>2025</v>
      </c>
      <c r="P1522">
        <v>2</v>
      </c>
      <c r="Q1522" s="1" t="s">
        <v>24</v>
      </c>
    </row>
    <row r="1523" spans="1:17" x14ac:dyDescent="0.3">
      <c r="A1523" s="1" t="s">
        <v>1588</v>
      </c>
      <c r="B1523" s="1" t="s">
        <v>58</v>
      </c>
      <c r="C1523" s="1" t="s">
        <v>70</v>
      </c>
      <c r="D1523" s="1" t="s">
        <v>51</v>
      </c>
      <c r="E1523" s="1" t="s">
        <v>21</v>
      </c>
      <c r="F1523" s="1" t="s">
        <v>22</v>
      </c>
      <c r="G1523" s="2">
        <v>45908</v>
      </c>
      <c r="H1523" s="2">
        <v>45917</v>
      </c>
      <c r="I1523" s="1" t="s">
        <v>32</v>
      </c>
      <c r="J1523">
        <v>4</v>
      </c>
      <c r="K1523">
        <v>9</v>
      </c>
      <c r="L1523">
        <v>10</v>
      </c>
      <c r="M1523" s="1" t="s">
        <v>24</v>
      </c>
      <c r="N1523" s="2">
        <v>45901</v>
      </c>
      <c r="O1523">
        <v>2025</v>
      </c>
      <c r="P1523">
        <v>3</v>
      </c>
      <c r="Q1523" s="1" t="s">
        <v>24</v>
      </c>
    </row>
    <row r="1524" spans="1:17" x14ac:dyDescent="0.3">
      <c r="A1524" s="1" t="s">
        <v>1589</v>
      </c>
      <c r="B1524" s="1" t="s">
        <v>35</v>
      </c>
      <c r="C1524" s="1" t="s">
        <v>50</v>
      </c>
      <c r="D1524" s="1" t="s">
        <v>51</v>
      </c>
      <c r="E1524" s="1" t="s">
        <v>21</v>
      </c>
      <c r="F1524" s="1" t="s">
        <v>52</v>
      </c>
      <c r="G1524" s="2">
        <v>45670</v>
      </c>
      <c r="H1524" s="2">
        <v>45680</v>
      </c>
      <c r="I1524" s="1" t="s">
        <v>32</v>
      </c>
      <c r="J1524">
        <v>3</v>
      </c>
      <c r="K1524">
        <v>10</v>
      </c>
      <c r="L1524">
        <v>10</v>
      </c>
      <c r="M1524" s="1" t="s">
        <v>24</v>
      </c>
      <c r="N1524" s="2">
        <v>45658</v>
      </c>
      <c r="O1524">
        <v>2025</v>
      </c>
      <c r="P1524">
        <v>1</v>
      </c>
      <c r="Q1524" s="1" t="s">
        <v>24</v>
      </c>
    </row>
    <row r="1525" spans="1:17" x14ac:dyDescent="0.3">
      <c r="A1525" s="1" t="s">
        <v>1590</v>
      </c>
      <c r="B1525" s="1" t="s">
        <v>58</v>
      </c>
      <c r="C1525" s="1" t="s">
        <v>70</v>
      </c>
      <c r="D1525" s="1" t="s">
        <v>51</v>
      </c>
      <c r="E1525" s="1" t="s">
        <v>21</v>
      </c>
      <c r="F1525" s="1" t="s">
        <v>38</v>
      </c>
      <c r="G1525" s="2">
        <v>45676</v>
      </c>
      <c r="H1525" s="2">
        <v>45679</v>
      </c>
      <c r="I1525" s="1" t="s">
        <v>82</v>
      </c>
      <c r="J1525">
        <v>4</v>
      </c>
      <c r="K1525">
        <v>3</v>
      </c>
      <c r="L1525">
        <v>10</v>
      </c>
      <c r="M1525" s="1" t="s">
        <v>24</v>
      </c>
      <c r="N1525" s="2">
        <v>45658</v>
      </c>
      <c r="O1525">
        <v>2025</v>
      </c>
      <c r="P1525">
        <v>1</v>
      </c>
      <c r="Q1525" s="1" t="s">
        <v>24</v>
      </c>
    </row>
    <row r="1526" spans="1:17" x14ac:dyDescent="0.3">
      <c r="A1526" s="1" t="s">
        <v>1591</v>
      </c>
      <c r="B1526" s="1" t="s">
        <v>18</v>
      </c>
      <c r="C1526" s="1" t="s">
        <v>30</v>
      </c>
      <c r="D1526" s="1" t="s">
        <v>20</v>
      </c>
      <c r="E1526" s="1" t="s">
        <v>21</v>
      </c>
      <c r="F1526" s="1" t="s">
        <v>31</v>
      </c>
      <c r="G1526" s="2">
        <v>45706</v>
      </c>
      <c r="H1526" s="2">
        <v>45711</v>
      </c>
      <c r="I1526" s="1" t="s">
        <v>39</v>
      </c>
      <c r="J1526">
        <v>5</v>
      </c>
      <c r="K1526">
        <v>5</v>
      </c>
      <c r="L1526">
        <v>14</v>
      </c>
      <c r="M1526" s="1" t="s">
        <v>24</v>
      </c>
      <c r="N1526" s="2">
        <v>45689</v>
      </c>
      <c r="O1526">
        <v>2025</v>
      </c>
      <c r="P1526">
        <v>1</v>
      </c>
      <c r="Q1526" s="1" t="s">
        <v>24</v>
      </c>
    </row>
    <row r="1527" spans="1:17" x14ac:dyDescent="0.3">
      <c r="A1527" s="1" t="s">
        <v>1592</v>
      </c>
      <c r="B1527" s="1" t="s">
        <v>35</v>
      </c>
      <c r="C1527" s="1" t="s">
        <v>97</v>
      </c>
      <c r="D1527" s="1" t="s">
        <v>71</v>
      </c>
      <c r="E1527" s="1" t="s">
        <v>21</v>
      </c>
      <c r="F1527" s="1" t="s">
        <v>52</v>
      </c>
      <c r="G1527" s="2">
        <v>45782</v>
      </c>
      <c r="H1527" s="2">
        <v>45785</v>
      </c>
      <c r="I1527" s="1" t="s">
        <v>32</v>
      </c>
      <c r="J1527">
        <v>2</v>
      </c>
      <c r="K1527">
        <v>3</v>
      </c>
      <c r="L1527">
        <v>3</v>
      </c>
      <c r="M1527" s="1" t="s">
        <v>24</v>
      </c>
      <c r="N1527" s="2">
        <v>45778</v>
      </c>
      <c r="O1527">
        <v>2025</v>
      </c>
      <c r="P1527">
        <v>2</v>
      </c>
      <c r="Q1527" s="1" t="s">
        <v>24</v>
      </c>
    </row>
    <row r="1528" spans="1:17" x14ac:dyDescent="0.3">
      <c r="A1528" s="1" t="s">
        <v>1593</v>
      </c>
      <c r="B1528" s="1" t="s">
        <v>42</v>
      </c>
      <c r="C1528" s="1" t="s">
        <v>76</v>
      </c>
      <c r="D1528" s="1" t="s">
        <v>51</v>
      </c>
      <c r="E1528" s="1" t="s">
        <v>21</v>
      </c>
      <c r="F1528" s="1" t="s">
        <v>38</v>
      </c>
      <c r="G1528" s="2">
        <v>45709</v>
      </c>
      <c r="H1528" s="2">
        <v>45717</v>
      </c>
      <c r="I1528" s="1" t="s">
        <v>32</v>
      </c>
      <c r="J1528">
        <v>4</v>
      </c>
      <c r="K1528">
        <v>8</v>
      </c>
      <c r="L1528">
        <v>10</v>
      </c>
      <c r="M1528" s="1" t="s">
        <v>24</v>
      </c>
      <c r="N1528" s="2">
        <v>45689</v>
      </c>
      <c r="O1528">
        <v>2025</v>
      </c>
      <c r="P1528">
        <v>1</v>
      </c>
      <c r="Q1528" s="1" t="s">
        <v>24</v>
      </c>
    </row>
    <row r="1529" spans="1:17" x14ac:dyDescent="0.3">
      <c r="A1529" s="1" t="s">
        <v>1594</v>
      </c>
      <c r="B1529" s="1" t="s">
        <v>18</v>
      </c>
      <c r="C1529" s="1" t="s">
        <v>56</v>
      </c>
      <c r="D1529" s="1" t="s">
        <v>51</v>
      </c>
      <c r="E1529" s="1" t="s">
        <v>21</v>
      </c>
      <c r="F1529" s="1" t="s">
        <v>31</v>
      </c>
      <c r="G1529" s="2">
        <v>45789</v>
      </c>
      <c r="H1529" s="2">
        <v>45792</v>
      </c>
      <c r="I1529" s="1" t="s">
        <v>23</v>
      </c>
      <c r="J1529">
        <v>5</v>
      </c>
      <c r="K1529">
        <v>3</v>
      </c>
      <c r="L1529">
        <v>10</v>
      </c>
      <c r="M1529" s="1" t="s">
        <v>24</v>
      </c>
      <c r="N1529" s="2">
        <v>45778</v>
      </c>
      <c r="O1529">
        <v>2025</v>
      </c>
      <c r="P1529">
        <v>2</v>
      </c>
      <c r="Q1529" s="1" t="s">
        <v>24</v>
      </c>
    </row>
    <row r="1530" spans="1:17" x14ac:dyDescent="0.3">
      <c r="A1530" s="1" t="s">
        <v>1595</v>
      </c>
      <c r="B1530" s="1" t="s">
        <v>63</v>
      </c>
      <c r="C1530" s="1" t="s">
        <v>84</v>
      </c>
      <c r="D1530" s="1" t="s">
        <v>71</v>
      </c>
      <c r="E1530" s="1" t="s">
        <v>21</v>
      </c>
      <c r="F1530" s="1" t="s">
        <v>38</v>
      </c>
      <c r="G1530" s="2">
        <v>45934</v>
      </c>
      <c r="H1530" s="2">
        <v>45935</v>
      </c>
      <c r="I1530" s="1" t="s">
        <v>32</v>
      </c>
      <c r="J1530">
        <v>5</v>
      </c>
      <c r="K1530">
        <v>1</v>
      </c>
      <c r="L1530">
        <v>3</v>
      </c>
      <c r="M1530" s="1" t="s">
        <v>24</v>
      </c>
      <c r="N1530" s="2">
        <v>45931</v>
      </c>
      <c r="O1530">
        <v>2025</v>
      </c>
      <c r="P1530">
        <v>4</v>
      </c>
      <c r="Q1530" s="1" t="s">
        <v>24</v>
      </c>
    </row>
    <row r="1531" spans="1:17" x14ac:dyDescent="0.3">
      <c r="A1531" s="1" t="s">
        <v>1596</v>
      </c>
      <c r="B1531" s="1" t="s">
        <v>26</v>
      </c>
      <c r="C1531" s="1" t="s">
        <v>27</v>
      </c>
      <c r="D1531" s="1" t="s">
        <v>20</v>
      </c>
      <c r="E1531" s="1" t="s">
        <v>48</v>
      </c>
      <c r="F1531" s="1" t="s">
        <v>61</v>
      </c>
      <c r="G1531" s="2">
        <v>45798</v>
      </c>
      <c r="H1531" s="2"/>
      <c r="I1531" s="1" t="s">
        <v>32</v>
      </c>
      <c r="L1531">
        <v>14</v>
      </c>
      <c r="M1531" s="1" t="s">
        <v>40</v>
      </c>
      <c r="N1531" s="2">
        <v>45778</v>
      </c>
      <c r="O1531">
        <v>2025</v>
      </c>
      <c r="P1531">
        <v>2</v>
      </c>
      <c r="Q1531" s="1" t="s">
        <v>33</v>
      </c>
    </row>
    <row r="1532" spans="1:17" x14ac:dyDescent="0.3">
      <c r="A1532" s="1" t="s">
        <v>1597</v>
      </c>
      <c r="B1532" s="1" t="s">
        <v>26</v>
      </c>
      <c r="C1532" s="1" t="s">
        <v>67</v>
      </c>
      <c r="D1532" s="1" t="s">
        <v>51</v>
      </c>
      <c r="E1532" s="1" t="s">
        <v>48</v>
      </c>
      <c r="F1532" s="1" t="s">
        <v>52</v>
      </c>
      <c r="G1532" s="2">
        <v>46005</v>
      </c>
      <c r="H1532" s="2"/>
      <c r="I1532" s="1" t="s">
        <v>32</v>
      </c>
      <c r="L1532">
        <v>10</v>
      </c>
      <c r="M1532" s="1" t="s">
        <v>40</v>
      </c>
      <c r="N1532" s="2">
        <v>45992</v>
      </c>
      <c r="O1532">
        <v>2025</v>
      </c>
      <c r="P1532">
        <v>4</v>
      </c>
      <c r="Q1532" s="1" t="s">
        <v>33</v>
      </c>
    </row>
    <row r="1533" spans="1:17" x14ac:dyDescent="0.3">
      <c r="A1533" s="1" t="s">
        <v>1598</v>
      </c>
      <c r="B1533" s="1" t="s">
        <v>42</v>
      </c>
      <c r="C1533" s="1" t="s">
        <v>87</v>
      </c>
      <c r="D1533" s="1" t="s">
        <v>20</v>
      </c>
      <c r="E1533" s="1" t="s">
        <v>37</v>
      </c>
      <c r="F1533" s="1" t="s">
        <v>61</v>
      </c>
      <c r="G1533" s="2">
        <v>45994</v>
      </c>
      <c r="H1533" s="2"/>
      <c r="I1533" s="1" t="s">
        <v>32</v>
      </c>
      <c r="L1533">
        <v>14</v>
      </c>
      <c r="M1533" s="1" t="s">
        <v>40</v>
      </c>
      <c r="N1533" s="2">
        <v>45992</v>
      </c>
      <c r="O1533">
        <v>2025</v>
      </c>
      <c r="P1533">
        <v>4</v>
      </c>
      <c r="Q1533" s="1" t="s">
        <v>33</v>
      </c>
    </row>
    <row r="1534" spans="1:17" x14ac:dyDescent="0.3">
      <c r="A1534" s="1" t="s">
        <v>1599</v>
      </c>
      <c r="B1534" s="1" t="s">
        <v>35</v>
      </c>
      <c r="C1534" s="1" t="s">
        <v>50</v>
      </c>
      <c r="D1534" s="1" t="s">
        <v>51</v>
      </c>
      <c r="E1534" s="1" t="s">
        <v>48</v>
      </c>
      <c r="F1534" s="1" t="s">
        <v>38</v>
      </c>
      <c r="G1534" s="2">
        <v>45820</v>
      </c>
      <c r="H1534" s="2"/>
      <c r="I1534" s="1" t="s">
        <v>28</v>
      </c>
      <c r="L1534">
        <v>10</v>
      </c>
      <c r="M1534" s="1" t="s">
        <v>40</v>
      </c>
      <c r="N1534" s="2">
        <v>45809</v>
      </c>
      <c r="O1534">
        <v>2025</v>
      </c>
      <c r="P1534">
        <v>2</v>
      </c>
      <c r="Q1534" s="1" t="s">
        <v>33</v>
      </c>
    </row>
    <row r="1535" spans="1:17" x14ac:dyDescent="0.3">
      <c r="A1535" s="1" t="s">
        <v>1600</v>
      </c>
      <c r="B1535" s="1" t="s">
        <v>63</v>
      </c>
      <c r="C1535" s="1" t="s">
        <v>74</v>
      </c>
      <c r="D1535" s="1" t="s">
        <v>44</v>
      </c>
      <c r="E1535" s="1" t="s">
        <v>21</v>
      </c>
      <c r="F1535" s="1" t="s">
        <v>22</v>
      </c>
      <c r="G1535" s="2">
        <v>45971</v>
      </c>
      <c r="H1535" s="2">
        <v>45974</v>
      </c>
      <c r="I1535" s="1" t="s">
        <v>39</v>
      </c>
      <c r="J1535">
        <v>5</v>
      </c>
      <c r="K1535">
        <v>3</v>
      </c>
      <c r="L1535">
        <v>7</v>
      </c>
      <c r="M1535" s="1" t="s">
        <v>24</v>
      </c>
      <c r="N1535" s="2">
        <v>45962</v>
      </c>
      <c r="O1535">
        <v>2025</v>
      </c>
      <c r="P1535">
        <v>4</v>
      </c>
      <c r="Q1535" s="1" t="s">
        <v>24</v>
      </c>
    </row>
    <row r="1536" spans="1:17" x14ac:dyDescent="0.3">
      <c r="A1536" s="1" t="s">
        <v>1601</v>
      </c>
      <c r="B1536" s="1" t="s">
        <v>26</v>
      </c>
      <c r="C1536" s="1" t="s">
        <v>27</v>
      </c>
      <c r="D1536" s="1" t="s">
        <v>51</v>
      </c>
      <c r="E1536" s="1" t="s">
        <v>21</v>
      </c>
      <c r="F1536" s="1" t="s">
        <v>38</v>
      </c>
      <c r="G1536" s="2">
        <v>45857</v>
      </c>
      <c r="H1536" s="2">
        <v>45866</v>
      </c>
      <c r="I1536" s="1" t="s">
        <v>32</v>
      </c>
      <c r="J1536">
        <v>5</v>
      </c>
      <c r="K1536">
        <v>9</v>
      </c>
      <c r="L1536">
        <v>10</v>
      </c>
      <c r="M1536" s="1" t="s">
        <v>24</v>
      </c>
      <c r="N1536" s="2">
        <v>45839</v>
      </c>
      <c r="O1536">
        <v>2025</v>
      </c>
      <c r="P1536">
        <v>3</v>
      </c>
      <c r="Q1536" s="1" t="s">
        <v>24</v>
      </c>
    </row>
    <row r="1537" spans="1:17" x14ac:dyDescent="0.3">
      <c r="A1537" s="1" t="s">
        <v>1602</v>
      </c>
      <c r="B1537" s="1" t="s">
        <v>35</v>
      </c>
      <c r="C1537" s="1" t="s">
        <v>97</v>
      </c>
      <c r="D1537" s="1" t="s">
        <v>51</v>
      </c>
      <c r="E1537" s="1" t="s">
        <v>21</v>
      </c>
      <c r="F1537" s="1" t="s">
        <v>61</v>
      </c>
      <c r="G1537" s="2">
        <v>45894</v>
      </c>
      <c r="H1537" s="2">
        <v>45903</v>
      </c>
      <c r="I1537" s="1" t="s">
        <v>39</v>
      </c>
      <c r="J1537">
        <v>3</v>
      </c>
      <c r="K1537">
        <v>9</v>
      </c>
      <c r="L1537">
        <v>10</v>
      </c>
      <c r="M1537" s="1" t="s">
        <v>24</v>
      </c>
      <c r="N1537" s="2">
        <v>45870</v>
      </c>
      <c r="O1537">
        <v>2025</v>
      </c>
      <c r="P1537">
        <v>3</v>
      </c>
      <c r="Q1537" s="1" t="s">
        <v>24</v>
      </c>
    </row>
    <row r="1538" spans="1:17" x14ac:dyDescent="0.3">
      <c r="A1538" s="1" t="s">
        <v>1603</v>
      </c>
      <c r="B1538" s="1" t="s">
        <v>35</v>
      </c>
      <c r="C1538" s="1" t="s">
        <v>50</v>
      </c>
      <c r="D1538" s="1" t="s">
        <v>20</v>
      </c>
      <c r="E1538" s="1" t="s">
        <v>37</v>
      </c>
      <c r="F1538" s="1" t="s">
        <v>31</v>
      </c>
      <c r="G1538" s="2">
        <v>45698</v>
      </c>
      <c r="H1538" s="2"/>
      <c r="I1538" s="1" t="s">
        <v>82</v>
      </c>
      <c r="L1538">
        <v>14</v>
      </c>
      <c r="M1538" s="1" t="s">
        <v>40</v>
      </c>
      <c r="N1538" s="2">
        <v>45689</v>
      </c>
      <c r="O1538">
        <v>2025</v>
      </c>
      <c r="P1538">
        <v>1</v>
      </c>
      <c r="Q1538" s="1" t="s">
        <v>33</v>
      </c>
    </row>
    <row r="1539" spans="1:17" x14ac:dyDescent="0.3">
      <c r="A1539" s="1" t="s">
        <v>1604</v>
      </c>
      <c r="B1539" s="1" t="s">
        <v>35</v>
      </c>
      <c r="C1539" s="1" t="s">
        <v>99</v>
      </c>
      <c r="D1539" s="1" t="s">
        <v>20</v>
      </c>
      <c r="E1539" s="1" t="s">
        <v>48</v>
      </c>
      <c r="F1539" s="1" t="s">
        <v>52</v>
      </c>
      <c r="G1539" s="2">
        <v>45847</v>
      </c>
      <c r="H1539" s="2"/>
      <c r="I1539" s="1" t="s">
        <v>32</v>
      </c>
      <c r="L1539">
        <v>14</v>
      </c>
      <c r="M1539" s="1" t="s">
        <v>40</v>
      </c>
      <c r="N1539" s="2">
        <v>45839</v>
      </c>
      <c r="O1539">
        <v>2025</v>
      </c>
      <c r="P1539">
        <v>3</v>
      </c>
      <c r="Q1539" s="1" t="s">
        <v>33</v>
      </c>
    </row>
    <row r="1540" spans="1:17" x14ac:dyDescent="0.3">
      <c r="A1540" s="1" t="s">
        <v>1605</v>
      </c>
      <c r="B1540" s="1" t="s">
        <v>35</v>
      </c>
      <c r="C1540" s="1" t="s">
        <v>50</v>
      </c>
      <c r="D1540" s="1" t="s">
        <v>51</v>
      </c>
      <c r="E1540" s="1" t="s">
        <v>21</v>
      </c>
      <c r="F1540" s="1" t="s">
        <v>22</v>
      </c>
      <c r="G1540" s="2">
        <v>45977</v>
      </c>
      <c r="H1540" s="2">
        <v>45981</v>
      </c>
      <c r="I1540" s="1" t="s">
        <v>39</v>
      </c>
      <c r="J1540">
        <v>4</v>
      </c>
      <c r="K1540">
        <v>4</v>
      </c>
      <c r="L1540">
        <v>10</v>
      </c>
      <c r="M1540" s="1" t="s">
        <v>24</v>
      </c>
      <c r="N1540" s="2">
        <v>45962</v>
      </c>
      <c r="O1540">
        <v>2025</v>
      </c>
      <c r="P1540">
        <v>4</v>
      </c>
      <c r="Q1540" s="1" t="s">
        <v>24</v>
      </c>
    </row>
    <row r="1541" spans="1:17" x14ac:dyDescent="0.3">
      <c r="A1541" s="1" t="s">
        <v>1606</v>
      </c>
      <c r="B1541" s="1" t="s">
        <v>58</v>
      </c>
      <c r="C1541" s="1" t="s">
        <v>70</v>
      </c>
      <c r="D1541" s="1" t="s">
        <v>44</v>
      </c>
      <c r="E1541" s="1" t="s">
        <v>21</v>
      </c>
      <c r="F1541" s="1" t="s">
        <v>22</v>
      </c>
      <c r="G1541" s="2">
        <v>45909</v>
      </c>
      <c r="H1541" s="2">
        <v>45911</v>
      </c>
      <c r="I1541" s="1" t="s">
        <v>28</v>
      </c>
      <c r="J1541">
        <v>4</v>
      </c>
      <c r="K1541">
        <v>2</v>
      </c>
      <c r="L1541">
        <v>7</v>
      </c>
      <c r="M1541" s="1" t="s">
        <v>24</v>
      </c>
      <c r="N1541" s="2">
        <v>45901</v>
      </c>
      <c r="O1541">
        <v>2025</v>
      </c>
      <c r="P1541">
        <v>3</v>
      </c>
      <c r="Q1541" s="1" t="s">
        <v>24</v>
      </c>
    </row>
    <row r="1542" spans="1:17" x14ac:dyDescent="0.3">
      <c r="A1542" s="1" t="s">
        <v>1607</v>
      </c>
      <c r="B1542" s="1" t="s">
        <v>58</v>
      </c>
      <c r="C1542" s="1" t="s">
        <v>70</v>
      </c>
      <c r="D1542" s="1" t="s">
        <v>20</v>
      </c>
      <c r="E1542" s="1" t="s">
        <v>21</v>
      </c>
      <c r="F1542" s="1" t="s">
        <v>61</v>
      </c>
      <c r="G1542" s="2">
        <v>45714</v>
      </c>
      <c r="H1542" s="2">
        <v>45726</v>
      </c>
      <c r="I1542" s="1" t="s">
        <v>39</v>
      </c>
      <c r="J1542">
        <v>3</v>
      </c>
      <c r="K1542">
        <v>12</v>
      </c>
      <c r="L1542">
        <v>14</v>
      </c>
      <c r="M1542" s="1" t="s">
        <v>24</v>
      </c>
      <c r="N1542" s="2">
        <v>45689</v>
      </c>
      <c r="O1542">
        <v>2025</v>
      </c>
      <c r="P1542">
        <v>1</v>
      </c>
      <c r="Q1542" s="1" t="s">
        <v>24</v>
      </c>
    </row>
    <row r="1543" spans="1:17" x14ac:dyDescent="0.3">
      <c r="A1543" s="1" t="s">
        <v>1608</v>
      </c>
      <c r="B1543" s="1" t="s">
        <v>26</v>
      </c>
      <c r="C1543" s="1" t="s">
        <v>27</v>
      </c>
      <c r="D1543" s="1" t="s">
        <v>51</v>
      </c>
      <c r="E1543" s="1" t="s">
        <v>21</v>
      </c>
      <c r="F1543" s="1" t="s">
        <v>52</v>
      </c>
      <c r="G1543" s="2">
        <v>45964</v>
      </c>
      <c r="H1543" s="2">
        <v>45970</v>
      </c>
      <c r="I1543" s="1" t="s">
        <v>23</v>
      </c>
      <c r="J1543">
        <v>4</v>
      </c>
      <c r="K1543">
        <v>6</v>
      </c>
      <c r="L1543">
        <v>10</v>
      </c>
      <c r="M1543" s="1" t="s">
        <v>24</v>
      </c>
      <c r="N1543" s="2">
        <v>45962</v>
      </c>
      <c r="O1543">
        <v>2025</v>
      </c>
      <c r="P1543">
        <v>4</v>
      </c>
      <c r="Q1543" s="1" t="s">
        <v>24</v>
      </c>
    </row>
    <row r="1544" spans="1:17" x14ac:dyDescent="0.3">
      <c r="A1544" s="1" t="s">
        <v>1609</v>
      </c>
      <c r="B1544" s="1" t="s">
        <v>18</v>
      </c>
      <c r="C1544" s="1" t="s">
        <v>56</v>
      </c>
      <c r="D1544" s="1" t="s">
        <v>51</v>
      </c>
      <c r="E1544" s="1" t="s">
        <v>21</v>
      </c>
      <c r="F1544" s="1" t="s">
        <v>31</v>
      </c>
      <c r="G1544" s="2">
        <v>45773</v>
      </c>
      <c r="H1544" s="2">
        <v>45781</v>
      </c>
      <c r="I1544" s="1" t="s">
        <v>32</v>
      </c>
      <c r="J1544">
        <v>4</v>
      </c>
      <c r="K1544">
        <v>8</v>
      </c>
      <c r="L1544">
        <v>10</v>
      </c>
      <c r="M1544" s="1" t="s">
        <v>24</v>
      </c>
      <c r="N1544" s="2">
        <v>45748</v>
      </c>
      <c r="O1544">
        <v>2025</v>
      </c>
      <c r="P1544">
        <v>2</v>
      </c>
      <c r="Q1544" s="1" t="s">
        <v>24</v>
      </c>
    </row>
    <row r="1545" spans="1:17" x14ac:dyDescent="0.3">
      <c r="A1545" s="1" t="s">
        <v>1610</v>
      </c>
      <c r="B1545" s="1" t="s">
        <v>58</v>
      </c>
      <c r="C1545" s="1" t="s">
        <v>108</v>
      </c>
      <c r="D1545" s="1" t="s">
        <v>44</v>
      </c>
      <c r="E1545" s="1" t="s">
        <v>21</v>
      </c>
      <c r="F1545" s="1" t="s">
        <v>52</v>
      </c>
      <c r="G1545" s="2">
        <v>45805</v>
      </c>
      <c r="H1545" s="2">
        <v>45806</v>
      </c>
      <c r="I1545" s="1" t="s">
        <v>39</v>
      </c>
      <c r="J1545">
        <v>4</v>
      </c>
      <c r="K1545">
        <v>1</v>
      </c>
      <c r="L1545">
        <v>7</v>
      </c>
      <c r="M1545" s="1" t="s">
        <v>24</v>
      </c>
      <c r="N1545" s="2">
        <v>45778</v>
      </c>
      <c r="O1545">
        <v>2025</v>
      </c>
      <c r="P1545">
        <v>2</v>
      </c>
      <c r="Q1545" s="1" t="s">
        <v>24</v>
      </c>
    </row>
    <row r="1546" spans="1:17" x14ac:dyDescent="0.3">
      <c r="A1546" s="1" t="s">
        <v>1611</v>
      </c>
      <c r="B1546" s="1" t="s">
        <v>18</v>
      </c>
      <c r="C1546" s="1" t="s">
        <v>47</v>
      </c>
      <c r="D1546" s="1" t="s">
        <v>51</v>
      </c>
      <c r="E1546" s="1" t="s">
        <v>21</v>
      </c>
      <c r="F1546" s="1" t="s">
        <v>31</v>
      </c>
      <c r="G1546" s="2">
        <v>45955</v>
      </c>
      <c r="H1546" s="2">
        <v>45963</v>
      </c>
      <c r="I1546" s="1" t="s">
        <v>28</v>
      </c>
      <c r="J1546">
        <v>5</v>
      </c>
      <c r="K1546">
        <v>8</v>
      </c>
      <c r="L1546">
        <v>10</v>
      </c>
      <c r="M1546" s="1" t="s">
        <v>24</v>
      </c>
      <c r="N1546" s="2">
        <v>45931</v>
      </c>
      <c r="O1546">
        <v>2025</v>
      </c>
      <c r="P1546">
        <v>4</v>
      </c>
      <c r="Q1546" s="1" t="s">
        <v>24</v>
      </c>
    </row>
    <row r="1547" spans="1:17" x14ac:dyDescent="0.3">
      <c r="A1547" s="1" t="s">
        <v>1612</v>
      </c>
      <c r="B1547" s="1" t="s">
        <v>18</v>
      </c>
      <c r="C1547" s="1" t="s">
        <v>19</v>
      </c>
      <c r="D1547" s="1" t="s">
        <v>51</v>
      </c>
      <c r="E1547" s="1" t="s">
        <v>21</v>
      </c>
      <c r="F1547" s="1" t="s">
        <v>22</v>
      </c>
      <c r="G1547" s="2">
        <v>45975</v>
      </c>
      <c r="H1547" s="2">
        <v>45985</v>
      </c>
      <c r="I1547" s="1" t="s">
        <v>82</v>
      </c>
      <c r="J1547">
        <v>5</v>
      </c>
      <c r="K1547">
        <v>10</v>
      </c>
      <c r="L1547">
        <v>10</v>
      </c>
      <c r="M1547" s="1" t="s">
        <v>24</v>
      </c>
      <c r="N1547" s="2">
        <v>45962</v>
      </c>
      <c r="O1547">
        <v>2025</v>
      </c>
      <c r="P1547">
        <v>4</v>
      </c>
      <c r="Q1547" s="1" t="s">
        <v>24</v>
      </c>
    </row>
    <row r="1548" spans="1:17" x14ac:dyDescent="0.3">
      <c r="A1548" s="1" t="s">
        <v>1613</v>
      </c>
      <c r="B1548" s="1" t="s">
        <v>18</v>
      </c>
      <c r="C1548" s="1" t="s">
        <v>30</v>
      </c>
      <c r="D1548" s="1" t="s">
        <v>71</v>
      </c>
      <c r="E1548" s="1" t="s">
        <v>21</v>
      </c>
      <c r="F1548" s="1" t="s">
        <v>31</v>
      </c>
      <c r="G1548" s="2">
        <v>45785</v>
      </c>
      <c r="H1548" s="2">
        <v>45786</v>
      </c>
      <c r="I1548" s="1" t="s">
        <v>23</v>
      </c>
      <c r="J1548">
        <v>4</v>
      </c>
      <c r="K1548">
        <v>1</v>
      </c>
      <c r="L1548">
        <v>3</v>
      </c>
      <c r="M1548" s="1" t="s">
        <v>24</v>
      </c>
      <c r="N1548" s="2">
        <v>45778</v>
      </c>
      <c r="O1548">
        <v>2025</v>
      </c>
      <c r="P1548">
        <v>2</v>
      </c>
      <c r="Q1548" s="1" t="s">
        <v>24</v>
      </c>
    </row>
    <row r="1549" spans="1:17" x14ac:dyDescent="0.3">
      <c r="A1549" s="1" t="s">
        <v>1614</v>
      </c>
      <c r="B1549" s="1" t="s">
        <v>35</v>
      </c>
      <c r="C1549" s="1" t="s">
        <v>99</v>
      </c>
      <c r="D1549" s="1" t="s">
        <v>44</v>
      </c>
      <c r="E1549" s="1" t="s">
        <v>48</v>
      </c>
      <c r="F1549" s="1" t="s">
        <v>31</v>
      </c>
      <c r="G1549" s="2">
        <v>45992</v>
      </c>
      <c r="H1549" s="2"/>
      <c r="I1549" s="1" t="s">
        <v>82</v>
      </c>
      <c r="L1549">
        <v>7</v>
      </c>
      <c r="M1549" s="1" t="s">
        <v>40</v>
      </c>
      <c r="N1549" s="2">
        <v>45992</v>
      </c>
      <c r="O1549">
        <v>2025</v>
      </c>
      <c r="P1549">
        <v>4</v>
      </c>
      <c r="Q1549" s="1" t="s">
        <v>33</v>
      </c>
    </row>
    <row r="1550" spans="1:17" x14ac:dyDescent="0.3">
      <c r="A1550" s="1" t="s">
        <v>1615</v>
      </c>
      <c r="B1550" s="1" t="s">
        <v>26</v>
      </c>
      <c r="C1550" s="1" t="s">
        <v>54</v>
      </c>
      <c r="D1550" s="1" t="s">
        <v>44</v>
      </c>
      <c r="E1550" s="1" t="s">
        <v>21</v>
      </c>
      <c r="F1550" s="1" t="s">
        <v>61</v>
      </c>
      <c r="G1550" s="2">
        <v>45846</v>
      </c>
      <c r="H1550" s="2">
        <v>45852</v>
      </c>
      <c r="I1550" s="1" t="s">
        <v>39</v>
      </c>
      <c r="J1550">
        <v>5</v>
      </c>
      <c r="K1550">
        <v>6</v>
      </c>
      <c r="L1550">
        <v>7</v>
      </c>
      <c r="M1550" s="1" t="s">
        <v>24</v>
      </c>
      <c r="N1550" s="2">
        <v>45839</v>
      </c>
      <c r="O1550">
        <v>2025</v>
      </c>
      <c r="P1550">
        <v>3</v>
      </c>
      <c r="Q1550" s="1" t="s">
        <v>24</v>
      </c>
    </row>
    <row r="1551" spans="1:17" x14ac:dyDescent="0.3">
      <c r="A1551" s="1" t="s">
        <v>1616</v>
      </c>
      <c r="B1551" s="1" t="s">
        <v>18</v>
      </c>
      <c r="C1551" s="1" t="s">
        <v>47</v>
      </c>
      <c r="D1551" s="1" t="s">
        <v>51</v>
      </c>
      <c r="E1551" s="1" t="s">
        <v>21</v>
      </c>
      <c r="F1551" s="1" t="s">
        <v>31</v>
      </c>
      <c r="G1551" s="2">
        <v>45673</v>
      </c>
      <c r="H1551" s="2">
        <v>45678</v>
      </c>
      <c r="I1551" s="1" t="s">
        <v>28</v>
      </c>
      <c r="J1551">
        <v>4</v>
      </c>
      <c r="K1551">
        <v>5</v>
      </c>
      <c r="L1551">
        <v>10</v>
      </c>
      <c r="M1551" s="1" t="s">
        <v>24</v>
      </c>
      <c r="N1551" s="2">
        <v>45658</v>
      </c>
      <c r="O1551">
        <v>2025</v>
      </c>
      <c r="P1551">
        <v>1</v>
      </c>
      <c r="Q1551" s="1" t="s">
        <v>24</v>
      </c>
    </row>
    <row r="1552" spans="1:17" x14ac:dyDescent="0.3">
      <c r="A1552" s="1" t="s">
        <v>1617</v>
      </c>
      <c r="B1552" s="1" t="s">
        <v>18</v>
      </c>
      <c r="C1552" s="1" t="s">
        <v>30</v>
      </c>
      <c r="D1552" s="1" t="s">
        <v>71</v>
      </c>
      <c r="E1552" s="1" t="s">
        <v>37</v>
      </c>
      <c r="F1552" s="1" t="s">
        <v>22</v>
      </c>
      <c r="G1552" s="2">
        <v>45894</v>
      </c>
      <c r="H1552" s="2"/>
      <c r="I1552" s="1" t="s">
        <v>23</v>
      </c>
      <c r="L1552">
        <v>3</v>
      </c>
      <c r="M1552" s="1" t="s">
        <v>40</v>
      </c>
      <c r="N1552" s="2">
        <v>45870</v>
      </c>
      <c r="O1552">
        <v>2025</v>
      </c>
      <c r="P1552">
        <v>3</v>
      </c>
      <c r="Q1552" s="1" t="s">
        <v>33</v>
      </c>
    </row>
    <row r="1553" spans="1:17" x14ac:dyDescent="0.3">
      <c r="A1553" s="1" t="s">
        <v>1618</v>
      </c>
      <c r="B1553" s="1" t="s">
        <v>26</v>
      </c>
      <c r="C1553" s="1" t="s">
        <v>123</v>
      </c>
      <c r="D1553" s="1" t="s">
        <v>44</v>
      </c>
      <c r="E1553" s="1" t="s">
        <v>48</v>
      </c>
      <c r="F1553" s="1" t="s">
        <v>31</v>
      </c>
      <c r="G1553" s="2">
        <v>45783</v>
      </c>
      <c r="H1553" s="2"/>
      <c r="I1553" s="1" t="s">
        <v>23</v>
      </c>
      <c r="L1553">
        <v>7</v>
      </c>
      <c r="M1553" s="1" t="s">
        <v>40</v>
      </c>
      <c r="N1553" s="2">
        <v>45778</v>
      </c>
      <c r="O1553">
        <v>2025</v>
      </c>
      <c r="P1553">
        <v>2</v>
      </c>
      <c r="Q1553" s="1" t="s">
        <v>33</v>
      </c>
    </row>
    <row r="1554" spans="1:17" x14ac:dyDescent="0.3">
      <c r="A1554" s="1" t="s">
        <v>1619</v>
      </c>
      <c r="B1554" s="1" t="s">
        <v>42</v>
      </c>
      <c r="C1554" s="1" t="s">
        <v>81</v>
      </c>
      <c r="D1554" s="1" t="s">
        <v>51</v>
      </c>
      <c r="E1554" s="1" t="s">
        <v>21</v>
      </c>
      <c r="F1554" s="1" t="s">
        <v>38</v>
      </c>
      <c r="G1554" s="2">
        <v>45924</v>
      </c>
      <c r="H1554" s="2">
        <v>45933</v>
      </c>
      <c r="I1554" s="1" t="s">
        <v>39</v>
      </c>
      <c r="J1554">
        <v>5</v>
      </c>
      <c r="K1554">
        <v>9</v>
      </c>
      <c r="L1554">
        <v>10</v>
      </c>
      <c r="M1554" s="1" t="s">
        <v>24</v>
      </c>
      <c r="N1554" s="2">
        <v>45901</v>
      </c>
      <c r="O1554">
        <v>2025</v>
      </c>
      <c r="P1554">
        <v>3</v>
      </c>
      <c r="Q1554" s="1" t="s">
        <v>24</v>
      </c>
    </row>
    <row r="1555" spans="1:17" x14ac:dyDescent="0.3">
      <c r="A1555" s="1" t="s">
        <v>1620</v>
      </c>
      <c r="B1555" s="1" t="s">
        <v>35</v>
      </c>
      <c r="C1555" s="1" t="s">
        <v>99</v>
      </c>
      <c r="D1555" s="1" t="s">
        <v>44</v>
      </c>
      <c r="E1555" s="1" t="s">
        <v>21</v>
      </c>
      <c r="F1555" s="1" t="s">
        <v>31</v>
      </c>
      <c r="G1555" s="2">
        <v>45931</v>
      </c>
      <c r="H1555" s="2">
        <v>45937</v>
      </c>
      <c r="I1555" s="1" t="s">
        <v>23</v>
      </c>
      <c r="J1555">
        <v>1</v>
      </c>
      <c r="K1555">
        <v>6</v>
      </c>
      <c r="L1555">
        <v>7</v>
      </c>
      <c r="M1555" s="1" t="s">
        <v>24</v>
      </c>
      <c r="N1555" s="2">
        <v>45931</v>
      </c>
      <c r="O1555">
        <v>2025</v>
      </c>
      <c r="P1555">
        <v>4</v>
      </c>
      <c r="Q1555" s="1" t="s">
        <v>24</v>
      </c>
    </row>
    <row r="1556" spans="1:17" x14ac:dyDescent="0.3">
      <c r="A1556" s="1" t="s">
        <v>1621</v>
      </c>
      <c r="B1556" s="1" t="s">
        <v>35</v>
      </c>
      <c r="C1556" s="1" t="s">
        <v>50</v>
      </c>
      <c r="D1556" s="1" t="s">
        <v>44</v>
      </c>
      <c r="E1556" s="1" t="s">
        <v>21</v>
      </c>
      <c r="F1556" s="1" t="s">
        <v>22</v>
      </c>
      <c r="G1556" s="2">
        <v>45678</v>
      </c>
      <c r="H1556" s="2">
        <v>45681</v>
      </c>
      <c r="I1556" s="1" t="s">
        <v>39</v>
      </c>
      <c r="J1556">
        <v>4</v>
      </c>
      <c r="K1556">
        <v>3</v>
      </c>
      <c r="L1556">
        <v>7</v>
      </c>
      <c r="M1556" s="1" t="s">
        <v>24</v>
      </c>
      <c r="N1556" s="2">
        <v>45658</v>
      </c>
      <c r="O1556">
        <v>2025</v>
      </c>
      <c r="P1556">
        <v>1</v>
      </c>
      <c r="Q1556" s="1" t="s">
        <v>24</v>
      </c>
    </row>
    <row r="1557" spans="1:17" x14ac:dyDescent="0.3">
      <c r="A1557" s="1" t="s">
        <v>1622</v>
      </c>
      <c r="B1557" s="1" t="s">
        <v>58</v>
      </c>
      <c r="C1557" s="1" t="s">
        <v>70</v>
      </c>
      <c r="D1557" s="1" t="s">
        <v>20</v>
      </c>
      <c r="E1557" s="1" t="s">
        <v>37</v>
      </c>
      <c r="F1557" s="1" t="s">
        <v>38</v>
      </c>
      <c r="G1557" s="2">
        <v>45954</v>
      </c>
      <c r="H1557" s="2"/>
      <c r="I1557" s="1" t="s">
        <v>28</v>
      </c>
      <c r="L1557">
        <v>14</v>
      </c>
      <c r="M1557" s="1" t="s">
        <v>40</v>
      </c>
      <c r="N1557" s="2">
        <v>45931</v>
      </c>
      <c r="O1557">
        <v>2025</v>
      </c>
      <c r="P1557">
        <v>4</v>
      </c>
      <c r="Q1557" s="1" t="s">
        <v>33</v>
      </c>
    </row>
    <row r="1558" spans="1:17" x14ac:dyDescent="0.3">
      <c r="A1558" s="1" t="s">
        <v>1623</v>
      </c>
      <c r="B1558" s="1" t="s">
        <v>35</v>
      </c>
      <c r="C1558" s="1" t="s">
        <v>50</v>
      </c>
      <c r="D1558" s="1" t="s">
        <v>51</v>
      </c>
      <c r="E1558" s="1" t="s">
        <v>21</v>
      </c>
      <c r="F1558" s="1" t="s">
        <v>38</v>
      </c>
      <c r="G1558" s="2">
        <v>45782</v>
      </c>
      <c r="H1558" s="2">
        <v>45791</v>
      </c>
      <c r="I1558" s="1" t="s">
        <v>32</v>
      </c>
      <c r="J1558">
        <v>3</v>
      </c>
      <c r="K1558">
        <v>9</v>
      </c>
      <c r="L1558">
        <v>10</v>
      </c>
      <c r="M1558" s="1" t="s">
        <v>24</v>
      </c>
      <c r="N1558" s="2">
        <v>45778</v>
      </c>
      <c r="O1558">
        <v>2025</v>
      </c>
      <c r="P1558">
        <v>2</v>
      </c>
      <c r="Q1558" s="1" t="s">
        <v>24</v>
      </c>
    </row>
    <row r="1559" spans="1:17" x14ac:dyDescent="0.3">
      <c r="A1559" s="1" t="s">
        <v>1624</v>
      </c>
      <c r="B1559" s="1" t="s">
        <v>18</v>
      </c>
      <c r="C1559" s="1" t="s">
        <v>19</v>
      </c>
      <c r="D1559" s="1" t="s">
        <v>51</v>
      </c>
      <c r="E1559" s="1" t="s">
        <v>21</v>
      </c>
      <c r="F1559" s="1" t="s">
        <v>31</v>
      </c>
      <c r="G1559" s="2">
        <v>45783</v>
      </c>
      <c r="H1559" s="2">
        <v>45789</v>
      </c>
      <c r="I1559" s="1" t="s">
        <v>32</v>
      </c>
      <c r="J1559">
        <v>4</v>
      </c>
      <c r="K1559">
        <v>6</v>
      </c>
      <c r="L1559">
        <v>10</v>
      </c>
      <c r="M1559" s="1" t="s">
        <v>24</v>
      </c>
      <c r="N1559" s="2">
        <v>45778</v>
      </c>
      <c r="O1559">
        <v>2025</v>
      </c>
      <c r="P1559">
        <v>2</v>
      </c>
      <c r="Q1559" s="1" t="s">
        <v>24</v>
      </c>
    </row>
    <row r="1560" spans="1:17" x14ac:dyDescent="0.3">
      <c r="A1560" s="1" t="s">
        <v>1625</v>
      </c>
      <c r="B1560" s="1" t="s">
        <v>58</v>
      </c>
      <c r="C1560" s="1" t="s">
        <v>59</v>
      </c>
      <c r="D1560" s="1" t="s">
        <v>51</v>
      </c>
      <c r="E1560" s="1" t="s">
        <v>21</v>
      </c>
      <c r="F1560" s="1" t="s">
        <v>38</v>
      </c>
      <c r="G1560" s="2">
        <v>45729</v>
      </c>
      <c r="H1560" s="2">
        <v>45733</v>
      </c>
      <c r="I1560" s="1" t="s">
        <v>28</v>
      </c>
      <c r="J1560">
        <v>4</v>
      </c>
      <c r="K1560">
        <v>4</v>
      </c>
      <c r="L1560">
        <v>10</v>
      </c>
      <c r="M1560" s="1" t="s">
        <v>24</v>
      </c>
      <c r="N1560" s="2">
        <v>45717</v>
      </c>
      <c r="O1560">
        <v>2025</v>
      </c>
      <c r="P1560">
        <v>1</v>
      </c>
      <c r="Q1560" s="1" t="s">
        <v>24</v>
      </c>
    </row>
    <row r="1561" spans="1:17" x14ac:dyDescent="0.3">
      <c r="A1561" s="1" t="s">
        <v>1626</v>
      </c>
      <c r="B1561" s="1" t="s">
        <v>35</v>
      </c>
      <c r="C1561" s="1" t="s">
        <v>97</v>
      </c>
      <c r="D1561" s="1" t="s">
        <v>44</v>
      </c>
      <c r="E1561" s="1" t="s">
        <v>21</v>
      </c>
      <c r="F1561" s="1" t="s">
        <v>31</v>
      </c>
      <c r="G1561" s="2">
        <v>45739</v>
      </c>
      <c r="H1561" s="2">
        <v>45744</v>
      </c>
      <c r="I1561" s="1" t="s">
        <v>39</v>
      </c>
      <c r="J1561">
        <v>4</v>
      </c>
      <c r="K1561">
        <v>5</v>
      </c>
      <c r="L1561">
        <v>7</v>
      </c>
      <c r="M1561" s="1" t="s">
        <v>24</v>
      </c>
      <c r="N1561" s="2">
        <v>45717</v>
      </c>
      <c r="O1561">
        <v>2025</v>
      </c>
      <c r="P1561">
        <v>1</v>
      </c>
      <c r="Q1561" s="1" t="s">
        <v>24</v>
      </c>
    </row>
    <row r="1562" spans="1:17" x14ac:dyDescent="0.3">
      <c r="A1562" s="1" t="s">
        <v>1627</v>
      </c>
      <c r="B1562" s="1" t="s">
        <v>18</v>
      </c>
      <c r="C1562" s="1" t="s">
        <v>56</v>
      </c>
      <c r="D1562" s="1" t="s">
        <v>20</v>
      </c>
      <c r="E1562" s="1" t="s">
        <v>37</v>
      </c>
      <c r="F1562" s="1" t="s">
        <v>61</v>
      </c>
      <c r="G1562" s="2">
        <v>45723</v>
      </c>
      <c r="H1562" s="2"/>
      <c r="I1562" s="1" t="s">
        <v>82</v>
      </c>
      <c r="L1562">
        <v>14</v>
      </c>
      <c r="M1562" s="1" t="s">
        <v>40</v>
      </c>
      <c r="N1562" s="2">
        <v>45717</v>
      </c>
      <c r="O1562">
        <v>2025</v>
      </c>
      <c r="P1562">
        <v>1</v>
      </c>
      <c r="Q1562" s="1" t="s">
        <v>33</v>
      </c>
    </row>
    <row r="1563" spans="1:17" x14ac:dyDescent="0.3">
      <c r="A1563" s="1" t="s">
        <v>1628</v>
      </c>
      <c r="B1563" s="1" t="s">
        <v>35</v>
      </c>
      <c r="C1563" s="1" t="s">
        <v>50</v>
      </c>
      <c r="D1563" s="1" t="s">
        <v>51</v>
      </c>
      <c r="E1563" s="1" t="s">
        <v>21</v>
      </c>
      <c r="F1563" s="1" t="s">
        <v>38</v>
      </c>
      <c r="G1563" s="2">
        <v>45766</v>
      </c>
      <c r="H1563" s="2">
        <v>45772</v>
      </c>
      <c r="I1563" s="1" t="s">
        <v>32</v>
      </c>
      <c r="J1563">
        <v>3</v>
      </c>
      <c r="K1563">
        <v>6</v>
      </c>
      <c r="L1563">
        <v>10</v>
      </c>
      <c r="M1563" s="1" t="s">
        <v>24</v>
      </c>
      <c r="N1563" s="2">
        <v>45748</v>
      </c>
      <c r="O1563">
        <v>2025</v>
      </c>
      <c r="P1563">
        <v>2</v>
      </c>
      <c r="Q1563" s="1" t="s">
        <v>24</v>
      </c>
    </row>
    <row r="1564" spans="1:17" x14ac:dyDescent="0.3">
      <c r="A1564" s="1" t="s">
        <v>1629</v>
      </c>
      <c r="B1564" s="1" t="s">
        <v>35</v>
      </c>
      <c r="C1564" s="1" t="s">
        <v>50</v>
      </c>
      <c r="D1564" s="1" t="s">
        <v>51</v>
      </c>
      <c r="E1564" s="1" t="s">
        <v>48</v>
      </c>
      <c r="F1564" s="1" t="s">
        <v>61</v>
      </c>
      <c r="G1564" s="2">
        <v>45834</v>
      </c>
      <c r="H1564" s="2"/>
      <c r="I1564" s="1" t="s">
        <v>82</v>
      </c>
      <c r="L1564">
        <v>10</v>
      </c>
      <c r="M1564" s="1" t="s">
        <v>40</v>
      </c>
      <c r="N1564" s="2">
        <v>45809</v>
      </c>
      <c r="O1564">
        <v>2025</v>
      </c>
      <c r="P1564">
        <v>2</v>
      </c>
      <c r="Q1564" s="1" t="s">
        <v>33</v>
      </c>
    </row>
    <row r="1565" spans="1:17" x14ac:dyDescent="0.3">
      <c r="A1565" s="1" t="s">
        <v>1630</v>
      </c>
      <c r="B1565" s="1" t="s">
        <v>26</v>
      </c>
      <c r="C1565" s="1" t="s">
        <v>123</v>
      </c>
      <c r="D1565" s="1" t="s">
        <v>51</v>
      </c>
      <c r="E1565" s="1" t="s">
        <v>21</v>
      </c>
      <c r="F1565" s="1" t="s">
        <v>31</v>
      </c>
      <c r="G1565" s="2">
        <v>45906</v>
      </c>
      <c r="H1565" s="2">
        <v>45910</v>
      </c>
      <c r="I1565" s="1" t="s">
        <v>28</v>
      </c>
      <c r="J1565">
        <v>5</v>
      </c>
      <c r="K1565">
        <v>4</v>
      </c>
      <c r="L1565">
        <v>10</v>
      </c>
      <c r="M1565" s="1" t="s">
        <v>24</v>
      </c>
      <c r="N1565" s="2">
        <v>45901</v>
      </c>
      <c r="O1565">
        <v>2025</v>
      </c>
      <c r="P1565">
        <v>3</v>
      </c>
      <c r="Q1565" s="1" t="s">
        <v>24</v>
      </c>
    </row>
    <row r="1566" spans="1:17" x14ac:dyDescent="0.3">
      <c r="A1566" s="1" t="s">
        <v>1631</v>
      </c>
      <c r="B1566" s="1" t="s">
        <v>58</v>
      </c>
      <c r="C1566" s="1" t="s">
        <v>145</v>
      </c>
      <c r="D1566" s="1" t="s">
        <v>20</v>
      </c>
      <c r="E1566" s="1" t="s">
        <v>48</v>
      </c>
      <c r="F1566" s="1" t="s">
        <v>61</v>
      </c>
      <c r="G1566" s="2">
        <v>45833</v>
      </c>
      <c r="H1566" s="2"/>
      <c r="I1566" s="1" t="s">
        <v>32</v>
      </c>
      <c r="L1566">
        <v>14</v>
      </c>
      <c r="M1566" s="1" t="s">
        <v>40</v>
      </c>
      <c r="N1566" s="2">
        <v>45809</v>
      </c>
      <c r="O1566">
        <v>2025</v>
      </c>
      <c r="P1566">
        <v>2</v>
      </c>
      <c r="Q1566" s="1" t="s">
        <v>33</v>
      </c>
    </row>
    <row r="1567" spans="1:17" x14ac:dyDescent="0.3">
      <c r="A1567" s="1" t="s">
        <v>1632</v>
      </c>
      <c r="B1567" s="1" t="s">
        <v>63</v>
      </c>
      <c r="C1567" s="1" t="s">
        <v>64</v>
      </c>
      <c r="D1567" s="1" t="s">
        <v>20</v>
      </c>
      <c r="E1567" s="1" t="s">
        <v>21</v>
      </c>
      <c r="F1567" s="1" t="s">
        <v>31</v>
      </c>
      <c r="G1567" s="2">
        <v>45719</v>
      </c>
      <c r="H1567" s="2">
        <v>45732</v>
      </c>
      <c r="I1567" s="1" t="s">
        <v>39</v>
      </c>
      <c r="J1567">
        <v>3</v>
      </c>
      <c r="K1567">
        <v>13</v>
      </c>
      <c r="L1567">
        <v>14</v>
      </c>
      <c r="M1567" s="1" t="s">
        <v>24</v>
      </c>
      <c r="N1567" s="2">
        <v>45717</v>
      </c>
      <c r="O1567">
        <v>2025</v>
      </c>
      <c r="P1567">
        <v>1</v>
      </c>
      <c r="Q1567" s="1" t="s">
        <v>24</v>
      </c>
    </row>
    <row r="1568" spans="1:17" x14ac:dyDescent="0.3">
      <c r="A1568" s="1" t="s">
        <v>1633</v>
      </c>
      <c r="B1568" s="1" t="s">
        <v>26</v>
      </c>
      <c r="C1568" s="1" t="s">
        <v>67</v>
      </c>
      <c r="D1568" s="1" t="s">
        <v>44</v>
      </c>
      <c r="E1568" s="1" t="s">
        <v>37</v>
      </c>
      <c r="F1568" s="1" t="s">
        <v>61</v>
      </c>
      <c r="G1568" s="2">
        <v>45926</v>
      </c>
      <c r="H1568" s="2"/>
      <c r="I1568" s="1" t="s">
        <v>28</v>
      </c>
      <c r="L1568">
        <v>7</v>
      </c>
      <c r="M1568" s="1" t="s">
        <v>40</v>
      </c>
      <c r="N1568" s="2">
        <v>45901</v>
      </c>
      <c r="O1568">
        <v>2025</v>
      </c>
      <c r="P1568">
        <v>3</v>
      </c>
      <c r="Q1568" s="1" t="s">
        <v>33</v>
      </c>
    </row>
    <row r="1569" spans="1:17" x14ac:dyDescent="0.3">
      <c r="A1569" s="1" t="s">
        <v>1634</v>
      </c>
      <c r="B1569" s="1" t="s">
        <v>35</v>
      </c>
      <c r="C1569" s="1" t="s">
        <v>99</v>
      </c>
      <c r="D1569" s="1" t="s">
        <v>51</v>
      </c>
      <c r="E1569" s="1" t="s">
        <v>21</v>
      </c>
      <c r="F1569" s="1" t="s">
        <v>22</v>
      </c>
      <c r="G1569" s="2">
        <v>45826</v>
      </c>
      <c r="H1569" s="2">
        <v>45836</v>
      </c>
      <c r="I1569" s="1" t="s">
        <v>82</v>
      </c>
      <c r="J1569">
        <v>2</v>
      </c>
      <c r="K1569">
        <v>10</v>
      </c>
      <c r="L1569">
        <v>10</v>
      </c>
      <c r="M1569" s="1" t="s">
        <v>24</v>
      </c>
      <c r="N1569" s="2">
        <v>45809</v>
      </c>
      <c r="O1569">
        <v>2025</v>
      </c>
      <c r="P1569">
        <v>2</v>
      </c>
      <c r="Q1569" s="1" t="s">
        <v>24</v>
      </c>
    </row>
    <row r="1570" spans="1:17" x14ac:dyDescent="0.3">
      <c r="A1570" s="1" t="s">
        <v>1635</v>
      </c>
      <c r="B1570" s="1" t="s">
        <v>18</v>
      </c>
      <c r="C1570" s="1" t="s">
        <v>19</v>
      </c>
      <c r="D1570" s="1" t="s">
        <v>71</v>
      </c>
      <c r="E1570" s="1" t="s">
        <v>21</v>
      </c>
      <c r="F1570" s="1" t="s">
        <v>61</v>
      </c>
      <c r="G1570" s="2">
        <v>45948</v>
      </c>
      <c r="H1570" s="2">
        <v>45949</v>
      </c>
      <c r="I1570" s="1" t="s">
        <v>28</v>
      </c>
      <c r="J1570">
        <v>3</v>
      </c>
      <c r="K1570">
        <v>1</v>
      </c>
      <c r="L1570">
        <v>3</v>
      </c>
      <c r="M1570" s="1" t="s">
        <v>24</v>
      </c>
      <c r="N1570" s="2">
        <v>45931</v>
      </c>
      <c r="O1570">
        <v>2025</v>
      </c>
      <c r="P1570">
        <v>4</v>
      </c>
      <c r="Q1570" s="1" t="s">
        <v>24</v>
      </c>
    </row>
    <row r="1571" spans="1:17" x14ac:dyDescent="0.3">
      <c r="A1571" s="1" t="s">
        <v>1636</v>
      </c>
      <c r="B1571" s="1" t="s">
        <v>63</v>
      </c>
      <c r="C1571" s="1" t="s">
        <v>89</v>
      </c>
      <c r="D1571" s="1" t="s">
        <v>20</v>
      </c>
      <c r="E1571" s="1" t="s">
        <v>48</v>
      </c>
      <c r="F1571" s="1" t="s">
        <v>22</v>
      </c>
      <c r="G1571" s="2">
        <v>45794</v>
      </c>
      <c r="H1571" s="2"/>
      <c r="I1571" s="1" t="s">
        <v>32</v>
      </c>
      <c r="L1571">
        <v>14</v>
      </c>
      <c r="M1571" s="1" t="s">
        <v>40</v>
      </c>
      <c r="N1571" s="2">
        <v>45778</v>
      </c>
      <c r="O1571">
        <v>2025</v>
      </c>
      <c r="P1571">
        <v>2</v>
      </c>
      <c r="Q1571" s="1" t="s">
        <v>33</v>
      </c>
    </row>
    <row r="1572" spans="1:17" x14ac:dyDescent="0.3">
      <c r="A1572" s="1" t="s">
        <v>1637</v>
      </c>
      <c r="B1572" s="1" t="s">
        <v>42</v>
      </c>
      <c r="C1572" s="1" t="s">
        <v>76</v>
      </c>
      <c r="D1572" s="1" t="s">
        <v>44</v>
      </c>
      <c r="E1572" s="1" t="s">
        <v>48</v>
      </c>
      <c r="F1572" s="1" t="s">
        <v>22</v>
      </c>
      <c r="G1572" s="2">
        <v>45725</v>
      </c>
      <c r="H1572" s="2"/>
      <c r="I1572" s="1" t="s">
        <v>32</v>
      </c>
      <c r="L1572">
        <v>7</v>
      </c>
      <c r="M1572" s="1" t="s">
        <v>40</v>
      </c>
      <c r="N1572" s="2">
        <v>45717</v>
      </c>
      <c r="O1572">
        <v>2025</v>
      </c>
      <c r="P1572">
        <v>1</v>
      </c>
      <c r="Q1572" s="1" t="s">
        <v>33</v>
      </c>
    </row>
    <row r="1573" spans="1:17" x14ac:dyDescent="0.3">
      <c r="A1573" s="1" t="s">
        <v>1638</v>
      </c>
      <c r="B1573" s="1" t="s">
        <v>42</v>
      </c>
      <c r="C1573" s="1" t="s">
        <v>76</v>
      </c>
      <c r="D1573" s="1" t="s">
        <v>20</v>
      </c>
      <c r="E1573" s="1" t="s">
        <v>21</v>
      </c>
      <c r="F1573" s="1" t="s">
        <v>22</v>
      </c>
      <c r="G1573" s="2">
        <v>45955</v>
      </c>
      <c r="H1573" s="2">
        <v>45965</v>
      </c>
      <c r="I1573" s="1" t="s">
        <v>23</v>
      </c>
      <c r="J1573">
        <v>4</v>
      </c>
      <c r="K1573">
        <v>10</v>
      </c>
      <c r="L1573">
        <v>14</v>
      </c>
      <c r="M1573" s="1" t="s">
        <v>24</v>
      </c>
      <c r="N1573" s="2">
        <v>45931</v>
      </c>
      <c r="O1573">
        <v>2025</v>
      </c>
      <c r="P1573">
        <v>4</v>
      </c>
      <c r="Q1573" s="1" t="s">
        <v>24</v>
      </c>
    </row>
    <row r="1574" spans="1:17" x14ac:dyDescent="0.3">
      <c r="A1574" s="1" t="s">
        <v>1639</v>
      </c>
      <c r="B1574" s="1" t="s">
        <v>35</v>
      </c>
      <c r="C1574" s="1" t="s">
        <v>99</v>
      </c>
      <c r="D1574" s="1" t="s">
        <v>20</v>
      </c>
      <c r="E1574" s="1" t="s">
        <v>21</v>
      </c>
      <c r="F1574" s="1" t="s">
        <v>22</v>
      </c>
      <c r="G1574" s="2">
        <v>45700</v>
      </c>
      <c r="H1574" s="2">
        <v>45710</v>
      </c>
      <c r="I1574" s="1" t="s">
        <v>82</v>
      </c>
      <c r="J1574">
        <v>3</v>
      </c>
      <c r="K1574">
        <v>10</v>
      </c>
      <c r="L1574">
        <v>14</v>
      </c>
      <c r="M1574" s="1" t="s">
        <v>24</v>
      </c>
      <c r="N1574" s="2">
        <v>45689</v>
      </c>
      <c r="O1574">
        <v>2025</v>
      </c>
      <c r="P1574">
        <v>1</v>
      </c>
      <c r="Q1574" s="1" t="s">
        <v>24</v>
      </c>
    </row>
    <row r="1575" spans="1:17" x14ac:dyDescent="0.3">
      <c r="A1575" s="1" t="s">
        <v>1640</v>
      </c>
      <c r="B1575" s="1" t="s">
        <v>63</v>
      </c>
      <c r="C1575" s="1" t="s">
        <v>89</v>
      </c>
      <c r="D1575" s="1" t="s">
        <v>51</v>
      </c>
      <c r="E1575" s="1" t="s">
        <v>21</v>
      </c>
      <c r="F1575" s="1" t="s">
        <v>31</v>
      </c>
      <c r="G1575" s="2">
        <v>45878</v>
      </c>
      <c r="H1575" s="2">
        <v>45881</v>
      </c>
      <c r="I1575" s="1" t="s">
        <v>28</v>
      </c>
      <c r="J1575">
        <v>5</v>
      </c>
      <c r="K1575">
        <v>3</v>
      </c>
      <c r="L1575">
        <v>10</v>
      </c>
      <c r="M1575" s="1" t="s">
        <v>24</v>
      </c>
      <c r="N1575" s="2">
        <v>45870</v>
      </c>
      <c r="O1575">
        <v>2025</v>
      </c>
      <c r="P1575">
        <v>3</v>
      </c>
      <c r="Q1575" s="1" t="s">
        <v>24</v>
      </c>
    </row>
    <row r="1576" spans="1:17" x14ac:dyDescent="0.3">
      <c r="A1576" s="1" t="s">
        <v>1641</v>
      </c>
      <c r="B1576" s="1" t="s">
        <v>26</v>
      </c>
      <c r="C1576" s="1" t="s">
        <v>27</v>
      </c>
      <c r="D1576" s="1" t="s">
        <v>71</v>
      </c>
      <c r="E1576" s="1" t="s">
        <v>21</v>
      </c>
      <c r="F1576" s="1" t="s">
        <v>61</v>
      </c>
      <c r="G1576" s="2">
        <v>45866</v>
      </c>
      <c r="H1576" s="2">
        <v>45868</v>
      </c>
      <c r="I1576" s="1" t="s">
        <v>32</v>
      </c>
      <c r="J1576">
        <v>4</v>
      </c>
      <c r="K1576">
        <v>2</v>
      </c>
      <c r="L1576">
        <v>3</v>
      </c>
      <c r="M1576" s="1" t="s">
        <v>24</v>
      </c>
      <c r="N1576" s="2">
        <v>45839</v>
      </c>
      <c r="O1576">
        <v>2025</v>
      </c>
      <c r="P1576">
        <v>3</v>
      </c>
      <c r="Q1576" s="1" t="s">
        <v>24</v>
      </c>
    </row>
    <row r="1577" spans="1:17" x14ac:dyDescent="0.3">
      <c r="A1577" s="1" t="s">
        <v>1642</v>
      </c>
      <c r="B1577" s="1" t="s">
        <v>26</v>
      </c>
      <c r="C1577" s="1" t="s">
        <v>27</v>
      </c>
      <c r="D1577" s="1" t="s">
        <v>51</v>
      </c>
      <c r="E1577" s="1" t="s">
        <v>48</v>
      </c>
      <c r="F1577" s="1" t="s">
        <v>52</v>
      </c>
      <c r="G1577" s="2">
        <v>45811</v>
      </c>
      <c r="H1577" s="2"/>
      <c r="I1577" s="1" t="s">
        <v>82</v>
      </c>
      <c r="L1577">
        <v>10</v>
      </c>
      <c r="M1577" s="1" t="s">
        <v>40</v>
      </c>
      <c r="N1577" s="2">
        <v>45809</v>
      </c>
      <c r="O1577">
        <v>2025</v>
      </c>
      <c r="P1577">
        <v>2</v>
      </c>
      <c r="Q1577" s="1" t="s">
        <v>33</v>
      </c>
    </row>
    <row r="1578" spans="1:17" x14ac:dyDescent="0.3">
      <c r="A1578" s="1" t="s">
        <v>1643</v>
      </c>
      <c r="B1578" s="1" t="s">
        <v>63</v>
      </c>
      <c r="C1578" s="1" t="s">
        <v>84</v>
      </c>
      <c r="D1578" s="1" t="s">
        <v>51</v>
      </c>
      <c r="E1578" s="1" t="s">
        <v>21</v>
      </c>
      <c r="F1578" s="1" t="s">
        <v>61</v>
      </c>
      <c r="G1578" s="2">
        <v>45816</v>
      </c>
      <c r="H1578" s="2">
        <v>45825</v>
      </c>
      <c r="I1578" s="1" t="s">
        <v>39</v>
      </c>
      <c r="J1578">
        <v>3</v>
      </c>
      <c r="K1578">
        <v>9</v>
      </c>
      <c r="L1578">
        <v>10</v>
      </c>
      <c r="M1578" s="1" t="s">
        <v>24</v>
      </c>
      <c r="N1578" s="2">
        <v>45809</v>
      </c>
      <c r="O1578">
        <v>2025</v>
      </c>
      <c r="P1578">
        <v>2</v>
      </c>
      <c r="Q1578" s="1" t="s">
        <v>24</v>
      </c>
    </row>
    <row r="1579" spans="1:17" x14ac:dyDescent="0.3">
      <c r="A1579" s="1" t="s">
        <v>1644</v>
      </c>
      <c r="B1579" s="1" t="s">
        <v>42</v>
      </c>
      <c r="C1579" s="1" t="s">
        <v>43</v>
      </c>
      <c r="D1579" s="1" t="s">
        <v>44</v>
      </c>
      <c r="E1579" s="1" t="s">
        <v>21</v>
      </c>
      <c r="F1579" s="1" t="s">
        <v>31</v>
      </c>
      <c r="G1579" s="2">
        <v>45911</v>
      </c>
      <c r="H1579" s="2">
        <v>45913</v>
      </c>
      <c r="I1579" s="1" t="s">
        <v>32</v>
      </c>
      <c r="J1579">
        <v>3</v>
      </c>
      <c r="K1579">
        <v>2</v>
      </c>
      <c r="L1579">
        <v>7</v>
      </c>
      <c r="M1579" s="1" t="s">
        <v>24</v>
      </c>
      <c r="N1579" s="2">
        <v>45901</v>
      </c>
      <c r="O1579">
        <v>2025</v>
      </c>
      <c r="P1579">
        <v>3</v>
      </c>
      <c r="Q1579" s="1" t="s">
        <v>24</v>
      </c>
    </row>
    <row r="1580" spans="1:17" x14ac:dyDescent="0.3">
      <c r="A1580" s="1" t="s">
        <v>1645</v>
      </c>
      <c r="B1580" s="1" t="s">
        <v>42</v>
      </c>
      <c r="C1580" s="1" t="s">
        <v>87</v>
      </c>
      <c r="D1580" s="1" t="s">
        <v>51</v>
      </c>
      <c r="E1580" s="1" t="s">
        <v>21</v>
      </c>
      <c r="F1580" s="1" t="s">
        <v>61</v>
      </c>
      <c r="G1580" s="2">
        <v>45751</v>
      </c>
      <c r="H1580" s="2">
        <v>45756</v>
      </c>
      <c r="I1580" s="1" t="s">
        <v>28</v>
      </c>
      <c r="J1580">
        <v>5</v>
      </c>
      <c r="K1580">
        <v>5</v>
      </c>
      <c r="L1580">
        <v>10</v>
      </c>
      <c r="M1580" s="1" t="s">
        <v>24</v>
      </c>
      <c r="N1580" s="2">
        <v>45748</v>
      </c>
      <c r="O1580">
        <v>2025</v>
      </c>
      <c r="P1580">
        <v>2</v>
      </c>
      <c r="Q1580" s="1" t="s">
        <v>24</v>
      </c>
    </row>
    <row r="1581" spans="1:17" x14ac:dyDescent="0.3">
      <c r="A1581" s="1" t="s">
        <v>1646</v>
      </c>
      <c r="B1581" s="1" t="s">
        <v>35</v>
      </c>
      <c r="C1581" s="1" t="s">
        <v>97</v>
      </c>
      <c r="D1581" s="1" t="s">
        <v>51</v>
      </c>
      <c r="E1581" s="1" t="s">
        <v>21</v>
      </c>
      <c r="F1581" s="1" t="s">
        <v>61</v>
      </c>
      <c r="G1581" s="2">
        <v>45710</v>
      </c>
      <c r="H1581" s="2">
        <v>45716</v>
      </c>
      <c r="I1581" s="1" t="s">
        <v>82</v>
      </c>
      <c r="J1581">
        <v>5</v>
      </c>
      <c r="K1581">
        <v>6</v>
      </c>
      <c r="L1581">
        <v>10</v>
      </c>
      <c r="M1581" s="1" t="s">
        <v>24</v>
      </c>
      <c r="N1581" s="2">
        <v>45689</v>
      </c>
      <c r="O1581">
        <v>2025</v>
      </c>
      <c r="P1581">
        <v>1</v>
      </c>
      <c r="Q1581" s="1" t="s">
        <v>24</v>
      </c>
    </row>
    <row r="1582" spans="1:17" x14ac:dyDescent="0.3">
      <c r="A1582" s="1" t="s">
        <v>1647</v>
      </c>
      <c r="B1582" s="1" t="s">
        <v>18</v>
      </c>
      <c r="C1582" s="1" t="s">
        <v>47</v>
      </c>
      <c r="D1582" s="1" t="s">
        <v>51</v>
      </c>
      <c r="E1582" s="1" t="s">
        <v>21</v>
      </c>
      <c r="F1582" s="1" t="s">
        <v>22</v>
      </c>
      <c r="G1582" s="2">
        <v>45860</v>
      </c>
      <c r="H1582" s="2">
        <v>45864</v>
      </c>
      <c r="I1582" s="1" t="s">
        <v>28</v>
      </c>
      <c r="J1582">
        <v>5</v>
      </c>
      <c r="K1582">
        <v>4</v>
      </c>
      <c r="L1582">
        <v>10</v>
      </c>
      <c r="M1582" s="1" t="s">
        <v>24</v>
      </c>
      <c r="N1582" s="2">
        <v>45839</v>
      </c>
      <c r="O1582">
        <v>2025</v>
      </c>
      <c r="P1582">
        <v>3</v>
      </c>
      <c r="Q1582" s="1" t="s">
        <v>24</v>
      </c>
    </row>
    <row r="1583" spans="1:17" x14ac:dyDescent="0.3">
      <c r="A1583" s="1" t="s">
        <v>1648</v>
      </c>
      <c r="B1583" s="1" t="s">
        <v>35</v>
      </c>
      <c r="C1583" s="1" t="s">
        <v>50</v>
      </c>
      <c r="D1583" s="1" t="s">
        <v>51</v>
      </c>
      <c r="E1583" s="1" t="s">
        <v>37</v>
      </c>
      <c r="F1583" s="1" t="s">
        <v>61</v>
      </c>
      <c r="G1583" s="2">
        <v>45795</v>
      </c>
      <c r="H1583" s="2"/>
      <c r="I1583" s="1" t="s">
        <v>32</v>
      </c>
      <c r="L1583">
        <v>10</v>
      </c>
      <c r="M1583" s="1" t="s">
        <v>40</v>
      </c>
      <c r="N1583" s="2">
        <v>45778</v>
      </c>
      <c r="O1583">
        <v>2025</v>
      </c>
      <c r="P1583">
        <v>2</v>
      </c>
      <c r="Q1583" s="1" t="s">
        <v>33</v>
      </c>
    </row>
    <row r="1584" spans="1:17" x14ac:dyDescent="0.3">
      <c r="A1584" s="1" t="s">
        <v>1649</v>
      </c>
      <c r="B1584" s="1" t="s">
        <v>58</v>
      </c>
      <c r="C1584" s="1" t="s">
        <v>59</v>
      </c>
      <c r="D1584" s="1" t="s">
        <v>51</v>
      </c>
      <c r="E1584" s="1" t="s">
        <v>21</v>
      </c>
      <c r="F1584" s="1" t="s">
        <v>31</v>
      </c>
      <c r="G1584" s="2">
        <v>45839</v>
      </c>
      <c r="H1584" s="2">
        <v>45846</v>
      </c>
      <c r="I1584" s="1" t="s">
        <v>82</v>
      </c>
      <c r="J1584">
        <v>4</v>
      </c>
      <c r="K1584">
        <v>7</v>
      </c>
      <c r="L1584">
        <v>10</v>
      </c>
      <c r="M1584" s="1" t="s">
        <v>24</v>
      </c>
      <c r="N1584" s="2">
        <v>45839</v>
      </c>
      <c r="O1584">
        <v>2025</v>
      </c>
      <c r="P1584">
        <v>3</v>
      </c>
      <c r="Q1584" s="1" t="s">
        <v>24</v>
      </c>
    </row>
    <row r="1585" spans="1:17" x14ac:dyDescent="0.3">
      <c r="A1585" s="1" t="s">
        <v>1650</v>
      </c>
      <c r="B1585" s="1" t="s">
        <v>58</v>
      </c>
      <c r="C1585" s="1" t="s">
        <v>145</v>
      </c>
      <c r="D1585" s="1" t="s">
        <v>20</v>
      </c>
      <c r="E1585" s="1" t="s">
        <v>48</v>
      </c>
      <c r="F1585" s="1" t="s">
        <v>31</v>
      </c>
      <c r="G1585" s="2">
        <v>45686</v>
      </c>
      <c r="H1585" s="2"/>
      <c r="I1585" s="1" t="s">
        <v>32</v>
      </c>
      <c r="L1585">
        <v>14</v>
      </c>
      <c r="M1585" s="1" t="s">
        <v>40</v>
      </c>
      <c r="N1585" s="2">
        <v>45658</v>
      </c>
      <c r="O1585">
        <v>2025</v>
      </c>
      <c r="P1585">
        <v>1</v>
      </c>
      <c r="Q1585" s="1" t="s">
        <v>33</v>
      </c>
    </row>
    <row r="1586" spans="1:17" x14ac:dyDescent="0.3">
      <c r="A1586" s="1" t="s">
        <v>1651</v>
      </c>
      <c r="B1586" s="1" t="s">
        <v>18</v>
      </c>
      <c r="C1586" s="1" t="s">
        <v>47</v>
      </c>
      <c r="D1586" s="1" t="s">
        <v>71</v>
      </c>
      <c r="E1586" s="1" t="s">
        <v>37</v>
      </c>
      <c r="F1586" s="1" t="s">
        <v>61</v>
      </c>
      <c r="G1586" s="2">
        <v>45667</v>
      </c>
      <c r="H1586" s="2"/>
      <c r="I1586" s="1" t="s">
        <v>28</v>
      </c>
      <c r="L1586">
        <v>3</v>
      </c>
      <c r="M1586" s="1" t="s">
        <v>40</v>
      </c>
      <c r="N1586" s="2">
        <v>45658</v>
      </c>
      <c r="O1586">
        <v>2025</v>
      </c>
      <c r="P1586">
        <v>1</v>
      </c>
      <c r="Q1586" s="1" t="s">
        <v>33</v>
      </c>
    </row>
    <row r="1587" spans="1:17" x14ac:dyDescent="0.3">
      <c r="A1587" s="1" t="s">
        <v>1652</v>
      </c>
      <c r="B1587" s="1" t="s">
        <v>18</v>
      </c>
      <c r="C1587" s="1" t="s">
        <v>56</v>
      </c>
      <c r="D1587" s="1" t="s">
        <v>51</v>
      </c>
      <c r="E1587" s="1" t="s">
        <v>21</v>
      </c>
      <c r="F1587" s="1" t="s">
        <v>52</v>
      </c>
      <c r="G1587" s="2">
        <v>45822</v>
      </c>
      <c r="H1587" s="2">
        <v>45830</v>
      </c>
      <c r="I1587" s="1" t="s">
        <v>82</v>
      </c>
      <c r="J1587">
        <v>5</v>
      </c>
      <c r="K1587">
        <v>8</v>
      </c>
      <c r="L1587">
        <v>10</v>
      </c>
      <c r="M1587" s="1" t="s">
        <v>24</v>
      </c>
      <c r="N1587" s="2">
        <v>45809</v>
      </c>
      <c r="O1587">
        <v>2025</v>
      </c>
      <c r="P1587">
        <v>2</v>
      </c>
      <c r="Q1587" s="1" t="s">
        <v>24</v>
      </c>
    </row>
    <row r="1588" spans="1:17" x14ac:dyDescent="0.3">
      <c r="A1588" s="1" t="s">
        <v>1653</v>
      </c>
      <c r="B1588" s="1" t="s">
        <v>26</v>
      </c>
      <c r="C1588" s="1" t="s">
        <v>54</v>
      </c>
      <c r="D1588" s="1" t="s">
        <v>44</v>
      </c>
      <c r="E1588" s="1" t="s">
        <v>21</v>
      </c>
      <c r="F1588" s="1" t="s">
        <v>38</v>
      </c>
      <c r="G1588" s="2">
        <v>45883</v>
      </c>
      <c r="H1588" s="2">
        <v>45890</v>
      </c>
      <c r="I1588" s="1" t="s">
        <v>28</v>
      </c>
      <c r="J1588">
        <v>3</v>
      </c>
      <c r="K1588">
        <v>7</v>
      </c>
      <c r="L1588">
        <v>7</v>
      </c>
      <c r="M1588" s="1" t="s">
        <v>24</v>
      </c>
      <c r="N1588" s="2">
        <v>45870</v>
      </c>
      <c r="O1588">
        <v>2025</v>
      </c>
      <c r="P1588">
        <v>3</v>
      </c>
      <c r="Q1588" s="1" t="s">
        <v>24</v>
      </c>
    </row>
    <row r="1589" spans="1:17" x14ac:dyDescent="0.3">
      <c r="A1589" s="1" t="s">
        <v>1654</v>
      </c>
      <c r="B1589" s="1" t="s">
        <v>63</v>
      </c>
      <c r="C1589" s="1" t="s">
        <v>84</v>
      </c>
      <c r="D1589" s="1" t="s">
        <v>44</v>
      </c>
      <c r="E1589" s="1" t="s">
        <v>48</v>
      </c>
      <c r="F1589" s="1" t="s">
        <v>31</v>
      </c>
      <c r="G1589" s="2">
        <v>45961</v>
      </c>
      <c r="H1589" s="2"/>
      <c r="I1589" s="1" t="s">
        <v>23</v>
      </c>
      <c r="L1589">
        <v>7</v>
      </c>
      <c r="M1589" s="1" t="s">
        <v>40</v>
      </c>
      <c r="N1589" s="2">
        <v>45931</v>
      </c>
      <c r="O1589">
        <v>2025</v>
      </c>
      <c r="P1589">
        <v>4</v>
      </c>
      <c r="Q1589" s="1" t="s">
        <v>33</v>
      </c>
    </row>
    <row r="1590" spans="1:17" x14ac:dyDescent="0.3">
      <c r="A1590" s="1" t="s">
        <v>1655</v>
      </c>
      <c r="B1590" s="1" t="s">
        <v>18</v>
      </c>
      <c r="C1590" s="1" t="s">
        <v>30</v>
      </c>
      <c r="D1590" s="1" t="s">
        <v>51</v>
      </c>
      <c r="E1590" s="1" t="s">
        <v>48</v>
      </c>
      <c r="F1590" s="1" t="s">
        <v>61</v>
      </c>
      <c r="G1590" s="2">
        <v>45907</v>
      </c>
      <c r="H1590" s="2"/>
      <c r="I1590" s="1" t="s">
        <v>32</v>
      </c>
      <c r="L1590">
        <v>10</v>
      </c>
      <c r="M1590" s="1" t="s">
        <v>40</v>
      </c>
      <c r="N1590" s="2">
        <v>45901</v>
      </c>
      <c r="O1590">
        <v>2025</v>
      </c>
      <c r="P1590">
        <v>3</v>
      </c>
      <c r="Q1590" s="1" t="s">
        <v>33</v>
      </c>
    </row>
    <row r="1591" spans="1:17" x14ac:dyDescent="0.3">
      <c r="A1591" s="1" t="s">
        <v>1656</v>
      </c>
      <c r="B1591" s="1" t="s">
        <v>26</v>
      </c>
      <c r="C1591" s="1" t="s">
        <v>27</v>
      </c>
      <c r="D1591" s="1" t="s">
        <v>20</v>
      </c>
      <c r="E1591" s="1" t="s">
        <v>21</v>
      </c>
      <c r="F1591" s="1" t="s">
        <v>31</v>
      </c>
      <c r="G1591" s="2">
        <v>45833</v>
      </c>
      <c r="H1591" s="2">
        <v>45840</v>
      </c>
      <c r="I1591" s="1" t="s">
        <v>32</v>
      </c>
      <c r="J1591">
        <v>4</v>
      </c>
      <c r="K1591">
        <v>7</v>
      </c>
      <c r="L1591">
        <v>14</v>
      </c>
      <c r="M1591" s="1" t="s">
        <v>24</v>
      </c>
      <c r="N1591" s="2">
        <v>45809</v>
      </c>
      <c r="O1591">
        <v>2025</v>
      </c>
      <c r="P1591">
        <v>2</v>
      </c>
      <c r="Q1591" s="1" t="s">
        <v>24</v>
      </c>
    </row>
    <row r="1592" spans="1:17" x14ac:dyDescent="0.3">
      <c r="A1592" s="1" t="s">
        <v>1657</v>
      </c>
      <c r="B1592" s="1" t="s">
        <v>42</v>
      </c>
      <c r="C1592" s="1" t="s">
        <v>87</v>
      </c>
      <c r="D1592" s="1" t="s">
        <v>20</v>
      </c>
      <c r="E1592" s="1" t="s">
        <v>37</v>
      </c>
      <c r="F1592" s="1" t="s">
        <v>31</v>
      </c>
      <c r="G1592" s="2">
        <v>45824</v>
      </c>
      <c r="H1592" s="2"/>
      <c r="I1592" s="1" t="s">
        <v>28</v>
      </c>
      <c r="L1592">
        <v>14</v>
      </c>
      <c r="M1592" s="1" t="s">
        <v>40</v>
      </c>
      <c r="N1592" s="2">
        <v>45809</v>
      </c>
      <c r="O1592">
        <v>2025</v>
      </c>
      <c r="P1592">
        <v>2</v>
      </c>
      <c r="Q1592" s="1" t="s">
        <v>33</v>
      </c>
    </row>
    <row r="1593" spans="1:17" x14ac:dyDescent="0.3">
      <c r="A1593" s="1" t="s">
        <v>1658</v>
      </c>
      <c r="B1593" s="1" t="s">
        <v>63</v>
      </c>
      <c r="C1593" s="1" t="s">
        <v>84</v>
      </c>
      <c r="D1593" s="1" t="s">
        <v>51</v>
      </c>
      <c r="E1593" s="1" t="s">
        <v>21</v>
      </c>
      <c r="F1593" s="1" t="s">
        <v>22</v>
      </c>
      <c r="G1593" s="2">
        <v>45882</v>
      </c>
      <c r="H1593" s="2">
        <v>45887</v>
      </c>
      <c r="I1593" s="1" t="s">
        <v>32</v>
      </c>
      <c r="J1593">
        <v>4</v>
      </c>
      <c r="K1593">
        <v>5</v>
      </c>
      <c r="L1593">
        <v>10</v>
      </c>
      <c r="M1593" s="1" t="s">
        <v>24</v>
      </c>
      <c r="N1593" s="2">
        <v>45870</v>
      </c>
      <c r="O1593">
        <v>2025</v>
      </c>
      <c r="P1593">
        <v>3</v>
      </c>
      <c r="Q1593" s="1" t="s">
        <v>24</v>
      </c>
    </row>
    <row r="1594" spans="1:17" x14ac:dyDescent="0.3">
      <c r="A1594" s="1" t="s">
        <v>1659</v>
      </c>
      <c r="B1594" s="1" t="s">
        <v>26</v>
      </c>
      <c r="C1594" s="1" t="s">
        <v>123</v>
      </c>
      <c r="D1594" s="1" t="s">
        <v>51</v>
      </c>
      <c r="E1594" s="1" t="s">
        <v>21</v>
      </c>
      <c r="F1594" s="1" t="s">
        <v>52</v>
      </c>
      <c r="G1594" s="2">
        <v>45692</v>
      </c>
      <c r="H1594" s="2">
        <v>45699</v>
      </c>
      <c r="I1594" s="1" t="s">
        <v>39</v>
      </c>
      <c r="J1594">
        <v>5</v>
      </c>
      <c r="K1594">
        <v>7</v>
      </c>
      <c r="L1594">
        <v>10</v>
      </c>
      <c r="M1594" s="1" t="s">
        <v>24</v>
      </c>
      <c r="N1594" s="2">
        <v>45689</v>
      </c>
      <c r="O1594">
        <v>2025</v>
      </c>
      <c r="P1594">
        <v>1</v>
      </c>
      <c r="Q1594" s="1" t="s">
        <v>24</v>
      </c>
    </row>
    <row r="1595" spans="1:17" x14ac:dyDescent="0.3">
      <c r="A1595" s="1" t="s">
        <v>1660</v>
      </c>
      <c r="B1595" s="1" t="s">
        <v>18</v>
      </c>
      <c r="C1595" s="1" t="s">
        <v>47</v>
      </c>
      <c r="D1595" s="1" t="s">
        <v>20</v>
      </c>
      <c r="E1595" s="1" t="s">
        <v>21</v>
      </c>
      <c r="F1595" s="1" t="s">
        <v>52</v>
      </c>
      <c r="G1595" s="2">
        <v>45893</v>
      </c>
      <c r="H1595" s="2">
        <v>45901</v>
      </c>
      <c r="I1595" s="1" t="s">
        <v>32</v>
      </c>
      <c r="J1595">
        <v>4</v>
      </c>
      <c r="K1595">
        <v>8</v>
      </c>
      <c r="L1595">
        <v>14</v>
      </c>
      <c r="M1595" s="1" t="s">
        <v>24</v>
      </c>
      <c r="N1595" s="2">
        <v>45870</v>
      </c>
      <c r="O1595">
        <v>2025</v>
      </c>
      <c r="P1595">
        <v>3</v>
      </c>
      <c r="Q1595" s="1" t="s">
        <v>24</v>
      </c>
    </row>
    <row r="1596" spans="1:17" x14ac:dyDescent="0.3">
      <c r="A1596" s="1" t="s">
        <v>1661</v>
      </c>
      <c r="B1596" s="1" t="s">
        <v>26</v>
      </c>
      <c r="C1596" s="1" t="s">
        <v>67</v>
      </c>
      <c r="D1596" s="1" t="s">
        <v>20</v>
      </c>
      <c r="E1596" s="1" t="s">
        <v>21</v>
      </c>
      <c r="F1596" s="1" t="s">
        <v>38</v>
      </c>
      <c r="G1596" s="2">
        <v>45876</v>
      </c>
      <c r="H1596" s="2">
        <v>45885</v>
      </c>
      <c r="I1596" s="1" t="s">
        <v>82</v>
      </c>
      <c r="J1596">
        <v>5</v>
      </c>
      <c r="K1596">
        <v>9</v>
      </c>
      <c r="L1596">
        <v>14</v>
      </c>
      <c r="M1596" s="1" t="s">
        <v>24</v>
      </c>
      <c r="N1596" s="2">
        <v>45870</v>
      </c>
      <c r="O1596">
        <v>2025</v>
      </c>
      <c r="P1596">
        <v>3</v>
      </c>
      <c r="Q1596" s="1" t="s">
        <v>24</v>
      </c>
    </row>
    <row r="1597" spans="1:17" x14ac:dyDescent="0.3">
      <c r="A1597" s="1" t="s">
        <v>1662</v>
      </c>
      <c r="B1597" s="1" t="s">
        <v>42</v>
      </c>
      <c r="C1597" s="1" t="s">
        <v>43</v>
      </c>
      <c r="D1597" s="1" t="s">
        <v>20</v>
      </c>
      <c r="E1597" s="1" t="s">
        <v>21</v>
      </c>
      <c r="F1597" s="1" t="s">
        <v>52</v>
      </c>
      <c r="G1597" s="2">
        <v>45674</v>
      </c>
      <c r="H1597" s="2">
        <v>45685</v>
      </c>
      <c r="I1597" s="1" t="s">
        <v>82</v>
      </c>
      <c r="J1597">
        <v>5</v>
      </c>
      <c r="K1597">
        <v>11</v>
      </c>
      <c r="L1597">
        <v>14</v>
      </c>
      <c r="M1597" s="1" t="s">
        <v>24</v>
      </c>
      <c r="N1597" s="2">
        <v>45658</v>
      </c>
      <c r="O1597">
        <v>2025</v>
      </c>
      <c r="P1597">
        <v>1</v>
      </c>
      <c r="Q1597" s="1" t="s">
        <v>24</v>
      </c>
    </row>
    <row r="1598" spans="1:17" x14ac:dyDescent="0.3">
      <c r="A1598" s="1" t="s">
        <v>1663</v>
      </c>
      <c r="B1598" s="1" t="s">
        <v>58</v>
      </c>
      <c r="C1598" s="1" t="s">
        <v>59</v>
      </c>
      <c r="D1598" s="1" t="s">
        <v>51</v>
      </c>
      <c r="E1598" s="1" t="s">
        <v>21</v>
      </c>
      <c r="F1598" s="1" t="s">
        <v>38</v>
      </c>
      <c r="G1598" s="2">
        <v>45696</v>
      </c>
      <c r="H1598" s="2">
        <v>45699</v>
      </c>
      <c r="I1598" s="1" t="s">
        <v>82</v>
      </c>
      <c r="J1598">
        <v>5</v>
      </c>
      <c r="K1598">
        <v>3</v>
      </c>
      <c r="L1598">
        <v>10</v>
      </c>
      <c r="M1598" s="1" t="s">
        <v>24</v>
      </c>
      <c r="N1598" s="2">
        <v>45689</v>
      </c>
      <c r="O1598">
        <v>2025</v>
      </c>
      <c r="P1598">
        <v>1</v>
      </c>
      <c r="Q1598" s="1" t="s">
        <v>24</v>
      </c>
    </row>
    <row r="1599" spans="1:17" x14ac:dyDescent="0.3">
      <c r="A1599" s="1" t="s">
        <v>1664</v>
      </c>
      <c r="B1599" s="1" t="s">
        <v>63</v>
      </c>
      <c r="C1599" s="1" t="s">
        <v>74</v>
      </c>
      <c r="D1599" s="1" t="s">
        <v>51</v>
      </c>
      <c r="E1599" s="1" t="s">
        <v>21</v>
      </c>
      <c r="F1599" s="1" t="s">
        <v>31</v>
      </c>
      <c r="G1599" s="2">
        <v>45990</v>
      </c>
      <c r="H1599" s="2">
        <v>45995</v>
      </c>
      <c r="I1599" s="1" t="s">
        <v>32</v>
      </c>
      <c r="J1599">
        <v>5</v>
      </c>
      <c r="K1599">
        <v>5</v>
      </c>
      <c r="L1599">
        <v>10</v>
      </c>
      <c r="M1599" s="1" t="s">
        <v>24</v>
      </c>
      <c r="N1599" s="2">
        <v>45962</v>
      </c>
      <c r="O1599">
        <v>2025</v>
      </c>
      <c r="P1599">
        <v>4</v>
      </c>
      <c r="Q1599" s="1" t="s">
        <v>24</v>
      </c>
    </row>
    <row r="1600" spans="1:17" x14ac:dyDescent="0.3">
      <c r="A1600" s="1" t="s">
        <v>1665</v>
      </c>
      <c r="B1600" s="1" t="s">
        <v>58</v>
      </c>
      <c r="C1600" s="1" t="s">
        <v>145</v>
      </c>
      <c r="D1600" s="1" t="s">
        <v>44</v>
      </c>
      <c r="E1600" s="1" t="s">
        <v>48</v>
      </c>
      <c r="F1600" s="1" t="s">
        <v>52</v>
      </c>
      <c r="G1600" s="2">
        <v>45735</v>
      </c>
      <c r="H1600" s="2"/>
      <c r="I1600" s="1" t="s">
        <v>23</v>
      </c>
      <c r="L1600">
        <v>7</v>
      </c>
      <c r="M1600" s="1" t="s">
        <v>40</v>
      </c>
      <c r="N1600" s="2">
        <v>45717</v>
      </c>
      <c r="O1600">
        <v>2025</v>
      </c>
      <c r="P1600">
        <v>1</v>
      </c>
      <c r="Q1600" s="1" t="s">
        <v>33</v>
      </c>
    </row>
    <row r="1601" spans="1:17" x14ac:dyDescent="0.3">
      <c r="A1601" s="1" t="s">
        <v>1666</v>
      </c>
      <c r="B1601" s="1" t="s">
        <v>63</v>
      </c>
      <c r="C1601" s="1" t="s">
        <v>84</v>
      </c>
      <c r="D1601" s="1" t="s">
        <v>51</v>
      </c>
      <c r="E1601" s="1" t="s">
        <v>37</v>
      </c>
      <c r="F1601" s="1" t="s">
        <v>38</v>
      </c>
      <c r="G1601" s="2">
        <v>45879</v>
      </c>
      <c r="H1601" s="2"/>
      <c r="I1601" s="1" t="s">
        <v>39</v>
      </c>
      <c r="L1601">
        <v>10</v>
      </c>
      <c r="M1601" s="1" t="s">
        <v>40</v>
      </c>
      <c r="N1601" s="2">
        <v>45870</v>
      </c>
      <c r="O1601">
        <v>2025</v>
      </c>
      <c r="P1601">
        <v>3</v>
      </c>
      <c r="Q1601" s="1" t="s">
        <v>33</v>
      </c>
    </row>
    <row r="1602" spans="1:17" x14ac:dyDescent="0.3">
      <c r="A1602" s="1" t="s">
        <v>1667</v>
      </c>
      <c r="B1602" s="1" t="s">
        <v>26</v>
      </c>
      <c r="C1602" s="1" t="s">
        <v>123</v>
      </c>
      <c r="D1602" s="1" t="s">
        <v>20</v>
      </c>
      <c r="E1602" s="1" t="s">
        <v>37</v>
      </c>
      <c r="F1602" s="1" t="s">
        <v>38</v>
      </c>
      <c r="G1602" s="2">
        <v>45667</v>
      </c>
      <c r="H1602" s="2"/>
      <c r="I1602" s="1" t="s">
        <v>28</v>
      </c>
      <c r="L1602">
        <v>14</v>
      </c>
      <c r="M1602" s="1" t="s">
        <v>40</v>
      </c>
      <c r="N1602" s="2">
        <v>45658</v>
      </c>
      <c r="O1602">
        <v>2025</v>
      </c>
      <c r="P1602">
        <v>1</v>
      </c>
      <c r="Q1602" s="1" t="s">
        <v>33</v>
      </c>
    </row>
    <row r="1603" spans="1:17" x14ac:dyDescent="0.3">
      <c r="A1603" s="1" t="s">
        <v>1668</v>
      </c>
      <c r="B1603" s="1" t="s">
        <v>35</v>
      </c>
      <c r="C1603" s="1" t="s">
        <v>50</v>
      </c>
      <c r="D1603" s="1" t="s">
        <v>20</v>
      </c>
      <c r="E1603" s="1" t="s">
        <v>37</v>
      </c>
      <c r="F1603" s="1" t="s">
        <v>52</v>
      </c>
      <c r="G1603" s="2">
        <v>45957</v>
      </c>
      <c r="H1603" s="2"/>
      <c r="I1603" s="1" t="s">
        <v>82</v>
      </c>
      <c r="L1603">
        <v>14</v>
      </c>
      <c r="M1603" s="1" t="s">
        <v>40</v>
      </c>
      <c r="N1603" s="2">
        <v>45931</v>
      </c>
      <c r="O1603">
        <v>2025</v>
      </c>
      <c r="P1603">
        <v>4</v>
      </c>
      <c r="Q1603" s="1" t="s">
        <v>33</v>
      </c>
    </row>
    <row r="1604" spans="1:17" x14ac:dyDescent="0.3">
      <c r="A1604" s="1" t="s">
        <v>1669</v>
      </c>
      <c r="B1604" s="1" t="s">
        <v>58</v>
      </c>
      <c r="C1604" s="1" t="s">
        <v>108</v>
      </c>
      <c r="D1604" s="1" t="s">
        <v>44</v>
      </c>
      <c r="E1604" s="1" t="s">
        <v>21</v>
      </c>
      <c r="F1604" s="1" t="s">
        <v>61</v>
      </c>
      <c r="G1604" s="2">
        <v>45839</v>
      </c>
      <c r="H1604" s="2">
        <v>45845</v>
      </c>
      <c r="I1604" s="1" t="s">
        <v>28</v>
      </c>
      <c r="J1604">
        <v>5</v>
      </c>
      <c r="K1604">
        <v>6</v>
      </c>
      <c r="L1604">
        <v>7</v>
      </c>
      <c r="M1604" s="1" t="s">
        <v>24</v>
      </c>
      <c r="N1604" s="2">
        <v>45839</v>
      </c>
      <c r="O1604">
        <v>2025</v>
      </c>
      <c r="P1604">
        <v>3</v>
      </c>
      <c r="Q1604" s="1" t="s">
        <v>24</v>
      </c>
    </row>
    <row r="1605" spans="1:17" x14ac:dyDescent="0.3">
      <c r="A1605" s="1" t="s">
        <v>1670</v>
      </c>
      <c r="B1605" s="1" t="s">
        <v>63</v>
      </c>
      <c r="C1605" s="1" t="s">
        <v>64</v>
      </c>
      <c r="D1605" s="1" t="s">
        <v>51</v>
      </c>
      <c r="E1605" s="1" t="s">
        <v>21</v>
      </c>
      <c r="F1605" s="1" t="s">
        <v>22</v>
      </c>
      <c r="G1605" s="2">
        <v>45931</v>
      </c>
      <c r="H1605" s="2">
        <v>45933</v>
      </c>
      <c r="I1605" s="1" t="s">
        <v>32</v>
      </c>
      <c r="J1605">
        <v>5</v>
      </c>
      <c r="K1605">
        <v>2</v>
      </c>
      <c r="L1605">
        <v>10</v>
      </c>
      <c r="M1605" s="1" t="s">
        <v>24</v>
      </c>
      <c r="N1605" s="2">
        <v>45931</v>
      </c>
      <c r="O1605">
        <v>2025</v>
      </c>
      <c r="P1605">
        <v>4</v>
      </c>
      <c r="Q1605" s="1" t="s">
        <v>24</v>
      </c>
    </row>
    <row r="1606" spans="1:17" x14ac:dyDescent="0.3">
      <c r="A1606" s="1" t="s">
        <v>1671</v>
      </c>
      <c r="B1606" s="1" t="s">
        <v>42</v>
      </c>
      <c r="C1606" s="1" t="s">
        <v>43</v>
      </c>
      <c r="D1606" s="1" t="s">
        <v>44</v>
      </c>
      <c r="E1606" s="1" t="s">
        <v>48</v>
      </c>
      <c r="F1606" s="1" t="s">
        <v>61</v>
      </c>
      <c r="G1606" s="2">
        <v>45994</v>
      </c>
      <c r="H1606" s="2"/>
      <c r="I1606" s="1" t="s">
        <v>28</v>
      </c>
      <c r="L1606">
        <v>7</v>
      </c>
      <c r="M1606" s="1" t="s">
        <v>40</v>
      </c>
      <c r="N1606" s="2">
        <v>45992</v>
      </c>
      <c r="O1606">
        <v>2025</v>
      </c>
      <c r="P1606">
        <v>4</v>
      </c>
      <c r="Q1606" s="1" t="s">
        <v>33</v>
      </c>
    </row>
    <row r="1607" spans="1:17" x14ac:dyDescent="0.3">
      <c r="A1607" s="1" t="s">
        <v>1672</v>
      </c>
      <c r="B1607" s="1" t="s">
        <v>35</v>
      </c>
      <c r="C1607" s="1" t="s">
        <v>36</v>
      </c>
      <c r="D1607" s="1" t="s">
        <v>51</v>
      </c>
      <c r="E1607" s="1" t="s">
        <v>21</v>
      </c>
      <c r="F1607" s="1" t="s">
        <v>31</v>
      </c>
      <c r="G1607" s="2">
        <v>45769</v>
      </c>
      <c r="H1607" s="2">
        <v>45776</v>
      </c>
      <c r="I1607" s="1" t="s">
        <v>23</v>
      </c>
      <c r="J1607">
        <v>1</v>
      </c>
      <c r="K1607">
        <v>7</v>
      </c>
      <c r="L1607">
        <v>10</v>
      </c>
      <c r="M1607" s="1" t="s">
        <v>24</v>
      </c>
      <c r="N1607" s="2">
        <v>45748</v>
      </c>
      <c r="O1607">
        <v>2025</v>
      </c>
      <c r="P1607">
        <v>2</v>
      </c>
      <c r="Q1607" s="1" t="s">
        <v>24</v>
      </c>
    </row>
    <row r="1608" spans="1:17" x14ac:dyDescent="0.3">
      <c r="A1608" s="1" t="s">
        <v>1673</v>
      </c>
      <c r="B1608" s="1" t="s">
        <v>58</v>
      </c>
      <c r="C1608" s="1" t="s">
        <v>70</v>
      </c>
      <c r="D1608" s="1" t="s">
        <v>51</v>
      </c>
      <c r="E1608" s="1" t="s">
        <v>37</v>
      </c>
      <c r="F1608" s="1" t="s">
        <v>31</v>
      </c>
      <c r="G1608" s="2">
        <v>45764</v>
      </c>
      <c r="H1608" s="2"/>
      <c r="I1608" s="1" t="s">
        <v>23</v>
      </c>
      <c r="L1608">
        <v>10</v>
      </c>
      <c r="M1608" s="1" t="s">
        <v>40</v>
      </c>
      <c r="N1608" s="2">
        <v>45748</v>
      </c>
      <c r="O1608">
        <v>2025</v>
      </c>
      <c r="P1608">
        <v>2</v>
      </c>
      <c r="Q1608" s="1" t="s">
        <v>33</v>
      </c>
    </row>
    <row r="1609" spans="1:17" x14ac:dyDescent="0.3">
      <c r="A1609" s="1" t="s">
        <v>1674</v>
      </c>
      <c r="B1609" s="1" t="s">
        <v>58</v>
      </c>
      <c r="C1609" s="1" t="s">
        <v>145</v>
      </c>
      <c r="D1609" s="1" t="s">
        <v>51</v>
      </c>
      <c r="E1609" s="1" t="s">
        <v>21</v>
      </c>
      <c r="F1609" s="1" t="s">
        <v>61</v>
      </c>
      <c r="G1609" s="2">
        <v>45852</v>
      </c>
      <c r="H1609" s="2">
        <v>45855</v>
      </c>
      <c r="I1609" s="1" t="s">
        <v>82</v>
      </c>
      <c r="J1609">
        <v>2</v>
      </c>
      <c r="K1609">
        <v>3</v>
      </c>
      <c r="L1609">
        <v>10</v>
      </c>
      <c r="M1609" s="1" t="s">
        <v>24</v>
      </c>
      <c r="N1609" s="2">
        <v>45839</v>
      </c>
      <c r="O1609">
        <v>2025</v>
      </c>
      <c r="P1609">
        <v>3</v>
      </c>
      <c r="Q1609" s="1" t="s">
        <v>24</v>
      </c>
    </row>
    <row r="1610" spans="1:17" x14ac:dyDescent="0.3">
      <c r="A1610" s="1" t="s">
        <v>1675</v>
      </c>
      <c r="B1610" s="1" t="s">
        <v>26</v>
      </c>
      <c r="C1610" s="1" t="s">
        <v>67</v>
      </c>
      <c r="D1610" s="1" t="s">
        <v>20</v>
      </c>
      <c r="E1610" s="1" t="s">
        <v>21</v>
      </c>
      <c r="F1610" s="1" t="s">
        <v>52</v>
      </c>
      <c r="G1610" s="2">
        <v>45908</v>
      </c>
      <c r="H1610" s="2">
        <v>45922</v>
      </c>
      <c r="I1610" s="1" t="s">
        <v>39</v>
      </c>
      <c r="J1610">
        <v>4</v>
      </c>
      <c r="K1610">
        <v>14</v>
      </c>
      <c r="L1610">
        <v>14</v>
      </c>
      <c r="M1610" s="1" t="s">
        <v>24</v>
      </c>
      <c r="N1610" s="2">
        <v>45901</v>
      </c>
      <c r="O1610">
        <v>2025</v>
      </c>
      <c r="P1610">
        <v>3</v>
      </c>
      <c r="Q1610" s="1" t="s">
        <v>24</v>
      </c>
    </row>
    <row r="1611" spans="1:17" x14ac:dyDescent="0.3">
      <c r="A1611" s="1" t="s">
        <v>1676</v>
      </c>
      <c r="B1611" s="1" t="s">
        <v>63</v>
      </c>
      <c r="C1611" s="1" t="s">
        <v>64</v>
      </c>
      <c r="D1611" s="1" t="s">
        <v>71</v>
      </c>
      <c r="E1611" s="1" t="s">
        <v>37</v>
      </c>
      <c r="F1611" s="1" t="s">
        <v>31</v>
      </c>
      <c r="G1611" s="2">
        <v>45842</v>
      </c>
      <c r="H1611" s="2"/>
      <c r="I1611" s="1" t="s">
        <v>32</v>
      </c>
      <c r="L1611">
        <v>3</v>
      </c>
      <c r="M1611" s="1" t="s">
        <v>40</v>
      </c>
      <c r="N1611" s="2">
        <v>45839</v>
      </c>
      <c r="O1611">
        <v>2025</v>
      </c>
      <c r="P1611">
        <v>3</v>
      </c>
      <c r="Q1611" s="1" t="s">
        <v>33</v>
      </c>
    </row>
    <row r="1612" spans="1:17" x14ac:dyDescent="0.3">
      <c r="A1612" s="1" t="s">
        <v>1677</v>
      </c>
      <c r="B1612" s="1" t="s">
        <v>26</v>
      </c>
      <c r="C1612" s="1" t="s">
        <v>67</v>
      </c>
      <c r="D1612" s="1" t="s">
        <v>71</v>
      </c>
      <c r="E1612" s="1" t="s">
        <v>21</v>
      </c>
      <c r="F1612" s="1" t="s">
        <v>38</v>
      </c>
      <c r="G1612" s="2">
        <v>45852</v>
      </c>
      <c r="H1612" s="2">
        <v>45855</v>
      </c>
      <c r="I1612" s="1" t="s">
        <v>32</v>
      </c>
      <c r="J1612">
        <v>4</v>
      </c>
      <c r="K1612">
        <v>3</v>
      </c>
      <c r="L1612">
        <v>3</v>
      </c>
      <c r="M1612" s="1" t="s">
        <v>24</v>
      </c>
      <c r="N1612" s="2">
        <v>45839</v>
      </c>
      <c r="O1612">
        <v>2025</v>
      </c>
      <c r="P1612">
        <v>3</v>
      </c>
      <c r="Q1612" s="1" t="s">
        <v>24</v>
      </c>
    </row>
    <row r="1613" spans="1:17" x14ac:dyDescent="0.3">
      <c r="A1613" s="1" t="s">
        <v>1678</v>
      </c>
      <c r="B1613" s="1" t="s">
        <v>35</v>
      </c>
      <c r="C1613" s="1" t="s">
        <v>97</v>
      </c>
      <c r="D1613" s="1" t="s">
        <v>44</v>
      </c>
      <c r="E1613" s="1" t="s">
        <v>21</v>
      </c>
      <c r="F1613" s="1" t="s">
        <v>38</v>
      </c>
      <c r="G1613" s="2">
        <v>45991</v>
      </c>
      <c r="H1613" s="2">
        <v>45994</v>
      </c>
      <c r="I1613" s="1" t="s">
        <v>39</v>
      </c>
      <c r="J1613">
        <v>3</v>
      </c>
      <c r="K1613">
        <v>3</v>
      </c>
      <c r="L1613">
        <v>7</v>
      </c>
      <c r="M1613" s="1" t="s">
        <v>24</v>
      </c>
      <c r="N1613" s="2">
        <v>45962</v>
      </c>
      <c r="O1613">
        <v>2025</v>
      </c>
      <c r="P1613">
        <v>4</v>
      </c>
      <c r="Q1613" s="1" t="s">
        <v>24</v>
      </c>
    </row>
    <row r="1614" spans="1:17" x14ac:dyDescent="0.3">
      <c r="A1614" s="1" t="s">
        <v>1679</v>
      </c>
      <c r="B1614" s="1" t="s">
        <v>58</v>
      </c>
      <c r="C1614" s="1" t="s">
        <v>70</v>
      </c>
      <c r="D1614" s="1" t="s">
        <v>71</v>
      </c>
      <c r="E1614" s="1" t="s">
        <v>21</v>
      </c>
      <c r="F1614" s="1" t="s">
        <v>61</v>
      </c>
      <c r="G1614" s="2">
        <v>45989</v>
      </c>
      <c r="H1614" s="2">
        <v>45991</v>
      </c>
      <c r="I1614" s="1" t="s">
        <v>28</v>
      </c>
      <c r="J1614">
        <v>2</v>
      </c>
      <c r="K1614">
        <v>2</v>
      </c>
      <c r="L1614">
        <v>3</v>
      </c>
      <c r="M1614" s="1" t="s">
        <v>24</v>
      </c>
      <c r="N1614" s="2">
        <v>45962</v>
      </c>
      <c r="O1614">
        <v>2025</v>
      </c>
      <c r="P1614">
        <v>4</v>
      </c>
      <c r="Q1614" s="1" t="s">
        <v>24</v>
      </c>
    </row>
    <row r="1615" spans="1:17" x14ac:dyDescent="0.3">
      <c r="A1615" s="1" t="s">
        <v>1680</v>
      </c>
      <c r="B1615" s="1" t="s">
        <v>26</v>
      </c>
      <c r="C1615" s="1" t="s">
        <v>67</v>
      </c>
      <c r="D1615" s="1" t="s">
        <v>20</v>
      </c>
      <c r="E1615" s="1" t="s">
        <v>21</v>
      </c>
      <c r="F1615" s="1" t="s">
        <v>38</v>
      </c>
      <c r="G1615" s="2">
        <v>46013</v>
      </c>
      <c r="H1615" s="2">
        <v>46023</v>
      </c>
      <c r="I1615" s="1" t="s">
        <v>82</v>
      </c>
      <c r="J1615">
        <v>5</v>
      </c>
      <c r="K1615">
        <v>10</v>
      </c>
      <c r="L1615">
        <v>14</v>
      </c>
      <c r="M1615" s="1" t="s">
        <v>24</v>
      </c>
      <c r="N1615" s="2">
        <v>45992</v>
      </c>
      <c r="O1615">
        <v>2025</v>
      </c>
      <c r="P1615">
        <v>4</v>
      </c>
      <c r="Q1615" s="1" t="s">
        <v>24</v>
      </c>
    </row>
    <row r="1616" spans="1:17" x14ac:dyDescent="0.3">
      <c r="A1616" s="1" t="s">
        <v>1681</v>
      </c>
      <c r="B1616" s="1" t="s">
        <v>63</v>
      </c>
      <c r="C1616" s="1" t="s">
        <v>84</v>
      </c>
      <c r="D1616" s="1" t="s">
        <v>51</v>
      </c>
      <c r="E1616" s="1" t="s">
        <v>21</v>
      </c>
      <c r="F1616" s="1" t="s">
        <v>22</v>
      </c>
      <c r="G1616" s="2">
        <v>45738</v>
      </c>
      <c r="H1616" s="2">
        <v>45746</v>
      </c>
      <c r="I1616" s="1" t="s">
        <v>28</v>
      </c>
      <c r="J1616">
        <v>3</v>
      </c>
      <c r="K1616">
        <v>8</v>
      </c>
      <c r="L1616">
        <v>10</v>
      </c>
      <c r="M1616" s="1" t="s">
        <v>24</v>
      </c>
      <c r="N1616" s="2">
        <v>45717</v>
      </c>
      <c r="O1616">
        <v>2025</v>
      </c>
      <c r="P1616">
        <v>1</v>
      </c>
      <c r="Q1616" s="1" t="s">
        <v>24</v>
      </c>
    </row>
    <row r="1617" spans="1:17" x14ac:dyDescent="0.3">
      <c r="A1617" s="1" t="s">
        <v>1682</v>
      </c>
      <c r="B1617" s="1" t="s">
        <v>18</v>
      </c>
      <c r="C1617" s="1" t="s">
        <v>47</v>
      </c>
      <c r="D1617" s="1" t="s">
        <v>51</v>
      </c>
      <c r="E1617" s="1" t="s">
        <v>48</v>
      </c>
      <c r="F1617" s="1" t="s">
        <v>38</v>
      </c>
      <c r="G1617" s="2">
        <v>45741</v>
      </c>
      <c r="H1617" s="2"/>
      <c r="I1617" s="1" t="s">
        <v>39</v>
      </c>
      <c r="L1617">
        <v>10</v>
      </c>
      <c r="M1617" s="1" t="s">
        <v>40</v>
      </c>
      <c r="N1617" s="2">
        <v>45717</v>
      </c>
      <c r="O1617">
        <v>2025</v>
      </c>
      <c r="P1617">
        <v>1</v>
      </c>
      <c r="Q1617" s="1" t="s">
        <v>33</v>
      </c>
    </row>
    <row r="1618" spans="1:17" x14ac:dyDescent="0.3">
      <c r="A1618" s="1" t="s">
        <v>1683</v>
      </c>
      <c r="B1618" s="1" t="s">
        <v>63</v>
      </c>
      <c r="C1618" s="1" t="s">
        <v>84</v>
      </c>
      <c r="D1618" s="1" t="s">
        <v>51</v>
      </c>
      <c r="E1618" s="1" t="s">
        <v>21</v>
      </c>
      <c r="F1618" s="1" t="s">
        <v>38</v>
      </c>
      <c r="G1618" s="2">
        <v>45793</v>
      </c>
      <c r="H1618" s="2">
        <v>45800</v>
      </c>
      <c r="I1618" s="1" t="s">
        <v>32</v>
      </c>
      <c r="J1618">
        <v>1</v>
      </c>
      <c r="K1618">
        <v>7</v>
      </c>
      <c r="L1618">
        <v>10</v>
      </c>
      <c r="M1618" s="1" t="s">
        <v>24</v>
      </c>
      <c r="N1618" s="2">
        <v>45778</v>
      </c>
      <c r="O1618">
        <v>2025</v>
      </c>
      <c r="P1618">
        <v>2</v>
      </c>
      <c r="Q1618" s="1" t="s">
        <v>24</v>
      </c>
    </row>
    <row r="1619" spans="1:17" x14ac:dyDescent="0.3">
      <c r="A1619" s="1" t="s">
        <v>1684</v>
      </c>
      <c r="B1619" s="1" t="s">
        <v>42</v>
      </c>
      <c r="C1619" s="1" t="s">
        <v>87</v>
      </c>
      <c r="D1619" s="1" t="s">
        <v>20</v>
      </c>
      <c r="E1619" s="1" t="s">
        <v>48</v>
      </c>
      <c r="F1619" s="1" t="s">
        <v>38</v>
      </c>
      <c r="G1619" s="2">
        <v>45866</v>
      </c>
      <c r="H1619" s="2"/>
      <c r="I1619" s="1" t="s">
        <v>82</v>
      </c>
      <c r="L1619">
        <v>14</v>
      </c>
      <c r="M1619" s="1" t="s">
        <v>40</v>
      </c>
      <c r="N1619" s="2">
        <v>45839</v>
      </c>
      <c r="O1619">
        <v>2025</v>
      </c>
      <c r="P1619">
        <v>3</v>
      </c>
      <c r="Q1619" s="1" t="s">
        <v>33</v>
      </c>
    </row>
    <row r="1620" spans="1:17" x14ac:dyDescent="0.3">
      <c r="A1620" s="1" t="s">
        <v>1685</v>
      </c>
      <c r="B1620" s="1" t="s">
        <v>58</v>
      </c>
      <c r="C1620" s="1" t="s">
        <v>108</v>
      </c>
      <c r="D1620" s="1" t="s">
        <v>20</v>
      </c>
      <c r="E1620" s="1" t="s">
        <v>21</v>
      </c>
      <c r="F1620" s="1" t="s">
        <v>38</v>
      </c>
      <c r="G1620" s="2">
        <v>45772</v>
      </c>
      <c r="H1620" s="2">
        <v>45776</v>
      </c>
      <c r="I1620" s="1" t="s">
        <v>23</v>
      </c>
      <c r="J1620">
        <v>4</v>
      </c>
      <c r="K1620">
        <v>4</v>
      </c>
      <c r="L1620">
        <v>14</v>
      </c>
      <c r="M1620" s="1" t="s">
        <v>24</v>
      </c>
      <c r="N1620" s="2">
        <v>45748</v>
      </c>
      <c r="O1620">
        <v>2025</v>
      </c>
      <c r="P1620">
        <v>2</v>
      </c>
      <c r="Q1620" s="1" t="s">
        <v>24</v>
      </c>
    </row>
    <row r="1621" spans="1:17" x14ac:dyDescent="0.3">
      <c r="A1621" s="1" t="s">
        <v>1686</v>
      </c>
      <c r="B1621" s="1" t="s">
        <v>58</v>
      </c>
      <c r="C1621" s="1" t="s">
        <v>145</v>
      </c>
      <c r="D1621" s="1" t="s">
        <v>71</v>
      </c>
      <c r="E1621" s="1" t="s">
        <v>37</v>
      </c>
      <c r="F1621" s="1" t="s">
        <v>31</v>
      </c>
      <c r="G1621" s="2">
        <v>45932</v>
      </c>
      <c r="H1621" s="2"/>
      <c r="I1621" s="1" t="s">
        <v>28</v>
      </c>
      <c r="L1621">
        <v>3</v>
      </c>
      <c r="M1621" s="1" t="s">
        <v>40</v>
      </c>
      <c r="N1621" s="2">
        <v>45931</v>
      </c>
      <c r="O1621">
        <v>2025</v>
      </c>
      <c r="P1621">
        <v>4</v>
      </c>
      <c r="Q1621" s="1" t="s">
        <v>33</v>
      </c>
    </row>
    <row r="1622" spans="1:17" x14ac:dyDescent="0.3">
      <c r="A1622" s="1" t="s">
        <v>1687</v>
      </c>
      <c r="B1622" s="1" t="s">
        <v>26</v>
      </c>
      <c r="C1622" s="1" t="s">
        <v>67</v>
      </c>
      <c r="D1622" s="1" t="s">
        <v>51</v>
      </c>
      <c r="E1622" s="1" t="s">
        <v>21</v>
      </c>
      <c r="F1622" s="1" t="s">
        <v>22</v>
      </c>
      <c r="G1622" s="2">
        <v>45789</v>
      </c>
      <c r="H1622" s="2">
        <v>45793</v>
      </c>
      <c r="I1622" s="1" t="s">
        <v>32</v>
      </c>
      <c r="J1622">
        <v>4</v>
      </c>
      <c r="K1622">
        <v>4</v>
      </c>
      <c r="L1622">
        <v>10</v>
      </c>
      <c r="M1622" s="1" t="s">
        <v>24</v>
      </c>
      <c r="N1622" s="2">
        <v>45778</v>
      </c>
      <c r="O1622">
        <v>2025</v>
      </c>
      <c r="P1622">
        <v>2</v>
      </c>
      <c r="Q1622" s="1" t="s">
        <v>24</v>
      </c>
    </row>
    <row r="1623" spans="1:17" x14ac:dyDescent="0.3">
      <c r="A1623" s="1" t="s">
        <v>1688</v>
      </c>
      <c r="B1623" s="1" t="s">
        <v>26</v>
      </c>
      <c r="C1623" s="1" t="s">
        <v>67</v>
      </c>
      <c r="D1623" s="1" t="s">
        <v>51</v>
      </c>
      <c r="E1623" s="1" t="s">
        <v>37</v>
      </c>
      <c r="F1623" s="1" t="s">
        <v>61</v>
      </c>
      <c r="G1623" s="2">
        <v>45950</v>
      </c>
      <c r="H1623" s="2"/>
      <c r="I1623" s="1" t="s">
        <v>28</v>
      </c>
      <c r="L1623">
        <v>10</v>
      </c>
      <c r="M1623" s="1" t="s">
        <v>40</v>
      </c>
      <c r="N1623" s="2">
        <v>45931</v>
      </c>
      <c r="O1623">
        <v>2025</v>
      </c>
      <c r="P1623">
        <v>4</v>
      </c>
      <c r="Q1623" s="1" t="s">
        <v>33</v>
      </c>
    </row>
    <row r="1624" spans="1:17" x14ac:dyDescent="0.3">
      <c r="A1624" s="1" t="s">
        <v>1689</v>
      </c>
      <c r="B1624" s="1" t="s">
        <v>63</v>
      </c>
      <c r="C1624" s="1" t="s">
        <v>64</v>
      </c>
      <c r="D1624" s="1" t="s">
        <v>44</v>
      </c>
      <c r="E1624" s="1" t="s">
        <v>21</v>
      </c>
      <c r="F1624" s="1" t="s">
        <v>31</v>
      </c>
      <c r="G1624" s="2">
        <v>45995</v>
      </c>
      <c r="H1624" s="2">
        <v>45996</v>
      </c>
      <c r="I1624" s="1" t="s">
        <v>32</v>
      </c>
      <c r="J1624">
        <v>5</v>
      </c>
      <c r="K1624">
        <v>1</v>
      </c>
      <c r="L1624">
        <v>7</v>
      </c>
      <c r="M1624" s="1" t="s">
        <v>24</v>
      </c>
      <c r="N1624" s="2">
        <v>45992</v>
      </c>
      <c r="O1624">
        <v>2025</v>
      </c>
      <c r="P1624">
        <v>4</v>
      </c>
      <c r="Q1624" s="1" t="s">
        <v>24</v>
      </c>
    </row>
    <row r="1625" spans="1:17" x14ac:dyDescent="0.3">
      <c r="A1625" s="1" t="s">
        <v>1690</v>
      </c>
      <c r="B1625" s="1" t="s">
        <v>26</v>
      </c>
      <c r="C1625" s="1" t="s">
        <v>67</v>
      </c>
      <c r="D1625" s="1" t="s">
        <v>20</v>
      </c>
      <c r="E1625" s="1" t="s">
        <v>21</v>
      </c>
      <c r="F1625" s="1" t="s">
        <v>31</v>
      </c>
      <c r="G1625" s="2">
        <v>45995</v>
      </c>
      <c r="H1625" s="2">
        <v>46002</v>
      </c>
      <c r="I1625" s="1" t="s">
        <v>82</v>
      </c>
      <c r="J1625">
        <v>4</v>
      </c>
      <c r="K1625">
        <v>7</v>
      </c>
      <c r="L1625">
        <v>14</v>
      </c>
      <c r="M1625" s="1" t="s">
        <v>24</v>
      </c>
      <c r="N1625" s="2">
        <v>45992</v>
      </c>
      <c r="O1625">
        <v>2025</v>
      </c>
      <c r="P1625">
        <v>4</v>
      </c>
      <c r="Q1625" s="1" t="s">
        <v>24</v>
      </c>
    </row>
    <row r="1626" spans="1:17" x14ac:dyDescent="0.3">
      <c r="A1626" s="1" t="s">
        <v>1691</v>
      </c>
      <c r="B1626" s="1" t="s">
        <v>26</v>
      </c>
      <c r="C1626" s="1" t="s">
        <v>123</v>
      </c>
      <c r="D1626" s="1" t="s">
        <v>44</v>
      </c>
      <c r="E1626" s="1" t="s">
        <v>21</v>
      </c>
      <c r="F1626" s="1" t="s">
        <v>22</v>
      </c>
      <c r="G1626" s="2">
        <v>45874</v>
      </c>
      <c r="H1626" s="2">
        <v>45877</v>
      </c>
      <c r="I1626" s="1" t="s">
        <v>23</v>
      </c>
      <c r="J1626">
        <v>5</v>
      </c>
      <c r="K1626">
        <v>3</v>
      </c>
      <c r="L1626">
        <v>7</v>
      </c>
      <c r="M1626" s="1" t="s">
        <v>24</v>
      </c>
      <c r="N1626" s="2">
        <v>45870</v>
      </c>
      <c r="O1626">
        <v>2025</v>
      </c>
      <c r="P1626">
        <v>3</v>
      </c>
      <c r="Q1626" s="1" t="s">
        <v>24</v>
      </c>
    </row>
    <row r="1627" spans="1:17" x14ac:dyDescent="0.3">
      <c r="A1627" s="1" t="s">
        <v>1692</v>
      </c>
      <c r="B1627" s="1" t="s">
        <v>18</v>
      </c>
      <c r="C1627" s="1" t="s">
        <v>30</v>
      </c>
      <c r="D1627" s="1" t="s">
        <v>51</v>
      </c>
      <c r="E1627" s="1" t="s">
        <v>37</v>
      </c>
      <c r="F1627" s="1" t="s">
        <v>38</v>
      </c>
      <c r="G1627" s="2">
        <v>45751</v>
      </c>
      <c r="H1627" s="2"/>
      <c r="I1627" s="1" t="s">
        <v>28</v>
      </c>
      <c r="L1627">
        <v>10</v>
      </c>
      <c r="M1627" s="1" t="s">
        <v>40</v>
      </c>
      <c r="N1627" s="2">
        <v>45748</v>
      </c>
      <c r="O1627">
        <v>2025</v>
      </c>
      <c r="P1627">
        <v>2</v>
      </c>
      <c r="Q1627" s="1" t="s">
        <v>33</v>
      </c>
    </row>
    <row r="1628" spans="1:17" x14ac:dyDescent="0.3">
      <c r="A1628" s="1" t="s">
        <v>1693</v>
      </c>
      <c r="B1628" s="1" t="s">
        <v>18</v>
      </c>
      <c r="C1628" s="1" t="s">
        <v>19</v>
      </c>
      <c r="D1628" s="1" t="s">
        <v>44</v>
      </c>
      <c r="E1628" s="1" t="s">
        <v>21</v>
      </c>
      <c r="F1628" s="1" t="s">
        <v>31</v>
      </c>
      <c r="G1628" s="2">
        <v>45861</v>
      </c>
      <c r="H1628" s="2">
        <v>45864</v>
      </c>
      <c r="I1628" s="1" t="s">
        <v>39</v>
      </c>
      <c r="J1628">
        <v>1</v>
      </c>
      <c r="K1628">
        <v>3</v>
      </c>
      <c r="L1628">
        <v>7</v>
      </c>
      <c r="M1628" s="1" t="s">
        <v>24</v>
      </c>
      <c r="N1628" s="2">
        <v>45839</v>
      </c>
      <c r="O1628">
        <v>2025</v>
      </c>
      <c r="P1628">
        <v>3</v>
      </c>
      <c r="Q1628" s="1" t="s">
        <v>24</v>
      </c>
    </row>
    <row r="1629" spans="1:17" x14ac:dyDescent="0.3">
      <c r="A1629" s="1" t="s">
        <v>1694</v>
      </c>
      <c r="B1629" s="1" t="s">
        <v>35</v>
      </c>
      <c r="C1629" s="1" t="s">
        <v>36</v>
      </c>
      <c r="D1629" s="1" t="s">
        <v>51</v>
      </c>
      <c r="E1629" s="1" t="s">
        <v>37</v>
      </c>
      <c r="F1629" s="1" t="s">
        <v>31</v>
      </c>
      <c r="G1629" s="2">
        <v>45953</v>
      </c>
      <c r="H1629" s="2"/>
      <c r="I1629" s="1" t="s">
        <v>39</v>
      </c>
      <c r="L1629">
        <v>10</v>
      </c>
      <c r="M1629" s="1" t="s">
        <v>40</v>
      </c>
      <c r="N1629" s="2">
        <v>45931</v>
      </c>
      <c r="O1629">
        <v>2025</v>
      </c>
      <c r="P1629">
        <v>4</v>
      </c>
      <c r="Q1629" s="1" t="s">
        <v>33</v>
      </c>
    </row>
    <row r="1630" spans="1:17" x14ac:dyDescent="0.3">
      <c r="A1630" s="1" t="s">
        <v>1695</v>
      </c>
      <c r="B1630" s="1" t="s">
        <v>63</v>
      </c>
      <c r="C1630" s="1" t="s">
        <v>89</v>
      </c>
      <c r="D1630" s="1" t="s">
        <v>51</v>
      </c>
      <c r="E1630" s="1" t="s">
        <v>21</v>
      </c>
      <c r="F1630" s="1" t="s">
        <v>22</v>
      </c>
      <c r="G1630" s="2">
        <v>45718</v>
      </c>
      <c r="H1630" s="2">
        <v>45724</v>
      </c>
      <c r="I1630" s="1" t="s">
        <v>32</v>
      </c>
      <c r="J1630">
        <v>4</v>
      </c>
      <c r="K1630">
        <v>6</v>
      </c>
      <c r="L1630">
        <v>10</v>
      </c>
      <c r="M1630" s="1" t="s">
        <v>24</v>
      </c>
      <c r="N1630" s="2">
        <v>45717</v>
      </c>
      <c r="O1630">
        <v>2025</v>
      </c>
      <c r="P1630">
        <v>1</v>
      </c>
      <c r="Q1630" s="1" t="s">
        <v>24</v>
      </c>
    </row>
    <row r="1631" spans="1:17" x14ac:dyDescent="0.3">
      <c r="A1631" s="1" t="s">
        <v>1696</v>
      </c>
      <c r="B1631" s="1" t="s">
        <v>35</v>
      </c>
      <c r="C1631" s="1" t="s">
        <v>36</v>
      </c>
      <c r="D1631" s="1" t="s">
        <v>51</v>
      </c>
      <c r="E1631" s="1" t="s">
        <v>37</v>
      </c>
      <c r="F1631" s="1" t="s">
        <v>22</v>
      </c>
      <c r="G1631" s="2">
        <v>45907</v>
      </c>
      <c r="H1631" s="2"/>
      <c r="I1631" s="1" t="s">
        <v>39</v>
      </c>
      <c r="L1631">
        <v>10</v>
      </c>
      <c r="M1631" s="1" t="s">
        <v>40</v>
      </c>
      <c r="N1631" s="2">
        <v>45901</v>
      </c>
      <c r="O1631">
        <v>2025</v>
      </c>
      <c r="P1631">
        <v>3</v>
      </c>
      <c r="Q1631" s="1" t="s">
        <v>33</v>
      </c>
    </row>
    <row r="1632" spans="1:17" x14ac:dyDescent="0.3">
      <c r="A1632" s="1" t="s">
        <v>1697</v>
      </c>
      <c r="B1632" s="1" t="s">
        <v>18</v>
      </c>
      <c r="C1632" s="1" t="s">
        <v>19</v>
      </c>
      <c r="D1632" s="1" t="s">
        <v>51</v>
      </c>
      <c r="E1632" s="1" t="s">
        <v>21</v>
      </c>
      <c r="F1632" s="1" t="s">
        <v>52</v>
      </c>
      <c r="G1632" s="2">
        <v>45923</v>
      </c>
      <c r="H1632" s="2">
        <v>45929</v>
      </c>
      <c r="I1632" s="1" t="s">
        <v>39</v>
      </c>
      <c r="J1632">
        <v>2</v>
      </c>
      <c r="K1632">
        <v>6</v>
      </c>
      <c r="L1632">
        <v>10</v>
      </c>
      <c r="M1632" s="1" t="s">
        <v>24</v>
      </c>
      <c r="N1632" s="2">
        <v>45901</v>
      </c>
      <c r="O1632">
        <v>2025</v>
      </c>
      <c r="P1632">
        <v>3</v>
      </c>
      <c r="Q1632" s="1" t="s">
        <v>24</v>
      </c>
    </row>
    <row r="1633" spans="1:17" x14ac:dyDescent="0.3">
      <c r="A1633" s="1" t="s">
        <v>1698</v>
      </c>
      <c r="B1633" s="1" t="s">
        <v>18</v>
      </c>
      <c r="C1633" s="1" t="s">
        <v>19</v>
      </c>
      <c r="D1633" s="1" t="s">
        <v>71</v>
      </c>
      <c r="E1633" s="1" t="s">
        <v>21</v>
      </c>
      <c r="F1633" s="1" t="s">
        <v>38</v>
      </c>
      <c r="G1633" s="2">
        <v>45774</v>
      </c>
      <c r="H1633" s="2">
        <v>45777</v>
      </c>
      <c r="I1633" s="1" t="s">
        <v>82</v>
      </c>
      <c r="J1633">
        <v>5</v>
      </c>
      <c r="K1633">
        <v>3</v>
      </c>
      <c r="L1633">
        <v>3</v>
      </c>
      <c r="M1633" s="1" t="s">
        <v>24</v>
      </c>
      <c r="N1633" s="2">
        <v>45748</v>
      </c>
      <c r="O1633">
        <v>2025</v>
      </c>
      <c r="P1633">
        <v>2</v>
      </c>
      <c r="Q1633" s="1" t="s">
        <v>24</v>
      </c>
    </row>
    <row r="1634" spans="1:17" x14ac:dyDescent="0.3">
      <c r="A1634" s="1" t="s">
        <v>1699</v>
      </c>
      <c r="B1634" s="1" t="s">
        <v>18</v>
      </c>
      <c r="C1634" s="1" t="s">
        <v>56</v>
      </c>
      <c r="D1634" s="1" t="s">
        <v>20</v>
      </c>
      <c r="E1634" s="1" t="s">
        <v>21</v>
      </c>
      <c r="F1634" s="1" t="s">
        <v>38</v>
      </c>
      <c r="G1634" s="2">
        <v>45889</v>
      </c>
      <c r="H1634" s="2">
        <v>45898</v>
      </c>
      <c r="I1634" s="1" t="s">
        <v>82</v>
      </c>
      <c r="J1634">
        <v>4</v>
      </c>
      <c r="K1634">
        <v>9</v>
      </c>
      <c r="L1634">
        <v>14</v>
      </c>
      <c r="M1634" s="1" t="s">
        <v>24</v>
      </c>
      <c r="N1634" s="2">
        <v>45870</v>
      </c>
      <c r="O1634">
        <v>2025</v>
      </c>
      <c r="P1634">
        <v>3</v>
      </c>
      <c r="Q1634" s="1" t="s">
        <v>24</v>
      </c>
    </row>
    <row r="1635" spans="1:17" x14ac:dyDescent="0.3">
      <c r="A1635" s="1" t="s">
        <v>1700</v>
      </c>
      <c r="B1635" s="1" t="s">
        <v>63</v>
      </c>
      <c r="C1635" s="1" t="s">
        <v>89</v>
      </c>
      <c r="D1635" s="1" t="s">
        <v>44</v>
      </c>
      <c r="E1635" s="1" t="s">
        <v>48</v>
      </c>
      <c r="F1635" s="1" t="s">
        <v>61</v>
      </c>
      <c r="G1635" s="2">
        <v>45919</v>
      </c>
      <c r="H1635" s="2"/>
      <c r="I1635" s="1" t="s">
        <v>28</v>
      </c>
      <c r="L1635">
        <v>7</v>
      </c>
      <c r="M1635" s="1" t="s">
        <v>40</v>
      </c>
      <c r="N1635" s="2">
        <v>45901</v>
      </c>
      <c r="O1635">
        <v>2025</v>
      </c>
      <c r="P1635">
        <v>3</v>
      </c>
      <c r="Q1635" s="1" t="s">
        <v>33</v>
      </c>
    </row>
    <row r="1636" spans="1:17" x14ac:dyDescent="0.3">
      <c r="A1636" s="1" t="s">
        <v>1701</v>
      </c>
      <c r="B1636" s="1" t="s">
        <v>18</v>
      </c>
      <c r="C1636" s="1" t="s">
        <v>47</v>
      </c>
      <c r="D1636" s="1" t="s">
        <v>44</v>
      </c>
      <c r="E1636" s="1" t="s">
        <v>21</v>
      </c>
      <c r="F1636" s="1" t="s">
        <v>61</v>
      </c>
      <c r="G1636" s="2">
        <v>45839</v>
      </c>
      <c r="H1636" s="2">
        <v>45844</v>
      </c>
      <c r="I1636" s="1" t="s">
        <v>82</v>
      </c>
      <c r="J1636">
        <v>4</v>
      </c>
      <c r="K1636">
        <v>5</v>
      </c>
      <c r="L1636">
        <v>7</v>
      </c>
      <c r="M1636" s="1" t="s">
        <v>24</v>
      </c>
      <c r="N1636" s="2">
        <v>45839</v>
      </c>
      <c r="O1636">
        <v>2025</v>
      </c>
      <c r="P1636">
        <v>3</v>
      </c>
      <c r="Q1636" s="1" t="s">
        <v>24</v>
      </c>
    </row>
    <row r="1637" spans="1:17" x14ac:dyDescent="0.3">
      <c r="A1637" s="1" t="s">
        <v>1702</v>
      </c>
      <c r="B1637" s="1" t="s">
        <v>26</v>
      </c>
      <c r="C1637" s="1" t="s">
        <v>67</v>
      </c>
      <c r="D1637" s="1" t="s">
        <v>44</v>
      </c>
      <c r="E1637" s="1" t="s">
        <v>21</v>
      </c>
      <c r="F1637" s="1" t="s">
        <v>22</v>
      </c>
      <c r="G1637" s="2">
        <v>45775</v>
      </c>
      <c r="H1637" s="2">
        <v>45781</v>
      </c>
      <c r="I1637" s="1" t="s">
        <v>28</v>
      </c>
      <c r="J1637">
        <v>5</v>
      </c>
      <c r="K1637">
        <v>6</v>
      </c>
      <c r="L1637">
        <v>7</v>
      </c>
      <c r="M1637" s="1" t="s">
        <v>24</v>
      </c>
      <c r="N1637" s="2">
        <v>45748</v>
      </c>
      <c r="O1637">
        <v>2025</v>
      </c>
      <c r="P1637">
        <v>2</v>
      </c>
      <c r="Q1637" s="1" t="s">
        <v>24</v>
      </c>
    </row>
    <row r="1638" spans="1:17" x14ac:dyDescent="0.3">
      <c r="A1638" s="1" t="s">
        <v>1703</v>
      </c>
      <c r="B1638" s="1" t="s">
        <v>35</v>
      </c>
      <c r="C1638" s="1" t="s">
        <v>36</v>
      </c>
      <c r="D1638" s="1" t="s">
        <v>20</v>
      </c>
      <c r="E1638" s="1" t="s">
        <v>21</v>
      </c>
      <c r="F1638" s="1" t="s">
        <v>61</v>
      </c>
      <c r="G1638" s="2">
        <v>45982</v>
      </c>
      <c r="H1638" s="2">
        <v>45994</v>
      </c>
      <c r="I1638" s="1" t="s">
        <v>82</v>
      </c>
      <c r="J1638">
        <v>3</v>
      </c>
      <c r="K1638">
        <v>12</v>
      </c>
      <c r="L1638">
        <v>14</v>
      </c>
      <c r="M1638" s="1" t="s">
        <v>24</v>
      </c>
      <c r="N1638" s="2">
        <v>45962</v>
      </c>
      <c r="O1638">
        <v>2025</v>
      </c>
      <c r="P1638">
        <v>4</v>
      </c>
      <c r="Q1638" s="1" t="s">
        <v>24</v>
      </c>
    </row>
    <row r="1639" spans="1:17" x14ac:dyDescent="0.3">
      <c r="A1639" s="1" t="s">
        <v>1704</v>
      </c>
      <c r="B1639" s="1" t="s">
        <v>26</v>
      </c>
      <c r="C1639" s="1" t="s">
        <v>27</v>
      </c>
      <c r="D1639" s="1" t="s">
        <v>44</v>
      </c>
      <c r="E1639" s="1" t="s">
        <v>21</v>
      </c>
      <c r="F1639" s="1" t="s">
        <v>22</v>
      </c>
      <c r="G1639" s="2">
        <v>45863</v>
      </c>
      <c r="H1639" s="2">
        <v>45866</v>
      </c>
      <c r="I1639" s="1" t="s">
        <v>39</v>
      </c>
      <c r="J1639">
        <v>4</v>
      </c>
      <c r="K1639">
        <v>3</v>
      </c>
      <c r="L1639">
        <v>7</v>
      </c>
      <c r="M1639" s="1" t="s">
        <v>24</v>
      </c>
      <c r="N1639" s="2">
        <v>45839</v>
      </c>
      <c r="O1639">
        <v>2025</v>
      </c>
      <c r="P1639">
        <v>3</v>
      </c>
      <c r="Q1639" s="1" t="s">
        <v>24</v>
      </c>
    </row>
    <row r="1640" spans="1:17" x14ac:dyDescent="0.3">
      <c r="A1640" s="1" t="s">
        <v>1705</v>
      </c>
      <c r="B1640" s="1" t="s">
        <v>58</v>
      </c>
      <c r="C1640" s="1" t="s">
        <v>145</v>
      </c>
      <c r="D1640" s="1" t="s">
        <v>51</v>
      </c>
      <c r="E1640" s="1" t="s">
        <v>21</v>
      </c>
      <c r="F1640" s="1" t="s">
        <v>22</v>
      </c>
      <c r="G1640" s="2">
        <v>45811</v>
      </c>
      <c r="H1640" s="2">
        <v>45813</v>
      </c>
      <c r="I1640" s="1" t="s">
        <v>32</v>
      </c>
      <c r="J1640">
        <v>2</v>
      </c>
      <c r="K1640">
        <v>2</v>
      </c>
      <c r="L1640">
        <v>10</v>
      </c>
      <c r="M1640" s="1" t="s">
        <v>24</v>
      </c>
      <c r="N1640" s="2">
        <v>45809</v>
      </c>
      <c r="O1640">
        <v>2025</v>
      </c>
      <c r="P1640">
        <v>2</v>
      </c>
      <c r="Q1640" s="1" t="s">
        <v>24</v>
      </c>
    </row>
    <row r="1641" spans="1:17" x14ac:dyDescent="0.3">
      <c r="A1641" s="1" t="s">
        <v>1706</v>
      </c>
      <c r="B1641" s="1" t="s">
        <v>63</v>
      </c>
      <c r="C1641" s="1" t="s">
        <v>74</v>
      </c>
      <c r="D1641" s="1" t="s">
        <v>20</v>
      </c>
      <c r="E1641" s="1" t="s">
        <v>21</v>
      </c>
      <c r="F1641" s="1" t="s">
        <v>61</v>
      </c>
      <c r="G1641" s="2">
        <v>45731</v>
      </c>
      <c r="H1641" s="2">
        <v>45741</v>
      </c>
      <c r="I1641" s="1" t="s">
        <v>39</v>
      </c>
      <c r="J1641">
        <v>5</v>
      </c>
      <c r="K1641">
        <v>10</v>
      </c>
      <c r="L1641">
        <v>14</v>
      </c>
      <c r="M1641" s="1" t="s">
        <v>24</v>
      </c>
      <c r="N1641" s="2">
        <v>45717</v>
      </c>
      <c r="O1641">
        <v>2025</v>
      </c>
      <c r="P1641">
        <v>1</v>
      </c>
      <c r="Q1641" s="1" t="s">
        <v>24</v>
      </c>
    </row>
    <row r="1642" spans="1:17" x14ac:dyDescent="0.3">
      <c r="A1642" s="1" t="s">
        <v>1707</v>
      </c>
      <c r="B1642" s="1" t="s">
        <v>63</v>
      </c>
      <c r="C1642" s="1" t="s">
        <v>89</v>
      </c>
      <c r="D1642" s="1" t="s">
        <v>51</v>
      </c>
      <c r="E1642" s="1" t="s">
        <v>21</v>
      </c>
      <c r="F1642" s="1" t="s">
        <v>52</v>
      </c>
      <c r="G1642" s="2">
        <v>45837</v>
      </c>
      <c r="H1642" s="2">
        <v>45840</v>
      </c>
      <c r="I1642" s="1" t="s">
        <v>28</v>
      </c>
      <c r="J1642">
        <v>3</v>
      </c>
      <c r="K1642">
        <v>3</v>
      </c>
      <c r="L1642">
        <v>10</v>
      </c>
      <c r="M1642" s="1" t="s">
        <v>24</v>
      </c>
      <c r="N1642" s="2">
        <v>45809</v>
      </c>
      <c r="O1642">
        <v>2025</v>
      </c>
      <c r="P1642">
        <v>2</v>
      </c>
      <c r="Q1642" s="1" t="s">
        <v>24</v>
      </c>
    </row>
    <row r="1643" spans="1:17" x14ac:dyDescent="0.3">
      <c r="A1643" s="1" t="s">
        <v>1708</v>
      </c>
      <c r="B1643" s="1" t="s">
        <v>58</v>
      </c>
      <c r="C1643" s="1" t="s">
        <v>70</v>
      </c>
      <c r="D1643" s="1" t="s">
        <v>44</v>
      </c>
      <c r="E1643" s="1" t="s">
        <v>21</v>
      </c>
      <c r="F1643" s="1" t="s">
        <v>61</v>
      </c>
      <c r="G1643" s="2">
        <v>46002</v>
      </c>
      <c r="H1643" s="2">
        <v>46004</v>
      </c>
      <c r="I1643" s="1" t="s">
        <v>32</v>
      </c>
      <c r="J1643">
        <v>3</v>
      </c>
      <c r="K1643">
        <v>2</v>
      </c>
      <c r="L1643">
        <v>7</v>
      </c>
      <c r="M1643" s="1" t="s">
        <v>24</v>
      </c>
      <c r="N1643" s="2">
        <v>45992</v>
      </c>
      <c r="O1643">
        <v>2025</v>
      </c>
      <c r="P1643">
        <v>4</v>
      </c>
      <c r="Q1643" s="1" t="s">
        <v>24</v>
      </c>
    </row>
    <row r="1644" spans="1:17" x14ac:dyDescent="0.3">
      <c r="A1644" s="1" t="s">
        <v>1709</v>
      </c>
      <c r="B1644" s="1" t="s">
        <v>35</v>
      </c>
      <c r="C1644" s="1" t="s">
        <v>99</v>
      </c>
      <c r="D1644" s="1" t="s">
        <v>51</v>
      </c>
      <c r="E1644" s="1" t="s">
        <v>21</v>
      </c>
      <c r="F1644" s="1" t="s">
        <v>22</v>
      </c>
      <c r="G1644" s="2">
        <v>45926</v>
      </c>
      <c r="H1644" s="2">
        <v>45929</v>
      </c>
      <c r="I1644" s="1" t="s">
        <v>39</v>
      </c>
      <c r="J1644">
        <v>5</v>
      </c>
      <c r="K1644">
        <v>3</v>
      </c>
      <c r="L1644">
        <v>10</v>
      </c>
      <c r="M1644" s="1" t="s">
        <v>24</v>
      </c>
      <c r="N1644" s="2">
        <v>45901</v>
      </c>
      <c r="O1644">
        <v>2025</v>
      </c>
      <c r="P1644">
        <v>3</v>
      </c>
      <c r="Q1644" s="1" t="s">
        <v>24</v>
      </c>
    </row>
    <row r="1645" spans="1:17" x14ac:dyDescent="0.3">
      <c r="A1645" s="1" t="s">
        <v>1710</v>
      </c>
      <c r="B1645" s="1" t="s">
        <v>63</v>
      </c>
      <c r="C1645" s="1" t="s">
        <v>89</v>
      </c>
      <c r="D1645" s="1" t="s">
        <v>51</v>
      </c>
      <c r="E1645" s="1" t="s">
        <v>21</v>
      </c>
      <c r="F1645" s="1" t="s">
        <v>52</v>
      </c>
      <c r="G1645" s="2">
        <v>45970</v>
      </c>
      <c r="H1645" s="2">
        <v>45979</v>
      </c>
      <c r="I1645" s="1" t="s">
        <v>32</v>
      </c>
      <c r="J1645">
        <v>3</v>
      </c>
      <c r="K1645">
        <v>9</v>
      </c>
      <c r="L1645">
        <v>10</v>
      </c>
      <c r="M1645" s="1" t="s">
        <v>24</v>
      </c>
      <c r="N1645" s="2">
        <v>45962</v>
      </c>
      <c r="O1645">
        <v>2025</v>
      </c>
      <c r="P1645">
        <v>4</v>
      </c>
      <c r="Q1645" s="1" t="s">
        <v>24</v>
      </c>
    </row>
    <row r="1646" spans="1:17" x14ac:dyDescent="0.3">
      <c r="A1646" s="1" t="s">
        <v>1711</v>
      </c>
      <c r="B1646" s="1" t="s">
        <v>42</v>
      </c>
      <c r="C1646" s="1" t="s">
        <v>87</v>
      </c>
      <c r="D1646" s="1" t="s">
        <v>44</v>
      </c>
      <c r="E1646" s="1" t="s">
        <v>21</v>
      </c>
      <c r="F1646" s="1" t="s">
        <v>61</v>
      </c>
      <c r="G1646" s="2">
        <v>45978</v>
      </c>
      <c r="H1646" s="2">
        <v>45982</v>
      </c>
      <c r="I1646" s="1" t="s">
        <v>39</v>
      </c>
      <c r="J1646">
        <v>4</v>
      </c>
      <c r="K1646">
        <v>4</v>
      </c>
      <c r="L1646">
        <v>7</v>
      </c>
      <c r="M1646" s="1" t="s">
        <v>24</v>
      </c>
      <c r="N1646" s="2">
        <v>45962</v>
      </c>
      <c r="O1646">
        <v>2025</v>
      </c>
      <c r="P1646">
        <v>4</v>
      </c>
      <c r="Q1646" s="1" t="s">
        <v>24</v>
      </c>
    </row>
    <row r="1647" spans="1:17" x14ac:dyDescent="0.3">
      <c r="A1647" s="1" t="s">
        <v>1712</v>
      </c>
      <c r="B1647" s="1" t="s">
        <v>35</v>
      </c>
      <c r="C1647" s="1" t="s">
        <v>36</v>
      </c>
      <c r="D1647" s="1" t="s">
        <v>51</v>
      </c>
      <c r="E1647" s="1" t="s">
        <v>21</v>
      </c>
      <c r="F1647" s="1" t="s">
        <v>31</v>
      </c>
      <c r="G1647" s="2">
        <v>45966</v>
      </c>
      <c r="H1647" s="2">
        <v>45973</v>
      </c>
      <c r="I1647" s="1" t="s">
        <v>39</v>
      </c>
      <c r="J1647">
        <v>3</v>
      </c>
      <c r="K1647">
        <v>7</v>
      </c>
      <c r="L1647">
        <v>10</v>
      </c>
      <c r="M1647" s="1" t="s">
        <v>24</v>
      </c>
      <c r="N1647" s="2">
        <v>45962</v>
      </c>
      <c r="O1647">
        <v>2025</v>
      </c>
      <c r="P1647">
        <v>4</v>
      </c>
      <c r="Q1647" s="1" t="s">
        <v>24</v>
      </c>
    </row>
    <row r="1648" spans="1:17" x14ac:dyDescent="0.3">
      <c r="A1648" s="1" t="s">
        <v>1713</v>
      </c>
      <c r="B1648" s="1" t="s">
        <v>58</v>
      </c>
      <c r="C1648" s="1" t="s">
        <v>70</v>
      </c>
      <c r="D1648" s="1" t="s">
        <v>51</v>
      </c>
      <c r="E1648" s="1" t="s">
        <v>48</v>
      </c>
      <c r="F1648" s="1" t="s">
        <v>52</v>
      </c>
      <c r="G1648" s="2">
        <v>45801</v>
      </c>
      <c r="H1648" s="2"/>
      <c r="I1648" s="1" t="s">
        <v>32</v>
      </c>
      <c r="L1648">
        <v>10</v>
      </c>
      <c r="M1648" s="1" t="s">
        <v>40</v>
      </c>
      <c r="N1648" s="2">
        <v>45778</v>
      </c>
      <c r="O1648">
        <v>2025</v>
      </c>
      <c r="P1648">
        <v>2</v>
      </c>
      <c r="Q1648" s="1" t="s">
        <v>33</v>
      </c>
    </row>
    <row r="1649" spans="1:17" x14ac:dyDescent="0.3">
      <c r="A1649" s="1" t="s">
        <v>1714</v>
      </c>
      <c r="B1649" s="1" t="s">
        <v>18</v>
      </c>
      <c r="C1649" s="1" t="s">
        <v>56</v>
      </c>
      <c r="D1649" s="1" t="s">
        <v>51</v>
      </c>
      <c r="E1649" s="1" t="s">
        <v>37</v>
      </c>
      <c r="F1649" s="1" t="s">
        <v>38</v>
      </c>
      <c r="G1649" s="2">
        <v>45840</v>
      </c>
      <c r="H1649" s="2"/>
      <c r="I1649" s="1" t="s">
        <v>23</v>
      </c>
      <c r="L1649">
        <v>10</v>
      </c>
      <c r="M1649" s="1" t="s">
        <v>40</v>
      </c>
      <c r="N1649" s="2">
        <v>45839</v>
      </c>
      <c r="O1649">
        <v>2025</v>
      </c>
      <c r="P1649">
        <v>3</v>
      </c>
      <c r="Q1649" s="1" t="s">
        <v>33</v>
      </c>
    </row>
    <row r="1650" spans="1:17" x14ac:dyDescent="0.3">
      <c r="A1650" s="1" t="s">
        <v>1715</v>
      </c>
      <c r="B1650" s="1" t="s">
        <v>42</v>
      </c>
      <c r="C1650" s="1" t="s">
        <v>87</v>
      </c>
      <c r="D1650" s="1" t="s">
        <v>20</v>
      </c>
      <c r="E1650" s="1" t="s">
        <v>21</v>
      </c>
      <c r="F1650" s="1" t="s">
        <v>38</v>
      </c>
      <c r="G1650" s="2">
        <v>45960</v>
      </c>
      <c r="H1650" s="2">
        <v>45969</v>
      </c>
      <c r="I1650" s="1" t="s">
        <v>39</v>
      </c>
      <c r="J1650">
        <v>5</v>
      </c>
      <c r="K1650">
        <v>9</v>
      </c>
      <c r="L1650">
        <v>14</v>
      </c>
      <c r="M1650" s="1" t="s">
        <v>24</v>
      </c>
      <c r="N1650" s="2">
        <v>45931</v>
      </c>
      <c r="O1650">
        <v>2025</v>
      </c>
      <c r="P1650">
        <v>4</v>
      </c>
      <c r="Q1650" s="1" t="s">
        <v>24</v>
      </c>
    </row>
    <row r="1651" spans="1:17" x14ac:dyDescent="0.3">
      <c r="A1651" s="1" t="s">
        <v>1716</v>
      </c>
      <c r="B1651" s="1" t="s">
        <v>26</v>
      </c>
      <c r="C1651" s="1" t="s">
        <v>27</v>
      </c>
      <c r="D1651" s="1" t="s">
        <v>51</v>
      </c>
      <c r="E1651" s="1" t="s">
        <v>48</v>
      </c>
      <c r="F1651" s="1" t="s">
        <v>31</v>
      </c>
      <c r="G1651" s="2">
        <v>45999</v>
      </c>
      <c r="H1651" s="2"/>
      <c r="I1651" s="1" t="s">
        <v>23</v>
      </c>
      <c r="L1651">
        <v>10</v>
      </c>
      <c r="M1651" s="1" t="s">
        <v>40</v>
      </c>
      <c r="N1651" s="2">
        <v>45992</v>
      </c>
      <c r="O1651">
        <v>2025</v>
      </c>
      <c r="P1651">
        <v>4</v>
      </c>
      <c r="Q1651" s="1" t="s">
        <v>33</v>
      </c>
    </row>
    <row r="1652" spans="1:17" x14ac:dyDescent="0.3">
      <c r="A1652" s="1" t="s">
        <v>1717</v>
      </c>
      <c r="B1652" s="1" t="s">
        <v>26</v>
      </c>
      <c r="C1652" s="1" t="s">
        <v>67</v>
      </c>
      <c r="D1652" s="1" t="s">
        <v>51</v>
      </c>
      <c r="E1652" s="1" t="s">
        <v>37</v>
      </c>
      <c r="F1652" s="1" t="s">
        <v>22</v>
      </c>
      <c r="G1652" s="2">
        <v>45708</v>
      </c>
      <c r="H1652" s="2"/>
      <c r="I1652" s="1" t="s">
        <v>23</v>
      </c>
      <c r="L1652">
        <v>10</v>
      </c>
      <c r="M1652" s="1" t="s">
        <v>40</v>
      </c>
      <c r="N1652" s="2">
        <v>45689</v>
      </c>
      <c r="O1652">
        <v>2025</v>
      </c>
      <c r="P1652">
        <v>1</v>
      </c>
      <c r="Q1652" s="1" t="s">
        <v>33</v>
      </c>
    </row>
    <row r="1653" spans="1:17" x14ac:dyDescent="0.3">
      <c r="A1653" s="1" t="s">
        <v>1718</v>
      </c>
      <c r="B1653" s="1" t="s">
        <v>42</v>
      </c>
      <c r="C1653" s="1" t="s">
        <v>76</v>
      </c>
      <c r="D1653" s="1" t="s">
        <v>51</v>
      </c>
      <c r="E1653" s="1" t="s">
        <v>21</v>
      </c>
      <c r="F1653" s="1" t="s">
        <v>38</v>
      </c>
      <c r="G1653" s="2">
        <v>45967</v>
      </c>
      <c r="H1653" s="2">
        <v>45975</v>
      </c>
      <c r="I1653" s="1" t="s">
        <v>32</v>
      </c>
      <c r="J1653">
        <v>5</v>
      </c>
      <c r="K1653">
        <v>8</v>
      </c>
      <c r="L1653">
        <v>10</v>
      </c>
      <c r="M1653" s="1" t="s">
        <v>24</v>
      </c>
      <c r="N1653" s="2">
        <v>45962</v>
      </c>
      <c r="O1653">
        <v>2025</v>
      </c>
      <c r="P1653">
        <v>4</v>
      </c>
      <c r="Q1653" s="1" t="s">
        <v>24</v>
      </c>
    </row>
    <row r="1654" spans="1:17" x14ac:dyDescent="0.3">
      <c r="A1654" s="1" t="s">
        <v>1719</v>
      </c>
      <c r="B1654" s="1" t="s">
        <v>18</v>
      </c>
      <c r="C1654" s="1" t="s">
        <v>30</v>
      </c>
      <c r="D1654" s="1" t="s">
        <v>44</v>
      </c>
      <c r="E1654" s="1" t="s">
        <v>21</v>
      </c>
      <c r="F1654" s="1" t="s">
        <v>31</v>
      </c>
      <c r="G1654" s="2">
        <v>45925</v>
      </c>
      <c r="H1654" s="2">
        <v>45926</v>
      </c>
      <c r="I1654" s="1" t="s">
        <v>23</v>
      </c>
      <c r="J1654">
        <v>5</v>
      </c>
      <c r="K1654">
        <v>1</v>
      </c>
      <c r="L1654">
        <v>7</v>
      </c>
      <c r="M1654" s="1" t="s">
        <v>24</v>
      </c>
      <c r="N1654" s="2">
        <v>45901</v>
      </c>
      <c r="O1654">
        <v>2025</v>
      </c>
      <c r="P1654">
        <v>3</v>
      </c>
      <c r="Q1654" s="1" t="s">
        <v>24</v>
      </c>
    </row>
    <row r="1655" spans="1:17" x14ac:dyDescent="0.3">
      <c r="A1655" s="1" t="s">
        <v>1720</v>
      </c>
      <c r="B1655" s="1" t="s">
        <v>63</v>
      </c>
      <c r="C1655" s="1" t="s">
        <v>64</v>
      </c>
      <c r="D1655" s="1" t="s">
        <v>20</v>
      </c>
      <c r="E1655" s="1" t="s">
        <v>48</v>
      </c>
      <c r="F1655" s="1" t="s">
        <v>52</v>
      </c>
      <c r="G1655" s="2">
        <v>45708</v>
      </c>
      <c r="H1655" s="2"/>
      <c r="I1655" s="1" t="s">
        <v>39</v>
      </c>
      <c r="L1655">
        <v>14</v>
      </c>
      <c r="M1655" s="1" t="s">
        <v>40</v>
      </c>
      <c r="N1655" s="2">
        <v>45689</v>
      </c>
      <c r="O1655">
        <v>2025</v>
      </c>
      <c r="P1655">
        <v>1</v>
      </c>
      <c r="Q1655" s="1" t="s">
        <v>33</v>
      </c>
    </row>
    <row r="1656" spans="1:17" x14ac:dyDescent="0.3">
      <c r="A1656" s="1" t="s">
        <v>1721</v>
      </c>
      <c r="B1656" s="1" t="s">
        <v>42</v>
      </c>
      <c r="C1656" s="1" t="s">
        <v>87</v>
      </c>
      <c r="D1656" s="1" t="s">
        <v>44</v>
      </c>
      <c r="E1656" s="1" t="s">
        <v>21</v>
      </c>
      <c r="F1656" s="1" t="s">
        <v>61</v>
      </c>
      <c r="G1656" s="2">
        <v>46007</v>
      </c>
      <c r="H1656" s="2">
        <v>46010</v>
      </c>
      <c r="I1656" s="1" t="s">
        <v>32</v>
      </c>
      <c r="J1656">
        <v>4</v>
      </c>
      <c r="K1656">
        <v>3</v>
      </c>
      <c r="L1656">
        <v>7</v>
      </c>
      <c r="M1656" s="1" t="s">
        <v>24</v>
      </c>
      <c r="N1656" s="2">
        <v>45992</v>
      </c>
      <c r="O1656">
        <v>2025</v>
      </c>
      <c r="P1656">
        <v>4</v>
      </c>
      <c r="Q1656" s="1" t="s">
        <v>24</v>
      </c>
    </row>
    <row r="1657" spans="1:17" x14ac:dyDescent="0.3">
      <c r="A1657" s="1" t="s">
        <v>1722</v>
      </c>
      <c r="B1657" s="1" t="s">
        <v>58</v>
      </c>
      <c r="C1657" s="1" t="s">
        <v>70</v>
      </c>
      <c r="D1657" s="1" t="s">
        <v>51</v>
      </c>
      <c r="E1657" s="1" t="s">
        <v>21</v>
      </c>
      <c r="F1657" s="1" t="s">
        <v>61</v>
      </c>
      <c r="G1657" s="2">
        <v>45983</v>
      </c>
      <c r="H1657" s="2">
        <v>45989</v>
      </c>
      <c r="I1657" s="1" t="s">
        <v>28</v>
      </c>
      <c r="J1657">
        <v>5</v>
      </c>
      <c r="K1657">
        <v>6</v>
      </c>
      <c r="L1657">
        <v>10</v>
      </c>
      <c r="M1657" s="1" t="s">
        <v>24</v>
      </c>
      <c r="N1657" s="2">
        <v>45962</v>
      </c>
      <c r="O1657">
        <v>2025</v>
      </c>
      <c r="P1657">
        <v>4</v>
      </c>
      <c r="Q1657" s="1" t="s">
        <v>24</v>
      </c>
    </row>
    <row r="1658" spans="1:17" x14ac:dyDescent="0.3">
      <c r="A1658" s="1" t="s">
        <v>1723</v>
      </c>
      <c r="B1658" s="1" t="s">
        <v>26</v>
      </c>
      <c r="C1658" s="1" t="s">
        <v>123</v>
      </c>
      <c r="D1658" s="1" t="s">
        <v>44</v>
      </c>
      <c r="E1658" s="1" t="s">
        <v>37</v>
      </c>
      <c r="F1658" s="1" t="s">
        <v>31</v>
      </c>
      <c r="G1658" s="2">
        <v>45746</v>
      </c>
      <c r="H1658" s="2"/>
      <c r="I1658" s="1" t="s">
        <v>23</v>
      </c>
      <c r="L1658">
        <v>7</v>
      </c>
      <c r="M1658" s="1" t="s">
        <v>40</v>
      </c>
      <c r="N1658" s="2">
        <v>45717</v>
      </c>
      <c r="O1658">
        <v>2025</v>
      </c>
      <c r="P1658">
        <v>1</v>
      </c>
      <c r="Q1658" s="1" t="s">
        <v>33</v>
      </c>
    </row>
    <row r="1659" spans="1:17" x14ac:dyDescent="0.3">
      <c r="A1659" s="1" t="s">
        <v>1724</v>
      </c>
      <c r="B1659" s="1" t="s">
        <v>35</v>
      </c>
      <c r="C1659" s="1" t="s">
        <v>97</v>
      </c>
      <c r="D1659" s="1" t="s">
        <v>51</v>
      </c>
      <c r="E1659" s="1" t="s">
        <v>21</v>
      </c>
      <c r="F1659" s="1" t="s">
        <v>38</v>
      </c>
      <c r="G1659" s="2">
        <v>45774</v>
      </c>
      <c r="H1659" s="2">
        <v>45781</v>
      </c>
      <c r="I1659" s="1" t="s">
        <v>23</v>
      </c>
      <c r="J1659">
        <v>5</v>
      </c>
      <c r="K1659">
        <v>7</v>
      </c>
      <c r="L1659">
        <v>10</v>
      </c>
      <c r="M1659" s="1" t="s">
        <v>24</v>
      </c>
      <c r="N1659" s="2">
        <v>45748</v>
      </c>
      <c r="O1659">
        <v>2025</v>
      </c>
      <c r="P1659">
        <v>2</v>
      </c>
      <c r="Q1659" s="1" t="s">
        <v>24</v>
      </c>
    </row>
    <row r="1660" spans="1:17" x14ac:dyDescent="0.3">
      <c r="A1660" s="1" t="s">
        <v>1725</v>
      </c>
      <c r="B1660" s="1" t="s">
        <v>18</v>
      </c>
      <c r="C1660" s="1" t="s">
        <v>30</v>
      </c>
      <c r="D1660" s="1" t="s">
        <v>51</v>
      </c>
      <c r="E1660" s="1" t="s">
        <v>21</v>
      </c>
      <c r="F1660" s="1" t="s">
        <v>31</v>
      </c>
      <c r="G1660" s="2">
        <v>45753</v>
      </c>
      <c r="H1660" s="2">
        <v>45761</v>
      </c>
      <c r="I1660" s="1" t="s">
        <v>32</v>
      </c>
      <c r="J1660">
        <v>3</v>
      </c>
      <c r="K1660">
        <v>8</v>
      </c>
      <c r="L1660">
        <v>10</v>
      </c>
      <c r="M1660" s="1" t="s">
        <v>24</v>
      </c>
      <c r="N1660" s="2">
        <v>45748</v>
      </c>
      <c r="O1660">
        <v>2025</v>
      </c>
      <c r="P1660">
        <v>2</v>
      </c>
      <c r="Q1660" s="1" t="s">
        <v>24</v>
      </c>
    </row>
    <row r="1661" spans="1:17" x14ac:dyDescent="0.3">
      <c r="A1661" s="1" t="s">
        <v>1726</v>
      </c>
      <c r="B1661" s="1" t="s">
        <v>35</v>
      </c>
      <c r="C1661" s="1" t="s">
        <v>50</v>
      </c>
      <c r="D1661" s="1" t="s">
        <v>44</v>
      </c>
      <c r="E1661" s="1" t="s">
        <v>37</v>
      </c>
      <c r="F1661" s="1" t="s">
        <v>52</v>
      </c>
      <c r="G1661" s="2">
        <v>45744</v>
      </c>
      <c r="H1661" s="2"/>
      <c r="I1661" s="1" t="s">
        <v>23</v>
      </c>
      <c r="L1661">
        <v>7</v>
      </c>
      <c r="M1661" s="1" t="s">
        <v>40</v>
      </c>
      <c r="N1661" s="2">
        <v>45717</v>
      </c>
      <c r="O1661">
        <v>2025</v>
      </c>
      <c r="P1661">
        <v>1</v>
      </c>
      <c r="Q1661" s="1" t="s">
        <v>33</v>
      </c>
    </row>
    <row r="1662" spans="1:17" x14ac:dyDescent="0.3">
      <c r="A1662" s="1" t="s">
        <v>1727</v>
      </c>
      <c r="B1662" s="1" t="s">
        <v>42</v>
      </c>
      <c r="C1662" s="1" t="s">
        <v>76</v>
      </c>
      <c r="D1662" s="1" t="s">
        <v>51</v>
      </c>
      <c r="E1662" s="1" t="s">
        <v>48</v>
      </c>
      <c r="F1662" s="1" t="s">
        <v>22</v>
      </c>
      <c r="G1662" s="2">
        <v>46016</v>
      </c>
      <c r="H1662" s="2"/>
      <c r="I1662" s="1" t="s">
        <v>32</v>
      </c>
      <c r="L1662">
        <v>10</v>
      </c>
      <c r="M1662" s="1" t="s">
        <v>40</v>
      </c>
      <c r="N1662" s="2">
        <v>45992</v>
      </c>
      <c r="O1662">
        <v>2025</v>
      </c>
      <c r="P1662">
        <v>4</v>
      </c>
      <c r="Q1662" s="1" t="s">
        <v>33</v>
      </c>
    </row>
    <row r="1663" spans="1:17" x14ac:dyDescent="0.3">
      <c r="A1663" s="1" t="s">
        <v>1728</v>
      </c>
      <c r="B1663" s="1" t="s">
        <v>26</v>
      </c>
      <c r="C1663" s="1" t="s">
        <v>54</v>
      </c>
      <c r="D1663" s="1" t="s">
        <v>51</v>
      </c>
      <c r="E1663" s="1" t="s">
        <v>21</v>
      </c>
      <c r="F1663" s="1" t="s">
        <v>22</v>
      </c>
      <c r="G1663" s="2">
        <v>45759</v>
      </c>
      <c r="H1663" s="2">
        <v>45762</v>
      </c>
      <c r="I1663" s="1" t="s">
        <v>39</v>
      </c>
      <c r="J1663">
        <v>2</v>
      </c>
      <c r="K1663">
        <v>3</v>
      </c>
      <c r="L1663">
        <v>10</v>
      </c>
      <c r="M1663" s="1" t="s">
        <v>24</v>
      </c>
      <c r="N1663" s="2">
        <v>45748</v>
      </c>
      <c r="O1663">
        <v>2025</v>
      </c>
      <c r="P1663">
        <v>2</v>
      </c>
      <c r="Q1663" s="1" t="s">
        <v>24</v>
      </c>
    </row>
    <row r="1664" spans="1:17" x14ac:dyDescent="0.3">
      <c r="A1664" s="1" t="s">
        <v>1729</v>
      </c>
      <c r="B1664" s="1" t="s">
        <v>35</v>
      </c>
      <c r="C1664" s="1" t="s">
        <v>36</v>
      </c>
      <c r="D1664" s="1" t="s">
        <v>44</v>
      </c>
      <c r="E1664" s="1" t="s">
        <v>21</v>
      </c>
      <c r="F1664" s="1" t="s">
        <v>38</v>
      </c>
      <c r="G1664" s="2">
        <v>45861</v>
      </c>
      <c r="H1664" s="2">
        <v>45863</v>
      </c>
      <c r="I1664" s="1" t="s">
        <v>32</v>
      </c>
      <c r="J1664">
        <v>5</v>
      </c>
      <c r="K1664">
        <v>2</v>
      </c>
      <c r="L1664">
        <v>7</v>
      </c>
      <c r="M1664" s="1" t="s">
        <v>24</v>
      </c>
      <c r="N1664" s="2">
        <v>45839</v>
      </c>
      <c r="O1664">
        <v>2025</v>
      </c>
      <c r="P1664">
        <v>3</v>
      </c>
      <c r="Q1664" s="1" t="s">
        <v>24</v>
      </c>
    </row>
    <row r="1665" spans="1:17" x14ac:dyDescent="0.3">
      <c r="A1665" s="1" t="s">
        <v>1730</v>
      </c>
      <c r="B1665" s="1" t="s">
        <v>26</v>
      </c>
      <c r="C1665" s="1" t="s">
        <v>67</v>
      </c>
      <c r="D1665" s="1" t="s">
        <v>51</v>
      </c>
      <c r="E1665" s="1" t="s">
        <v>21</v>
      </c>
      <c r="F1665" s="1" t="s">
        <v>52</v>
      </c>
      <c r="G1665" s="2">
        <v>45678</v>
      </c>
      <c r="H1665" s="2">
        <v>45683</v>
      </c>
      <c r="I1665" s="1" t="s">
        <v>23</v>
      </c>
      <c r="J1665">
        <v>4</v>
      </c>
      <c r="K1665">
        <v>5</v>
      </c>
      <c r="L1665">
        <v>10</v>
      </c>
      <c r="M1665" s="1" t="s">
        <v>24</v>
      </c>
      <c r="N1665" s="2">
        <v>45658</v>
      </c>
      <c r="O1665">
        <v>2025</v>
      </c>
      <c r="P1665">
        <v>1</v>
      </c>
      <c r="Q1665" s="1" t="s">
        <v>24</v>
      </c>
    </row>
    <row r="1666" spans="1:17" x14ac:dyDescent="0.3">
      <c r="A1666" s="1" t="s">
        <v>1731</v>
      </c>
      <c r="B1666" s="1" t="s">
        <v>58</v>
      </c>
      <c r="C1666" s="1" t="s">
        <v>108</v>
      </c>
      <c r="D1666" s="1" t="s">
        <v>44</v>
      </c>
      <c r="E1666" s="1" t="s">
        <v>48</v>
      </c>
      <c r="F1666" s="1" t="s">
        <v>61</v>
      </c>
      <c r="G1666" s="2">
        <v>45783</v>
      </c>
      <c r="H1666" s="2"/>
      <c r="I1666" s="1" t="s">
        <v>39</v>
      </c>
      <c r="L1666">
        <v>7</v>
      </c>
      <c r="M1666" s="1" t="s">
        <v>40</v>
      </c>
      <c r="N1666" s="2">
        <v>45778</v>
      </c>
      <c r="O1666">
        <v>2025</v>
      </c>
      <c r="P1666">
        <v>2</v>
      </c>
      <c r="Q1666" s="1" t="s">
        <v>33</v>
      </c>
    </row>
    <row r="1667" spans="1:17" x14ac:dyDescent="0.3">
      <c r="A1667" s="1" t="s">
        <v>1732</v>
      </c>
      <c r="B1667" s="1" t="s">
        <v>18</v>
      </c>
      <c r="C1667" s="1" t="s">
        <v>47</v>
      </c>
      <c r="D1667" s="1" t="s">
        <v>20</v>
      </c>
      <c r="E1667" s="1" t="s">
        <v>21</v>
      </c>
      <c r="F1667" s="1" t="s">
        <v>31</v>
      </c>
      <c r="G1667" s="2">
        <v>45668</v>
      </c>
      <c r="H1667" s="2">
        <v>45680</v>
      </c>
      <c r="I1667" s="1" t="s">
        <v>39</v>
      </c>
      <c r="J1667">
        <v>4</v>
      </c>
      <c r="K1667">
        <v>12</v>
      </c>
      <c r="L1667">
        <v>14</v>
      </c>
      <c r="M1667" s="1" t="s">
        <v>24</v>
      </c>
      <c r="N1667" s="2">
        <v>45658</v>
      </c>
      <c r="O1667">
        <v>2025</v>
      </c>
      <c r="P1667">
        <v>1</v>
      </c>
      <c r="Q1667" s="1" t="s">
        <v>24</v>
      </c>
    </row>
    <row r="1668" spans="1:17" x14ac:dyDescent="0.3">
      <c r="A1668" s="1" t="s">
        <v>1733</v>
      </c>
      <c r="B1668" s="1" t="s">
        <v>26</v>
      </c>
      <c r="C1668" s="1" t="s">
        <v>54</v>
      </c>
      <c r="D1668" s="1" t="s">
        <v>51</v>
      </c>
      <c r="E1668" s="1" t="s">
        <v>37</v>
      </c>
      <c r="F1668" s="1" t="s">
        <v>31</v>
      </c>
      <c r="G1668" s="2">
        <v>45955</v>
      </c>
      <c r="H1668" s="2"/>
      <c r="I1668" s="1" t="s">
        <v>82</v>
      </c>
      <c r="L1668">
        <v>10</v>
      </c>
      <c r="M1668" s="1" t="s">
        <v>40</v>
      </c>
      <c r="N1668" s="2">
        <v>45931</v>
      </c>
      <c r="O1668">
        <v>2025</v>
      </c>
      <c r="P1668">
        <v>4</v>
      </c>
      <c r="Q1668" s="1" t="s">
        <v>33</v>
      </c>
    </row>
    <row r="1669" spans="1:17" x14ac:dyDescent="0.3">
      <c r="A1669" s="1" t="s">
        <v>1734</v>
      </c>
      <c r="B1669" s="1" t="s">
        <v>58</v>
      </c>
      <c r="C1669" s="1" t="s">
        <v>59</v>
      </c>
      <c r="D1669" s="1" t="s">
        <v>44</v>
      </c>
      <c r="E1669" s="1" t="s">
        <v>48</v>
      </c>
      <c r="F1669" s="1" t="s">
        <v>31</v>
      </c>
      <c r="G1669" s="2">
        <v>45792</v>
      </c>
      <c r="H1669" s="2"/>
      <c r="I1669" s="1" t="s">
        <v>32</v>
      </c>
      <c r="L1669">
        <v>7</v>
      </c>
      <c r="M1669" s="1" t="s">
        <v>40</v>
      </c>
      <c r="N1669" s="2">
        <v>45778</v>
      </c>
      <c r="O1669">
        <v>2025</v>
      </c>
      <c r="P1669">
        <v>2</v>
      </c>
      <c r="Q1669" s="1" t="s">
        <v>33</v>
      </c>
    </row>
    <row r="1670" spans="1:17" x14ac:dyDescent="0.3">
      <c r="A1670" s="1" t="s">
        <v>1735</v>
      </c>
      <c r="B1670" s="1" t="s">
        <v>35</v>
      </c>
      <c r="C1670" s="1" t="s">
        <v>36</v>
      </c>
      <c r="D1670" s="1" t="s">
        <v>51</v>
      </c>
      <c r="E1670" s="1" t="s">
        <v>21</v>
      </c>
      <c r="F1670" s="1" t="s">
        <v>61</v>
      </c>
      <c r="G1670" s="2">
        <v>46012</v>
      </c>
      <c r="H1670" s="2">
        <v>46016</v>
      </c>
      <c r="I1670" s="1" t="s">
        <v>82</v>
      </c>
      <c r="J1670">
        <v>4</v>
      </c>
      <c r="K1670">
        <v>4</v>
      </c>
      <c r="L1670">
        <v>10</v>
      </c>
      <c r="M1670" s="1" t="s">
        <v>24</v>
      </c>
      <c r="N1670" s="2">
        <v>45992</v>
      </c>
      <c r="O1670">
        <v>2025</v>
      </c>
      <c r="P1670">
        <v>4</v>
      </c>
      <c r="Q1670" s="1" t="s">
        <v>24</v>
      </c>
    </row>
    <row r="1671" spans="1:17" x14ac:dyDescent="0.3">
      <c r="A1671" s="1" t="s">
        <v>1736</v>
      </c>
      <c r="B1671" s="1" t="s">
        <v>26</v>
      </c>
      <c r="C1671" s="1" t="s">
        <v>54</v>
      </c>
      <c r="D1671" s="1" t="s">
        <v>20</v>
      </c>
      <c r="E1671" s="1" t="s">
        <v>48</v>
      </c>
      <c r="F1671" s="1" t="s">
        <v>31</v>
      </c>
      <c r="G1671" s="2">
        <v>45917</v>
      </c>
      <c r="H1671" s="2"/>
      <c r="I1671" s="1" t="s">
        <v>82</v>
      </c>
      <c r="L1671">
        <v>14</v>
      </c>
      <c r="M1671" s="1" t="s">
        <v>40</v>
      </c>
      <c r="N1671" s="2">
        <v>45901</v>
      </c>
      <c r="O1671">
        <v>2025</v>
      </c>
      <c r="P1671">
        <v>3</v>
      </c>
      <c r="Q1671" s="1" t="s">
        <v>33</v>
      </c>
    </row>
    <row r="1672" spans="1:17" x14ac:dyDescent="0.3">
      <c r="A1672" s="1" t="s">
        <v>1737</v>
      </c>
      <c r="B1672" s="1" t="s">
        <v>35</v>
      </c>
      <c r="C1672" s="1" t="s">
        <v>99</v>
      </c>
      <c r="D1672" s="1" t="s">
        <v>44</v>
      </c>
      <c r="E1672" s="1" t="s">
        <v>21</v>
      </c>
      <c r="F1672" s="1" t="s">
        <v>22</v>
      </c>
      <c r="G1672" s="2">
        <v>45836</v>
      </c>
      <c r="H1672" s="2">
        <v>45842</v>
      </c>
      <c r="I1672" s="1" t="s">
        <v>28</v>
      </c>
      <c r="J1672">
        <v>5</v>
      </c>
      <c r="K1672">
        <v>6</v>
      </c>
      <c r="L1672">
        <v>7</v>
      </c>
      <c r="M1672" s="1" t="s">
        <v>24</v>
      </c>
      <c r="N1672" s="2">
        <v>45809</v>
      </c>
      <c r="O1672">
        <v>2025</v>
      </c>
      <c r="P1672">
        <v>2</v>
      </c>
      <c r="Q1672" s="1" t="s">
        <v>24</v>
      </c>
    </row>
    <row r="1673" spans="1:17" x14ac:dyDescent="0.3">
      <c r="A1673" s="1" t="s">
        <v>1738</v>
      </c>
      <c r="B1673" s="1" t="s">
        <v>58</v>
      </c>
      <c r="C1673" s="1" t="s">
        <v>59</v>
      </c>
      <c r="D1673" s="1" t="s">
        <v>51</v>
      </c>
      <c r="E1673" s="1" t="s">
        <v>21</v>
      </c>
      <c r="F1673" s="1" t="s">
        <v>31</v>
      </c>
      <c r="G1673" s="2">
        <v>45974</v>
      </c>
      <c r="H1673" s="2">
        <v>45983</v>
      </c>
      <c r="I1673" s="1" t="s">
        <v>23</v>
      </c>
      <c r="J1673">
        <v>4</v>
      </c>
      <c r="K1673">
        <v>9</v>
      </c>
      <c r="L1673">
        <v>10</v>
      </c>
      <c r="M1673" s="1" t="s">
        <v>24</v>
      </c>
      <c r="N1673" s="2">
        <v>45962</v>
      </c>
      <c r="O1673">
        <v>2025</v>
      </c>
      <c r="P1673">
        <v>4</v>
      </c>
      <c r="Q1673" s="1" t="s">
        <v>24</v>
      </c>
    </row>
    <row r="1674" spans="1:17" x14ac:dyDescent="0.3">
      <c r="A1674" s="1" t="s">
        <v>1739</v>
      </c>
      <c r="B1674" s="1" t="s">
        <v>63</v>
      </c>
      <c r="C1674" s="1" t="s">
        <v>74</v>
      </c>
      <c r="D1674" s="1" t="s">
        <v>51</v>
      </c>
      <c r="E1674" s="1" t="s">
        <v>21</v>
      </c>
      <c r="F1674" s="1" t="s">
        <v>61</v>
      </c>
      <c r="G1674" s="2">
        <v>45687</v>
      </c>
      <c r="H1674" s="2">
        <v>45694</v>
      </c>
      <c r="I1674" s="1" t="s">
        <v>23</v>
      </c>
      <c r="J1674">
        <v>4</v>
      </c>
      <c r="K1674">
        <v>7</v>
      </c>
      <c r="L1674">
        <v>10</v>
      </c>
      <c r="M1674" s="1" t="s">
        <v>24</v>
      </c>
      <c r="N1674" s="2">
        <v>45658</v>
      </c>
      <c r="O1674">
        <v>2025</v>
      </c>
      <c r="P1674">
        <v>1</v>
      </c>
      <c r="Q1674" s="1" t="s">
        <v>24</v>
      </c>
    </row>
    <row r="1675" spans="1:17" x14ac:dyDescent="0.3">
      <c r="A1675" s="1" t="s">
        <v>1740</v>
      </c>
      <c r="B1675" s="1" t="s">
        <v>18</v>
      </c>
      <c r="C1675" s="1" t="s">
        <v>56</v>
      </c>
      <c r="D1675" s="1" t="s">
        <v>20</v>
      </c>
      <c r="E1675" s="1" t="s">
        <v>21</v>
      </c>
      <c r="F1675" s="1" t="s">
        <v>38</v>
      </c>
      <c r="G1675" s="2">
        <v>45949</v>
      </c>
      <c r="H1675" s="2">
        <v>45956</v>
      </c>
      <c r="I1675" s="1" t="s">
        <v>82</v>
      </c>
      <c r="J1675">
        <v>5</v>
      </c>
      <c r="K1675">
        <v>7</v>
      </c>
      <c r="L1675">
        <v>14</v>
      </c>
      <c r="M1675" s="1" t="s">
        <v>24</v>
      </c>
      <c r="N1675" s="2">
        <v>45931</v>
      </c>
      <c r="O1675">
        <v>2025</v>
      </c>
      <c r="P1675">
        <v>4</v>
      </c>
      <c r="Q1675" s="1" t="s">
        <v>24</v>
      </c>
    </row>
    <row r="1676" spans="1:17" x14ac:dyDescent="0.3">
      <c r="A1676" s="1" t="s">
        <v>1741</v>
      </c>
      <c r="B1676" s="1" t="s">
        <v>58</v>
      </c>
      <c r="C1676" s="1" t="s">
        <v>145</v>
      </c>
      <c r="D1676" s="1" t="s">
        <v>44</v>
      </c>
      <c r="E1676" s="1" t="s">
        <v>48</v>
      </c>
      <c r="F1676" s="1" t="s">
        <v>61</v>
      </c>
      <c r="G1676" s="2">
        <v>45860</v>
      </c>
      <c r="H1676" s="2"/>
      <c r="I1676" s="1" t="s">
        <v>39</v>
      </c>
      <c r="L1676">
        <v>7</v>
      </c>
      <c r="M1676" s="1" t="s">
        <v>40</v>
      </c>
      <c r="N1676" s="2">
        <v>45839</v>
      </c>
      <c r="O1676">
        <v>2025</v>
      </c>
      <c r="P1676">
        <v>3</v>
      </c>
      <c r="Q1676" s="1" t="s">
        <v>33</v>
      </c>
    </row>
    <row r="1677" spans="1:17" x14ac:dyDescent="0.3">
      <c r="A1677" s="1" t="s">
        <v>1742</v>
      </c>
      <c r="B1677" s="1" t="s">
        <v>35</v>
      </c>
      <c r="C1677" s="1" t="s">
        <v>97</v>
      </c>
      <c r="D1677" s="1" t="s">
        <v>51</v>
      </c>
      <c r="E1677" s="1" t="s">
        <v>21</v>
      </c>
      <c r="F1677" s="1" t="s">
        <v>22</v>
      </c>
      <c r="G1677" s="2">
        <v>45918</v>
      </c>
      <c r="H1677" s="2">
        <v>45926</v>
      </c>
      <c r="I1677" s="1" t="s">
        <v>82</v>
      </c>
      <c r="J1677">
        <v>3</v>
      </c>
      <c r="K1677">
        <v>8</v>
      </c>
      <c r="L1677">
        <v>10</v>
      </c>
      <c r="M1677" s="1" t="s">
        <v>24</v>
      </c>
      <c r="N1677" s="2">
        <v>45901</v>
      </c>
      <c r="O1677">
        <v>2025</v>
      </c>
      <c r="P1677">
        <v>3</v>
      </c>
      <c r="Q1677" s="1" t="s">
        <v>24</v>
      </c>
    </row>
    <row r="1678" spans="1:17" x14ac:dyDescent="0.3">
      <c r="A1678" s="1" t="s">
        <v>1743</v>
      </c>
      <c r="B1678" s="1" t="s">
        <v>35</v>
      </c>
      <c r="C1678" s="1" t="s">
        <v>99</v>
      </c>
      <c r="D1678" s="1" t="s">
        <v>71</v>
      </c>
      <c r="E1678" s="1" t="s">
        <v>21</v>
      </c>
      <c r="F1678" s="1" t="s">
        <v>38</v>
      </c>
      <c r="G1678" s="2">
        <v>45841</v>
      </c>
      <c r="H1678" s="2">
        <v>45841</v>
      </c>
      <c r="I1678" s="1" t="s">
        <v>82</v>
      </c>
      <c r="J1678">
        <v>5</v>
      </c>
      <c r="K1678">
        <v>0</v>
      </c>
      <c r="L1678">
        <v>3</v>
      </c>
      <c r="M1678" s="1" t="s">
        <v>24</v>
      </c>
      <c r="N1678" s="2">
        <v>45839</v>
      </c>
      <c r="O1678">
        <v>2025</v>
      </c>
      <c r="P1678">
        <v>3</v>
      </c>
      <c r="Q1678" s="1" t="s">
        <v>24</v>
      </c>
    </row>
    <row r="1679" spans="1:17" x14ac:dyDescent="0.3">
      <c r="A1679" s="1" t="s">
        <v>1744</v>
      </c>
      <c r="B1679" s="1" t="s">
        <v>42</v>
      </c>
      <c r="C1679" s="1" t="s">
        <v>87</v>
      </c>
      <c r="D1679" s="1" t="s">
        <v>44</v>
      </c>
      <c r="E1679" s="1" t="s">
        <v>21</v>
      </c>
      <c r="F1679" s="1" t="s">
        <v>61</v>
      </c>
      <c r="G1679" s="2">
        <v>45785</v>
      </c>
      <c r="H1679" s="2">
        <v>45790</v>
      </c>
      <c r="I1679" s="1" t="s">
        <v>28</v>
      </c>
      <c r="J1679">
        <v>5</v>
      </c>
      <c r="K1679">
        <v>5</v>
      </c>
      <c r="L1679">
        <v>7</v>
      </c>
      <c r="M1679" s="1" t="s">
        <v>24</v>
      </c>
      <c r="N1679" s="2">
        <v>45778</v>
      </c>
      <c r="O1679">
        <v>2025</v>
      </c>
      <c r="P1679">
        <v>2</v>
      </c>
      <c r="Q1679" s="1" t="s">
        <v>24</v>
      </c>
    </row>
    <row r="1680" spans="1:17" x14ac:dyDescent="0.3">
      <c r="A1680" s="1" t="s">
        <v>1745</v>
      </c>
      <c r="B1680" s="1" t="s">
        <v>42</v>
      </c>
      <c r="C1680" s="1" t="s">
        <v>87</v>
      </c>
      <c r="D1680" s="1" t="s">
        <v>44</v>
      </c>
      <c r="E1680" s="1" t="s">
        <v>21</v>
      </c>
      <c r="F1680" s="1" t="s">
        <v>31</v>
      </c>
      <c r="G1680" s="2">
        <v>45706</v>
      </c>
      <c r="H1680" s="2">
        <v>45710</v>
      </c>
      <c r="I1680" s="1" t="s">
        <v>39</v>
      </c>
      <c r="J1680">
        <v>4</v>
      </c>
      <c r="K1680">
        <v>4</v>
      </c>
      <c r="L1680">
        <v>7</v>
      </c>
      <c r="M1680" s="1" t="s">
        <v>24</v>
      </c>
      <c r="N1680" s="2">
        <v>45689</v>
      </c>
      <c r="O1680">
        <v>2025</v>
      </c>
      <c r="P1680">
        <v>1</v>
      </c>
      <c r="Q1680" s="1" t="s">
        <v>24</v>
      </c>
    </row>
    <row r="1681" spans="1:17" x14ac:dyDescent="0.3">
      <c r="A1681" s="1" t="s">
        <v>1746</v>
      </c>
      <c r="B1681" s="1" t="s">
        <v>58</v>
      </c>
      <c r="C1681" s="1" t="s">
        <v>145</v>
      </c>
      <c r="D1681" s="1" t="s">
        <v>20</v>
      </c>
      <c r="E1681" s="1" t="s">
        <v>21</v>
      </c>
      <c r="F1681" s="1" t="s">
        <v>31</v>
      </c>
      <c r="G1681" s="2">
        <v>45707</v>
      </c>
      <c r="H1681" s="2">
        <v>45714</v>
      </c>
      <c r="I1681" s="1" t="s">
        <v>32</v>
      </c>
      <c r="J1681">
        <v>4</v>
      </c>
      <c r="K1681">
        <v>7</v>
      </c>
      <c r="L1681">
        <v>14</v>
      </c>
      <c r="M1681" s="1" t="s">
        <v>24</v>
      </c>
      <c r="N1681" s="2">
        <v>45689</v>
      </c>
      <c r="O1681">
        <v>2025</v>
      </c>
      <c r="P1681">
        <v>1</v>
      </c>
      <c r="Q1681" s="1" t="s">
        <v>24</v>
      </c>
    </row>
    <row r="1682" spans="1:17" x14ac:dyDescent="0.3">
      <c r="A1682" s="1" t="s">
        <v>1747</v>
      </c>
      <c r="B1682" s="1" t="s">
        <v>58</v>
      </c>
      <c r="C1682" s="1" t="s">
        <v>70</v>
      </c>
      <c r="D1682" s="1" t="s">
        <v>20</v>
      </c>
      <c r="E1682" s="1" t="s">
        <v>21</v>
      </c>
      <c r="F1682" s="1" t="s">
        <v>38</v>
      </c>
      <c r="G1682" s="2">
        <v>45774</v>
      </c>
      <c r="H1682" s="2">
        <v>45782</v>
      </c>
      <c r="I1682" s="1" t="s">
        <v>32</v>
      </c>
      <c r="J1682">
        <v>5</v>
      </c>
      <c r="K1682">
        <v>8</v>
      </c>
      <c r="L1682">
        <v>14</v>
      </c>
      <c r="M1682" s="1" t="s">
        <v>24</v>
      </c>
      <c r="N1682" s="2">
        <v>45748</v>
      </c>
      <c r="O1682">
        <v>2025</v>
      </c>
      <c r="P1682">
        <v>2</v>
      </c>
      <c r="Q1682" s="1" t="s">
        <v>24</v>
      </c>
    </row>
    <row r="1683" spans="1:17" x14ac:dyDescent="0.3">
      <c r="A1683" s="1" t="s">
        <v>1748</v>
      </c>
      <c r="B1683" s="1" t="s">
        <v>58</v>
      </c>
      <c r="C1683" s="1" t="s">
        <v>70</v>
      </c>
      <c r="D1683" s="1" t="s">
        <v>51</v>
      </c>
      <c r="E1683" s="1" t="s">
        <v>21</v>
      </c>
      <c r="F1683" s="1" t="s">
        <v>38</v>
      </c>
      <c r="G1683" s="2">
        <v>45968</v>
      </c>
      <c r="H1683" s="2">
        <v>45970</v>
      </c>
      <c r="I1683" s="1" t="s">
        <v>32</v>
      </c>
      <c r="J1683">
        <v>5</v>
      </c>
      <c r="K1683">
        <v>2</v>
      </c>
      <c r="L1683">
        <v>10</v>
      </c>
      <c r="M1683" s="1" t="s">
        <v>24</v>
      </c>
      <c r="N1683" s="2">
        <v>45962</v>
      </c>
      <c r="O1683">
        <v>2025</v>
      </c>
      <c r="P1683">
        <v>4</v>
      </c>
      <c r="Q1683" s="1" t="s">
        <v>24</v>
      </c>
    </row>
    <row r="1684" spans="1:17" x14ac:dyDescent="0.3">
      <c r="A1684" s="1" t="s">
        <v>1749</v>
      </c>
      <c r="B1684" s="1" t="s">
        <v>42</v>
      </c>
      <c r="C1684" s="1" t="s">
        <v>76</v>
      </c>
      <c r="D1684" s="1" t="s">
        <v>20</v>
      </c>
      <c r="E1684" s="1" t="s">
        <v>48</v>
      </c>
      <c r="F1684" s="1" t="s">
        <v>38</v>
      </c>
      <c r="G1684" s="2">
        <v>45664</v>
      </c>
      <c r="H1684" s="2"/>
      <c r="I1684" s="1" t="s">
        <v>32</v>
      </c>
      <c r="L1684">
        <v>14</v>
      </c>
      <c r="M1684" s="1" t="s">
        <v>40</v>
      </c>
      <c r="N1684" s="2">
        <v>45658</v>
      </c>
      <c r="O1684">
        <v>2025</v>
      </c>
      <c r="P1684">
        <v>1</v>
      </c>
      <c r="Q1684" s="1" t="s">
        <v>33</v>
      </c>
    </row>
    <row r="1685" spans="1:17" x14ac:dyDescent="0.3">
      <c r="A1685" s="1" t="s">
        <v>1750</v>
      </c>
      <c r="B1685" s="1" t="s">
        <v>58</v>
      </c>
      <c r="C1685" s="1" t="s">
        <v>59</v>
      </c>
      <c r="D1685" s="1" t="s">
        <v>20</v>
      </c>
      <c r="E1685" s="1" t="s">
        <v>48</v>
      </c>
      <c r="F1685" s="1" t="s">
        <v>52</v>
      </c>
      <c r="G1685" s="2">
        <v>45946</v>
      </c>
      <c r="H1685" s="2"/>
      <c r="I1685" s="1" t="s">
        <v>23</v>
      </c>
      <c r="L1685">
        <v>14</v>
      </c>
      <c r="M1685" s="1" t="s">
        <v>40</v>
      </c>
      <c r="N1685" s="2">
        <v>45931</v>
      </c>
      <c r="O1685">
        <v>2025</v>
      </c>
      <c r="P1685">
        <v>4</v>
      </c>
      <c r="Q1685" s="1" t="s">
        <v>33</v>
      </c>
    </row>
    <row r="1686" spans="1:17" x14ac:dyDescent="0.3">
      <c r="A1686" s="1" t="s">
        <v>1751</v>
      </c>
      <c r="B1686" s="1" t="s">
        <v>63</v>
      </c>
      <c r="C1686" s="1" t="s">
        <v>64</v>
      </c>
      <c r="D1686" s="1" t="s">
        <v>51</v>
      </c>
      <c r="E1686" s="1" t="s">
        <v>21</v>
      </c>
      <c r="F1686" s="1" t="s">
        <v>38</v>
      </c>
      <c r="G1686" s="2">
        <v>45932</v>
      </c>
      <c r="H1686" s="2">
        <v>45937</v>
      </c>
      <c r="I1686" s="1" t="s">
        <v>28</v>
      </c>
      <c r="J1686">
        <v>5</v>
      </c>
      <c r="K1686">
        <v>5</v>
      </c>
      <c r="L1686">
        <v>10</v>
      </c>
      <c r="M1686" s="1" t="s">
        <v>24</v>
      </c>
      <c r="N1686" s="2">
        <v>45931</v>
      </c>
      <c r="O1686">
        <v>2025</v>
      </c>
      <c r="P1686">
        <v>4</v>
      </c>
      <c r="Q1686" s="1" t="s">
        <v>24</v>
      </c>
    </row>
    <row r="1687" spans="1:17" x14ac:dyDescent="0.3">
      <c r="A1687" s="1" t="s">
        <v>1752</v>
      </c>
      <c r="B1687" s="1" t="s">
        <v>26</v>
      </c>
      <c r="C1687" s="1" t="s">
        <v>123</v>
      </c>
      <c r="D1687" s="1" t="s">
        <v>51</v>
      </c>
      <c r="E1687" s="1" t="s">
        <v>48</v>
      </c>
      <c r="F1687" s="1" t="s">
        <v>61</v>
      </c>
      <c r="G1687" s="2">
        <v>46019</v>
      </c>
      <c r="H1687" s="2"/>
      <c r="I1687" s="1" t="s">
        <v>82</v>
      </c>
      <c r="L1687">
        <v>10</v>
      </c>
      <c r="M1687" s="1" t="s">
        <v>40</v>
      </c>
      <c r="N1687" s="2">
        <v>45992</v>
      </c>
      <c r="O1687">
        <v>2025</v>
      </c>
      <c r="P1687">
        <v>4</v>
      </c>
      <c r="Q1687" s="1" t="s">
        <v>33</v>
      </c>
    </row>
    <row r="1688" spans="1:17" x14ac:dyDescent="0.3">
      <c r="A1688" s="1" t="s">
        <v>1753</v>
      </c>
      <c r="B1688" s="1" t="s">
        <v>63</v>
      </c>
      <c r="C1688" s="1" t="s">
        <v>89</v>
      </c>
      <c r="D1688" s="1" t="s">
        <v>20</v>
      </c>
      <c r="E1688" s="1" t="s">
        <v>21</v>
      </c>
      <c r="F1688" s="1" t="s">
        <v>52</v>
      </c>
      <c r="G1688" s="2">
        <v>45933</v>
      </c>
      <c r="H1688" s="2">
        <v>45948</v>
      </c>
      <c r="I1688" s="1" t="s">
        <v>32</v>
      </c>
      <c r="J1688">
        <v>5</v>
      </c>
      <c r="K1688">
        <v>15</v>
      </c>
      <c r="L1688">
        <v>14</v>
      </c>
      <c r="M1688" s="1" t="s">
        <v>33</v>
      </c>
      <c r="N1688" s="2">
        <v>45931</v>
      </c>
      <c r="O1688">
        <v>2025</v>
      </c>
      <c r="P1688">
        <v>4</v>
      </c>
      <c r="Q1688" s="1" t="s">
        <v>24</v>
      </c>
    </row>
    <row r="1689" spans="1:17" x14ac:dyDescent="0.3">
      <c r="A1689" s="1" t="s">
        <v>1754</v>
      </c>
      <c r="B1689" s="1" t="s">
        <v>42</v>
      </c>
      <c r="C1689" s="1" t="s">
        <v>43</v>
      </c>
      <c r="D1689" s="1" t="s">
        <v>51</v>
      </c>
      <c r="E1689" s="1" t="s">
        <v>21</v>
      </c>
      <c r="F1689" s="1" t="s">
        <v>22</v>
      </c>
      <c r="G1689" s="2">
        <v>45743</v>
      </c>
      <c r="H1689" s="2">
        <v>45746</v>
      </c>
      <c r="I1689" s="1" t="s">
        <v>28</v>
      </c>
      <c r="J1689">
        <v>4</v>
      </c>
      <c r="K1689">
        <v>3</v>
      </c>
      <c r="L1689">
        <v>10</v>
      </c>
      <c r="M1689" s="1" t="s">
        <v>24</v>
      </c>
      <c r="N1689" s="2">
        <v>45717</v>
      </c>
      <c r="O1689">
        <v>2025</v>
      </c>
      <c r="P1689">
        <v>1</v>
      </c>
      <c r="Q1689" s="1" t="s">
        <v>24</v>
      </c>
    </row>
    <row r="1690" spans="1:17" x14ac:dyDescent="0.3">
      <c r="A1690" s="1" t="s">
        <v>1755</v>
      </c>
      <c r="B1690" s="1" t="s">
        <v>26</v>
      </c>
      <c r="C1690" s="1" t="s">
        <v>123</v>
      </c>
      <c r="D1690" s="1" t="s">
        <v>44</v>
      </c>
      <c r="E1690" s="1" t="s">
        <v>48</v>
      </c>
      <c r="F1690" s="1" t="s">
        <v>31</v>
      </c>
      <c r="G1690" s="2">
        <v>45938</v>
      </c>
      <c r="H1690" s="2"/>
      <c r="I1690" s="1" t="s">
        <v>39</v>
      </c>
      <c r="L1690">
        <v>7</v>
      </c>
      <c r="M1690" s="1" t="s">
        <v>40</v>
      </c>
      <c r="N1690" s="2">
        <v>45931</v>
      </c>
      <c r="O1690">
        <v>2025</v>
      </c>
      <c r="P1690">
        <v>4</v>
      </c>
      <c r="Q1690" s="1" t="s">
        <v>33</v>
      </c>
    </row>
    <row r="1691" spans="1:17" x14ac:dyDescent="0.3">
      <c r="A1691" s="1" t="s">
        <v>1756</v>
      </c>
      <c r="B1691" s="1" t="s">
        <v>42</v>
      </c>
      <c r="C1691" s="1" t="s">
        <v>81</v>
      </c>
      <c r="D1691" s="1" t="s">
        <v>51</v>
      </c>
      <c r="E1691" s="1" t="s">
        <v>21</v>
      </c>
      <c r="F1691" s="1" t="s">
        <v>31</v>
      </c>
      <c r="G1691" s="2">
        <v>45780</v>
      </c>
      <c r="H1691" s="2">
        <v>45789</v>
      </c>
      <c r="I1691" s="1" t="s">
        <v>23</v>
      </c>
      <c r="J1691">
        <v>3</v>
      </c>
      <c r="K1691">
        <v>9</v>
      </c>
      <c r="L1691">
        <v>10</v>
      </c>
      <c r="M1691" s="1" t="s">
        <v>24</v>
      </c>
      <c r="N1691" s="2">
        <v>45778</v>
      </c>
      <c r="O1691">
        <v>2025</v>
      </c>
      <c r="P1691">
        <v>2</v>
      </c>
      <c r="Q1691" s="1" t="s">
        <v>24</v>
      </c>
    </row>
    <row r="1692" spans="1:17" x14ac:dyDescent="0.3">
      <c r="A1692" s="1" t="s">
        <v>1757</v>
      </c>
      <c r="B1692" s="1" t="s">
        <v>35</v>
      </c>
      <c r="C1692" s="1" t="s">
        <v>99</v>
      </c>
      <c r="D1692" s="1" t="s">
        <v>44</v>
      </c>
      <c r="E1692" s="1" t="s">
        <v>48</v>
      </c>
      <c r="F1692" s="1" t="s">
        <v>22</v>
      </c>
      <c r="G1692" s="2">
        <v>45995</v>
      </c>
      <c r="H1692" s="2"/>
      <c r="I1692" s="1" t="s">
        <v>23</v>
      </c>
      <c r="L1692">
        <v>7</v>
      </c>
      <c r="M1692" s="1" t="s">
        <v>40</v>
      </c>
      <c r="N1692" s="2">
        <v>45992</v>
      </c>
      <c r="O1692">
        <v>2025</v>
      </c>
      <c r="P1692">
        <v>4</v>
      </c>
      <c r="Q1692" s="1" t="s">
        <v>33</v>
      </c>
    </row>
    <row r="1693" spans="1:17" x14ac:dyDescent="0.3">
      <c r="A1693" s="1" t="s">
        <v>1758</v>
      </c>
      <c r="B1693" s="1" t="s">
        <v>26</v>
      </c>
      <c r="C1693" s="1" t="s">
        <v>67</v>
      </c>
      <c r="D1693" s="1" t="s">
        <v>51</v>
      </c>
      <c r="E1693" s="1" t="s">
        <v>21</v>
      </c>
      <c r="F1693" s="1" t="s">
        <v>22</v>
      </c>
      <c r="G1693" s="2">
        <v>45927</v>
      </c>
      <c r="H1693" s="2">
        <v>45937</v>
      </c>
      <c r="I1693" s="1" t="s">
        <v>28</v>
      </c>
      <c r="J1693">
        <v>4</v>
      </c>
      <c r="K1693">
        <v>10</v>
      </c>
      <c r="L1693">
        <v>10</v>
      </c>
      <c r="M1693" s="1" t="s">
        <v>24</v>
      </c>
      <c r="N1693" s="2">
        <v>45901</v>
      </c>
      <c r="O1693">
        <v>2025</v>
      </c>
      <c r="P1693">
        <v>3</v>
      </c>
      <c r="Q1693" s="1" t="s">
        <v>24</v>
      </c>
    </row>
    <row r="1694" spans="1:17" x14ac:dyDescent="0.3">
      <c r="A1694" s="1" t="s">
        <v>1759</v>
      </c>
      <c r="B1694" s="1" t="s">
        <v>35</v>
      </c>
      <c r="C1694" s="1" t="s">
        <v>97</v>
      </c>
      <c r="D1694" s="1" t="s">
        <v>20</v>
      </c>
      <c r="E1694" s="1" t="s">
        <v>37</v>
      </c>
      <c r="F1694" s="1" t="s">
        <v>31</v>
      </c>
      <c r="G1694" s="2">
        <v>45807</v>
      </c>
      <c r="H1694" s="2"/>
      <c r="I1694" s="1" t="s">
        <v>39</v>
      </c>
      <c r="L1694">
        <v>14</v>
      </c>
      <c r="M1694" s="1" t="s">
        <v>40</v>
      </c>
      <c r="N1694" s="2">
        <v>45778</v>
      </c>
      <c r="O1694">
        <v>2025</v>
      </c>
      <c r="P1694">
        <v>2</v>
      </c>
      <c r="Q1694" s="1" t="s">
        <v>33</v>
      </c>
    </row>
    <row r="1695" spans="1:17" x14ac:dyDescent="0.3">
      <c r="A1695" s="1" t="s">
        <v>1760</v>
      </c>
      <c r="B1695" s="1" t="s">
        <v>58</v>
      </c>
      <c r="C1695" s="1" t="s">
        <v>145</v>
      </c>
      <c r="D1695" s="1" t="s">
        <v>20</v>
      </c>
      <c r="E1695" s="1" t="s">
        <v>21</v>
      </c>
      <c r="F1695" s="1" t="s">
        <v>22</v>
      </c>
      <c r="G1695" s="2">
        <v>45711</v>
      </c>
      <c r="H1695" s="2">
        <v>45719</v>
      </c>
      <c r="I1695" s="1" t="s">
        <v>39</v>
      </c>
      <c r="J1695">
        <v>4</v>
      </c>
      <c r="K1695">
        <v>8</v>
      </c>
      <c r="L1695">
        <v>14</v>
      </c>
      <c r="M1695" s="1" t="s">
        <v>24</v>
      </c>
      <c r="N1695" s="2">
        <v>45689</v>
      </c>
      <c r="O1695">
        <v>2025</v>
      </c>
      <c r="P1695">
        <v>1</v>
      </c>
      <c r="Q1695" s="1" t="s">
        <v>24</v>
      </c>
    </row>
    <row r="1696" spans="1:17" x14ac:dyDescent="0.3">
      <c r="A1696" s="1" t="s">
        <v>1761</v>
      </c>
      <c r="B1696" s="1" t="s">
        <v>35</v>
      </c>
      <c r="C1696" s="1" t="s">
        <v>50</v>
      </c>
      <c r="D1696" s="1" t="s">
        <v>71</v>
      </c>
      <c r="E1696" s="1" t="s">
        <v>37</v>
      </c>
      <c r="F1696" s="1" t="s">
        <v>38</v>
      </c>
      <c r="G1696" s="2">
        <v>46008</v>
      </c>
      <c r="H1696" s="2"/>
      <c r="I1696" s="1" t="s">
        <v>82</v>
      </c>
      <c r="L1696">
        <v>3</v>
      </c>
      <c r="M1696" s="1" t="s">
        <v>40</v>
      </c>
      <c r="N1696" s="2">
        <v>45992</v>
      </c>
      <c r="O1696">
        <v>2025</v>
      </c>
      <c r="P1696">
        <v>4</v>
      </c>
      <c r="Q1696" s="1" t="s">
        <v>33</v>
      </c>
    </row>
    <row r="1697" spans="1:17" x14ac:dyDescent="0.3">
      <c r="A1697" s="1" t="s">
        <v>1762</v>
      </c>
      <c r="B1697" s="1" t="s">
        <v>42</v>
      </c>
      <c r="C1697" s="1" t="s">
        <v>76</v>
      </c>
      <c r="D1697" s="1" t="s">
        <v>71</v>
      </c>
      <c r="E1697" s="1" t="s">
        <v>21</v>
      </c>
      <c r="F1697" s="1" t="s">
        <v>38</v>
      </c>
      <c r="G1697" s="2">
        <v>45958</v>
      </c>
      <c r="H1697" s="2">
        <v>45959</v>
      </c>
      <c r="I1697" s="1" t="s">
        <v>82</v>
      </c>
      <c r="J1697">
        <v>4</v>
      </c>
      <c r="K1697">
        <v>1</v>
      </c>
      <c r="L1697">
        <v>3</v>
      </c>
      <c r="M1697" s="1" t="s">
        <v>24</v>
      </c>
      <c r="N1697" s="2">
        <v>45931</v>
      </c>
      <c r="O1697">
        <v>2025</v>
      </c>
      <c r="P1697">
        <v>4</v>
      </c>
      <c r="Q1697" s="1" t="s">
        <v>24</v>
      </c>
    </row>
    <row r="1698" spans="1:17" x14ac:dyDescent="0.3">
      <c r="A1698" s="1" t="s">
        <v>1763</v>
      </c>
      <c r="B1698" s="1" t="s">
        <v>42</v>
      </c>
      <c r="C1698" s="1" t="s">
        <v>81</v>
      </c>
      <c r="D1698" s="1" t="s">
        <v>71</v>
      </c>
      <c r="E1698" s="1" t="s">
        <v>21</v>
      </c>
      <c r="F1698" s="1" t="s">
        <v>31</v>
      </c>
      <c r="G1698" s="2">
        <v>45838</v>
      </c>
      <c r="H1698" s="2">
        <v>45838</v>
      </c>
      <c r="I1698" s="1" t="s">
        <v>82</v>
      </c>
      <c r="J1698">
        <v>5</v>
      </c>
      <c r="K1698">
        <v>0</v>
      </c>
      <c r="L1698">
        <v>3</v>
      </c>
      <c r="M1698" s="1" t="s">
        <v>24</v>
      </c>
      <c r="N1698" s="2">
        <v>45809</v>
      </c>
      <c r="O1698">
        <v>2025</v>
      </c>
      <c r="P1698">
        <v>2</v>
      </c>
      <c r="Q1698" s="1" t="s">
        <v>24</v>
      </c>
    </row>
    <row r="1699" spans="1:17" x14ac:dyDescent="0.3">
      <c r="A1699" s="1" t="s">
        <v>1764</v>
      </c>
      <c r="B1699" s="1" t="s">
        <v>26</v>
      </c>
      <c r="C1699" s="1" t="s">
        <v>54</v>
      </c>
      <c r="D1699" s="1" t="s">
        <v>51</v>
      </c>
      <c r="E1699" s="1" t="s">
        <v>21</v>
      </c>
      <c r="F1699" s="1" t="s">
        <v>61</v>
      </c>
      <c r="G1699" s="2">
        <v>45680</v>
      </c>
      <c r="H1699" s="2">
        <v>45685</v>
      </c>
      <c r="I1699" s="1" t="s">
        <v>28</v>
      </c>
      <c r="J1699">
        <v>2</v>
      </c>
      <c r="K1699">
        <v>5</v>
      </c>
      <c r="L1699">
        <v>10</v>
      </c>
      <c r="M1699" s="1" t="s">
        <v>24</v>
      </c>
      <c r="N1699" s="2">
        <v>45658</v>
      </c>
      <c r="O1699">
        <v>2025</v>
      </c>
      <c r="P1699">
        <v>1</v>
      </c>
      <c r="Q1699" s="1" t="s">
        <v>24</v>
      </c>
    </row>
    <row r="1700" spans="1:17" x14ac:dyDescent="0.3">
      <c r="A1700" s="1" t="s">
        <v>1765</v>
      </c>
      <c r="B1700" s="1" t="s">
        <v>18</v>
      </c>
      <c r="C1700" s="1" t="s">
        <v>56</v>
      </c>
      <c r="D1700" s="1" t="s">
        <v>20</v>
      </c>
      <c r="E1700" s="1" t="s">
        <v>21</v>
      </c>
      <c r="F1700" s="1" t="s">
        <v>38</v>
      </c>
      <c r="G1700" s="2">
        <v>45763</v>
      </c>
      <c r="H1700" s="2">
        <v>45775</v>
      </c>
      <c r="I1700" s="1" t="s">
        <v>23</v>
      </c>
      <c r="J1700">
        <v>4</v>
      </c>
      <c r="K1700">
        <v>12</v>
      </c>
      <c r="L1700">
        <v>14</v>
      </c>
      <c r="M1700" s="1" t="s">
        <v>24</v>
      </c>
      <c r="N1700" s="2">
        <v>45748</v>
      </c>
      <c r="O1700">
        <v>2025</v>
      </c>
      <c r="P1700">
        <v>2</v>
      </c>
      <c r="Q1700" s="1" t="s">
        <v>24</v>
      </c>
    </row>
    <row r="1701" spans="1:17" x14ac:dyDescent="0.3">
      <c r="A1701" s="1" t="s">
        <v>1766</v>
      </c>
      <c r="B1701" s="1" t="s">
        <v>58</v>
      </c>
      <c r="C1701" s="1" t="s">
        <v>108</v>
      </c>
      <c r="D1701" s="1" t="s">
        <v>44</v>
      </c>
      <c r="E1701" s="1" t="s">
        <v>21</v>
      </c>
      <c r="F1701" s="1" t="s">
        <v>52</v>
      </c>
      <c r="G1701" s="2">
        <v>45806</v>
      </c>
      <c r="H1701" s="2">
        <v>45807</v>
      </c>
      <c r="I1701" s="1" t="s">
        <v>28</v>
      </c>
      <c r="J1701">
        <v>5</v>
      </c>
      <c r="K1701">
        <v>1</v>
      </c>
      <c r="L1701">
        <v>7</v>
      </c>
      <c r="M1701" s="1" t="s">
        <v>24</v>
      </c>
      <c r="N1701" s="2">
        <v>45778</v>
      </c>
      <c r="O1701">
        <v>2025</v>
      </c>
      <c r="P1701">
        <v>2</v>
      </c>
      <c r="Q1701" s="1" t="s">
        <v>24</v>
      </c>
    </row>
    <row r="1702" spans="1:17" x14ac:dyDescent="0.3">
      <c r="A1702" s="1" t="s">
        <v>1767</v>
      </c>
      <c r="B1702" s="1" t="s">
        <v>58</v>
      </c>
      <c r="C1702" s="1" t="s">
        <v>108</v>
      </c>
      <c r="D1702" s="1" t="s">
        <v>51</v>
      </c>
      <c r="E1702" s="1" t="s">
        <v>37</v>
      </c>
      <c r="F1702" s="1" t="s">
        <v>61</v>
      </c>
      <c r="G1702" s="2">
        <v>45680</v>
      </c>
      <c r="H1702" s="2"/>
      <c r="I1702" s="1" t="s">
        <v>28</v>
      </c>
      <c r="L1702">
        <v>10</v>
      </c>
      <c r="M1702" s="1" t="s">
        <v>40</v>
      </c>
      <c r="N1702" s="2">
        <v>45658</v>
      </c>
      <c r="O1702">
        <v>2025</v>
      </c>
      <c r="P1702">
        <v>1</v>
      </c>
      <c r="Q1702" s="1" t="s">
        <v>33</v>
      </c>
    </row>
    <row r="1703" spans="1:17" x14ac:dyDescent="0.3">
      <c r="A1703" s="1" t="s">
        <v>1768</v>
      </c>
      <c r="B1703" s="1" t="s">
        <v>26</v>
      </c>
      <c r="C1703" s="1" t="s">
        <v>54</v>
      </c>
      <c r="D1703" s="1" t="s">
        <v>51</v>
      </c>
      <c r="E1703" s="1" t="s">
        <v>21</v>
      </c>
      <c r="F1703" s="1" t="s">
        <v>52</v>
      </c>
      <c r="G1703" s="2">
        <v>45874</v>
      </c>
      <c r="H1703" s="2">
        <v>45880</v>
      </c>
      <c r="I1703" s="1" t="s">
        <v>39</v>
      </c>
      <c r="J1703">
        <v>3</v>
      </c>
      <c r="K1703">
        <v>6</v>
      </c>
      <c r="L1703">
        <v>10</v>
      </c>
      <c r="M1703" s="1" t="s">
        <v>24</v>
      </c>
      <c r="N1703" s="2">
        <v>45870</v>
      </c>
      <c r="O1703">
        <v>2025</v>
      </c>
      <c r="P1703">
        <v>3</v>
      </c>
      <c r="Q1703" s="1" t="s">
        <v>24</v>
      </c>
    </row>
    <row r="1704" spans="1:17" x14ac:dyDescent="0.3">
      <c r="A1704" s="1" t="s">
        <v>1769</v>
      </c>
      <c r="B1704" s="1" t="s">
        <v>18</v>
      </c>
      <c r="C1704" s="1" t="s">
        <v>19</v>
      </c>
      <c r="D1704" s="1" t="s">
        <v>51</v>
      </c>
      <c r="E1704" s="1" t="s">
        <v>21</v>
      </c>
      <c r="F1704" s="1" t="s">
        <v>31</v>
      </c>
      <c r="G1704" s="2">
        <v>45800</v>
      </c>
      <c r="H1704" s="2">
        <v>45805</v>
      </c>
      <c r="I1704" s="1" t="s">
        <v>32</v>
      </c>
      <c r="J1704">
        <v>5</v>
      </c>
      <c r="K1704">
        <v>5</v>
      </c>
      <c r="L1704">
        <v>10</v>
      </c>
      <c r="M1704" s="1" t="s">
        <v>24</v>
      </c>
      <c r="N1704" s="2">
        <v>45778</v>
      </c>
      <c r="O1704">
        <v>2025</v>
      </c>
      <c r="P1704">
        <v>2</v>
      </c>
      <c r="Q1704" s="1" t="s">
        <v>24</v>
      </c>
    </row>
    <row r="1705" spans="1:17" x14ac:dyDescent="0.3">
      <c r="A1705" s="1" t="s">
        <v>1770</v>
      </c>
      <c r="B1705" s="1" t="s">
        <v>26</v>
      </c>
      <c r="C1705" s="1" t="s">
        <v>67</v>
      </c>
      <c r="D1705" s="1" t="s">
        <v>51</v>
      </c>
      <c r="E1705" s="1" t="s">
        <v>21</v>
      </c>
      <c r="F1705" s="1" t="s">
        <v>61</v>
      </c>
      <c r="G1705" s="2">
        <v>46014</v>
      </c>
      <c r="H1705" s="2">
        <v>46023</v>
      </c>
      <c r="I1705" s="1" t="s">
        <v>23</v>
      </c>
      <c r="J1705">
        <v>3</v>
      </c>
      <c r="K1705">
        <v>9</v>
      </c>
      <c r="L1705">
        <v>10</v>
      </c>
      <c r="M1705" s="1" t="s">
        <v>24</v>
      </c>
      <c r="N1705" s="2">
        <v>45992</v>
      </c>
      <c r="O1705">
        <v>2025</v>
      </c>
      <c r="P1705">
        <v>4</v>
      </c>
      <c r="Q1705" s="1" t="s">
        <v>24</v>
      </c>
    </row>
    <row r="1706" spans="1:17" x14ac:dyDescent="0.3">
      <c r="A1706" s="1" t="s">
        <v>1771</v>
      </c>
      <c r="B1706" s="1" t="s">
        <v>18</v>
      </c>
      <c r="C1706" s="1" t="s">
        <v>19</v>
      </c>
      <c r="D1706" s="1" t="s">
        <v>20</v>
      </c>
      <c r="E1706" s="1" t="s">
        <v>48</v>
      </c>
      <c r="F1706" s="1" t="s">
        <v>38</v>
      </c>
      <c r="G1706" s="2">
        <v>45908</v>
      </c>
      <c r="H1706" s="2"/>
      <c r="I1706" s="1" t="s">
        <v>28</v>
      </c>
      <c r="L1706">
        <v>14</v>
      </c>
      <c r="M1706" s="1" t="s">
        <v>40</v>
      </c>
      <c r="N1706" s="2">
        <v>45901</v>
      </c>
      <c r="O1706">
        <v>2025</v>
      </c>
      <c r="P1706">
        <v>3</v>
      </c>
      <c r="Q1706" s="1" t="s">
        <v>33</v>
      </c>
    </row>
    <row r="1707" spans="1:17" x14ac:dyDescent="0.3">
      <c r="A1707" s="1" t="s">
        <v>1772</v>
      </c>
      <c r="B1707" s="1" t="s">
        <v>26</v>
      </c>
      <c r="C1707" s="1" t="s">
        <v>123</v>
      </c>
      <c r="D1707" s="1" t="s">
        <v>20</v>
      </c>
      <c r="E1707" s="1" t="s">
        <v>37</v>
      </c>
      <c r="F1707" s="1" t="s">
        <v>31</v>
      </c>
      <c r="G1707" s="2">
        <v>46006</v>
      </c>
      <c r="H1707" s="2"/>
      <c r="I1707" s="1" t="s">
        <v>32</v>
      </c>
      <c r="L1707">
        <v>14</v>
      </c>
      <c r="M1707" s="1" t="s">
        <v>40</v>
      </c>
      <c r="N1707" s="2">
        <v>45992</v>
      </c>
      <c r="O1707">
        <v>2025</v>
      </c>
      <c r="P1707">
        <v>4</v>
      </c>
      <c r="Q1707" s="1" t="s">
        <v>33</v>
      </c>
    </row>
    <row r="1708" spans="1:17" x14ac:dyDescent="0.3">
      <c r="A1708" s="1" t="s">
        <v>1773</v>
      </c>
      <c r="B1708" s="1" t="s">
        <v>26</v>
      </c>
      <c r="C1708" s="1" t="s">
        <v>123</v>
      </c>
      <c r="D1708" s="1" t="s">
        <v>51</v>
      </c>
      <c r="E1708" s="1" t="s">
        <v>21</v>
      </c>
      <c r="F1708" s="1" t="s">
        <v>61</v>
      </c>
      <c r="G1708" s="2">
        <v>45713</v>
      </c>
      <c r="H1708" s="2">
        <v>45716</v>
      </c>
      <c r="I1708" s="1" t="s">
        <v>23</v>
      </c>
      <c r="J1708">
        <v>4</v>
      </c>
      <c r="K1708">
        <v>3</v>
      </c>
      <c r="L1708">
        <v>10</v>
      </c>
      <c r="M1708" s="1" t="s">
        <v>24</v>
      </c>
      <c r="N1708" s="2">
        <v>45689</v>
      </c>
      <c r="O1708">
        <v>2025</v>
      </c>
      <c r="P1708">
        <v>1</v>
      </c>
      <c r="Q1708" s="1" t="s">
        <v>24</v>
      </c>
    </row>
    <row r="1709" spans="1:17" x14ac:dyDescent="0.3">
      <c r="A1709" s="1" t="s">
        <v>1774</v>
      </c>
      <c r="B1709" s="1" t="s">
        <v>26</v>
      </c>
      <c r="C1709" s="1" t="s">
        <v>27</v>
      </c>
      <c r="D1709" s="1" t="s">
        <v>20</v>
      </c>
      <c r="E1709" s="1" t="s">
        <v>21</v>
      </c>
      <c r="F1709" s="1" t="s">
        <v>38</v>
      </c>
      <c r="G1709" s="2">
        <v>45676</v>
      </c>
      <c r="H1709" s="2">
        <v>45686</v>
      </c>
      <c r="I1709" s="1" t="s">
        <v>28</v>
      </c>
      <c r="J1709">
        <v>4</v>
      </c>
      <c r="K1709">
        <v>10</v>
      </c>
      <c r="L1709">
        <v>14</v>
      </c>
      <c r="M1709" s="1" t="s">
        <v>24</v>
      </c>
      <c r="N1709" s="2">
        <v>45658</v>
      </c>
      <c r="O1709">
        <v>2025</v>
      </c>
      <c r="P1709">
        <v>1</v>
      </c>
      <c r="Q1709" s="1" t="s">
        <v>24</v>
      </c>
    </row>
    <row r="1710" spans="1:17" x14ac:dyDescent="0.3">
      <c r="A1710" s="1" t="s">
        <v>1775</v>
      </c>
      <c r="B1710" s="1" t="s">
        <v>42</v>
      </c>
      <c r="C1710" s="1" t="s">
        <v>87</v>
      </c>
      <c r="D1710" s="1" t="s">
        <v>20</v>
      </c>
      <c r="E1710" s="1" t="s">
        <v>37</v>
      </c>
      <c r="F1710" s="1" t="s">
        <v>61</v>
      </c>
      <c r="G1710" s="2">
        <v>45692</v>
      </c>
      <c r="H1710" s="2"/>
      <c r="I1710" s="1" t="s">
        <v>39</v>
      </c>
      <c r="L1710">
        <v>14</v>
      </c>
      <c r="M1710" s="1" t="s">
        <v>40</v>
      </c>
      <c r="N1710" s="2">
        <v>45689</v>
      </c>
      <c r="O1710">
        <v>2025</v>
      </c>
      <c r="P1710">
        <v>1</v>
      </c>
      <c r="Q1710" s="1" t="s">
        <v>33</v>
      </c>
    </row>
    <row r="1711" spans="1:17" x14ac:dyDescent="0.3">
      <c r="A1711" s="1" t="s">
        <v>1776</v>
      </c>
      <c r="B1711" s="1" t="s">
        <v>26</v>
      </c>
      <c r="C1711" s="1" t="s">
        <v>123</v>
      </c>
      <c r="D1711" s="1" t="s">
        <v>51</v>
      </c>
      <c r="E1711" s="1" t="s">
        <v>21</v>
      </c>
      <c r="F1711" s="1" t="s">
        <v>22</v>
      </c>
      <c r="G1711" s="2">
        <v>45963</v>
      </c>
      <c r="H1711" s="2">
        <v>45965</v>
      </c>
      <c r="I1711" s="1" t="s">
        <v>28</v>
      </c>
      <c r="J1711">
        <v>5</v>
      </c>
      <c r="K1711">
        <v>2</v>
      </c>
      <c r="L1711">
        <v>10</v>
      </c>
      <c r="M1711" s="1" t="s">
        <v>24</v>
      </c>
      <c r="N1711" s="2">
        <v>45962</v>
      </c>
      <c r="O1711">
        <v>2025</v>
      </c>
      <c r="P1711">
        <v>4</v>
      </c>
      <c r="Q1711" s="1" t="s">
        <v>24</v>
      </c>
    </row>
    <row r="1712" spans="1:17" x14ac:dyDescent="0.3">
      <c r="A1712" s="1" t="s">
        <v>1777</v>
      </c>
      <c r="B1712" s="1" t="s">
        <v>63</v>
      </c>
      <c r="C1712" s="1" t="s">
        <v>84</v>
      </c>
      <c r="D1712" s="1" t="s">
        <v>20</v>
      </c>
      <c r="E1712" s="1" t="s">
        <v>21</v>
      </c>
      <c r="F1712" s="1" t="s">
        <v>52</v>
      </c>
      <c r="G1712" s="2">
        <v>45736</v>
      </c>
      <c r="H1712" s="2">
        <v>45744</v>
      </c>
      <c r="I1712" s="1" t="s">
        <v>28</v>
      </c>
      <c r="J1712">
        <v>5</v>
      </c>
      <c r="K1712">
        <v>8</v>
      </c>
      <c r="L1712">
        <v>14</v>
      </c>
      <c r="M1712" s="1" t="s">
        <v>24</v>
      </c>
      <c r="N1712" s="2">
        <v>45717</v>
      </c>
      <c r="O1712">
        <v>2025</v>
      </c>
      <c r="P1712">
        <v>1</v>
      </c>
      <c r="Q1712" s="1" t="s">
        <v>24</v>
      </c>
    </row>
    <row r="1713" spans="1:17" x14ac:dyDescent="0.3">
      <c r="A1713" s="1" t="s">
        <v>1778</v>
      </c>
      <c r="B1713" s="1" t="s">
        <v>35</v>
      </c>
      <c r="C1713" s="1" t="s">
        <v>50</v>
      </c>
      <c r="D1713" s="1" t="s">
        <v>20</v>
      </c>
      <c r="E1713" s="1" t="s">
        <v>21</v>
      </c>
      <c r="F1713" s="1" t="s">
        <v>52</v>
      </c>
      <c r="G1713" s="2">
        <v>45858</v>
      </c>
      <c r="H1713" s="2">
        <v>45867</v>
      </c>
      <c r="I1713" s="1" t="s">
        <v>82</v>
      </c>
      <c r="J1713">
        <v>3</v>
      </c>
      <c r="K1713">
        <v>9</v>
      </c>
      <c r="L1713">
        <v>14</v>
      </c>
      <c r="M1713" s="1" t="s">
        <v>24</v>
      </c>
      <c r="N1713" s="2">
        <v>45839</v>
      </c>
      <c r="O1713">
        <v>2025</v>
      </c>
      <c r="P1713">
        <v>3</v>
      </c>
      <c r="Q1713" s="1" t="s">
        <v>24</v>
      </c>
    </row>
    <row r="1714" spans="1:17" x14ac:dyDescent="0.3">
      <c r="A1714" s="1" t="s">
        <v>1779</v>
      </c>
      <c r="B1714" s="1" t="s">
        <v>42</v>
      </c>
      <c r="C1714" s="1" t="s">
        <v>76</v>
      </c>
      <c r="D1714" s="1" t="s">
        <v>20</v>
      </c>
      <c r="E1714" s="1" t="s">
        <v>21</v>
      </c>
      <c r="F1714" s="1" t="s">
        <v>31</v>
      </c>
      <c r="G1714" s="2">
        <v>45994</v>
      </c>
      <c r="H1714" s="2">
        <v>46008</v>
      </c>
      <c r="I1714" s="1" t="s">
        <v>23</v>
      </c>
      <c r="J1714">
        <v>4</v>
      </c>
      <c r="K1714">
        <v>14</v>
      </c>
      <c r="L1714">
        <v>14</v>
      </c>
      <c r="M1714" s="1" t="s">
        <v>24</v>
      </c>
      <c r="N1714" s="2">
        <v>45992</v>
      </c>
      <c r="O1714">
        <v>2025</v>
      </c>
      <c r="P1714">
        <v>4</v>
      </c>
      <c r="Q1714" s="1" t="s">
        <v>24</v>
      </c>
    </row>
    <row r="1715" spans="1:17" x14ac:dyDescent="0.3">
      <c r="A1715" s="1" t="s">
        <v>1780</v>
      </c>
      <c r="B1715" s="1" t="s">
        <v>63</v>
      </c>
      <c r="C1715" s="1" t="s">
        <v>84</v>
      </c>
      <c r="D1715" s="1" t="s">
        <v>51</v>
      </c>
      <c r="E1715" s="1" t="s">
        <v>21</v>
      </c>
      <c r="F1715" s="1" t="s">
        <v>38</v>
      </c>
      <c r="G1715" s="2">
        <v>45820</v>
      </c>
      <c r="H1715" s="2">
        <v>45822</v>
      </c>
      <c r="I1715" s="1" t="s">
        <v>39</v>
      </c>
      <c r="J1715">
        <v>3</v>
      </c>
      <c r="K1715">
        <v>2</v>
      </c>
      <c r="L1715">
        <v>10</v>
      </c>
      <c r="M1715" s="1" t="s">
        <v>24</v>
      </c>
      <c r="N1715" s="2">
        <v>45809</v>
      </c>
      <c r="O1715">
        <v>2025</v>
      </c>
      <c r="P1715">
        <v>2</v>
      </c>
      <c r="Q1715" s="1" t="s">
        <v>24</v>
      </c>
    </row>
    <row r="1716" spans="1:17" x14ac:dyDescent="0.3">
      <c r="A1716" s="1" t="s">
        <v>1781</v>
      </c>
      <c r="B1716" s="1" t="s">
        <v>26</v>
      </c>
      <c r="C1716" s="1" t="s">
        <v>67</v>
      </c>
      <c r="D1716" s="1" t="s">
        <v>51</v>
      </c>
      <c r="E1716" s="1" t="s">
        <v>21</v>
      </c>
      <c r="F1716" s="1" t="s">
        <v>38</v>
      </c>
      <c r="G1716" s="2">
        <v>45822</v>
      </c>
      <c r="H1716" s="2">
        <v>45829</v>
      </c>
      <c r="I1716" s="1" t="s">
        <v>28</v>
      </c>
      <c r="J1716">
        <v>1</v>
      </c>
      <c r="K1716">
        <v>7</v>
      </c>
      <c r="L1716">
        <v>10</v>
      </c>
      <c r="M1716" s="1" t="s">
        <v>24</v>
      </c>
      <c r="N1716" s="2">
        <v>45809</v>
      </c>
      <c r="O1716">
        <v>2025</v>
      </c>
      <c r="P1716">
        <v>2</v>
      </c>
      <c r="Q1716" s="1" t="s">
        <v>24</v>
      </c>
    </row>
    <row r="1717" spans="1:17" x14ac:dyDescent="0.3">
      <c r="A1717" s="1" t="s">
        <v>1782</v>
      </c>
      <c r="B1717" s="1" t="s">
        <v>42</v>
      </c>
      <c r="C1717" s="1" t="s">
        <v>87</v>
      </c>
      <c r="D1717" s="1" t="s">
        <v>20</v>
      </c>
      <c r="E1717" s="1" t="s">
        <v>21</v>
      </c>
      <c r="F1717" s="1" t="s">
        <v>61</v>
      </c>
      <c r="G1717" s="2">
        <v>45856</v>
      </c>
      <c r="H1717" s="2">
        <v>45871</v>
      </c>
      <c r="I1717" s="1" t="s">
        <v>23</v>
      </c>
      <c r="J1717">
        <v>4</v>
      </c>
      <c r="K1717">
        <v>15</v>
      </c>
      <c r="L1717">
        <v>14</v>
      </c>
      <c r="M1717" s="1" t="s">
        <v>33</v>
      </c>
      <c r="N1717" s="2">
        <v>45839</v>
      </c>
      <c r="O1717">
        <v>2025</v>
      </c>
      <c r="P1717">
        <v>3</v>
      </c>
      <c r="Q1717" s="1" t="s">
        <v>24</v>
      </c>
    </row>
    <row r="1718" spans="1:17" x14ac:dyDescent="0.3">
      <c r="A1718" s="1" t="s">
        <v>1783</v>
      </c>
      <c r="B1718" s="1" t="s">
        <v>26</v>
      </c>
      <c r="C1718" s="1" t="s">
        <v>67</v>
      </c>
      <c r="D1718" s="1" t="s">
        <v>20</v>
      </c>
      <c r="E1718" s="1" t="s">
        <v>37</v>
      </c>
      <c r="F1718" s="1" t="s">
        <v>22</v>
      </c>
      <c r="G1718" s="2">
        <v>45901</v>
      </c>
      <c r="H1718" s="2"/>
      <c r="I1718" s="1" t="s">
        <v>39</v>
      </c>
      <c r="L1718">
        <v>14</v>
      </c>
      <c r="M1718" s="1" t="s">
        <v>40</v>
      </c>
      <c r="N1718" s="2">
        <v>45901</v>
      </c>
      <c r="O1718">
        <v>2025</v>
      </c>
      <c r="P1718">
        <v>3</v>
      </c>
      <c r="Q1718" s="1" t="s">
        <v>33</v>
      </c>
    </row>
    <row r="1719" spans="1:17" x14ac:dyDescent="0.3">
      <c r="A1719" s="1" t="s">
        <v>1784</v>
      </c>
      <c r="B1719" s="1" t="s">
        <v>35</v>
      </c>
      <c r="C1719" s="1" t="s">
        <v>50</v>
      </c>
      <c r="D1719" s="1" t="s">
        <v>51</v>
      </c>
      <c r="E1719" s="1" t="s">
        <v>37</v>
      </c>
      <c r="F1719" s="1" t="s">
        <v>31</v>
      </c>
      <c r="G1719" s="2">
        <v>46007</v>
      </c>
      <c r="H1719" s="2"/>
      <c r="I1719" s="1" t="s">
        <v>82</v>
      </c>
      <c r="L1719">
        <v>10</v>
      </c>
      <c r="M1719" s="1" t="s">
        <v>40</v>
      </c>
      <c r="N1719" s="2">
        <v>45992</v>
      </c>
      <c r="O1719">
        <v>2025</v>
      </c>
      <c r="P1719">
        <v>4</v>
      </c>
      <c r="Q1719" s="1" t="s">
        <v>33</v>
      </c>
    </row>
    <row r="1720" spans="1:17" x14ac:dyDescent="0.3">
      <c r="A1720" s="1" t="s">
        <v>1785</v>
      </c>
      <c r="B1720" s="1" t="s">
        <v>35</v>
      </c>
      <c r="C1720" s="1" t="s">
        <v>97</v>
      </c>
      <c r="D1720" s="1" t="s">
        <v>71</v>
      </c>
      <c r="E1720" s="1" t="s">
        <v>21</v>
      </c>
      <c r="F1720" s="1" t="s">
        <v>52</v>
      </c>
      <c r="G1720" s="2">
        <v>45903</v>
      </c>
      <c r="H1720" s="2">
        <v>45904</v>
      </c>
      <c r="I1720" s="1" t="s">
        <v>28</v>
      </c>
      <c r="J1720">
        <v>4</v>
      </c>
      <c r="K1720">
        <v>1</v>
      </c>
      <c r="L1720">
        <v>3</v>
      </c>
      <c r="M1720" s="1" t="s">
        <v>24</v>
      </c>
      <c r="N1720" s="2">
        <v>45901</v>
      </c>
      <c r="O1720">
        <v>2025</v>
      </c>
      <c r="P1720">
        <v>3</v>
      </c>
      <c r="Q1720" s="1" t="s">
        <v>24</v>
      </c>
    </row>
    <row r="1721" spans="1:17" x14ac:dyDescent="0.3">
      <c r="A1721" s="1" t="s">
        <v>1786</v>
      </c>
      <c r="B1721" s="1" t="s">
        <v>63</v>
      </c>
      <c r="C1721" s="1" t="s">
        <v>84</v>
      </c>
      <c r="D1721" s="1" t="s">
        <v>51</v>
      </c>
      <c r="E1721" s="1" t="s">
        <v>21</v>
      </c>
      <c r="F1721" s="1" t="s">
        <v>52</v>
      </c>
      <c r="G1721" s="2">
        <v>45856</v>
      </c>
      <c r="H1721" s="2">
        <v>45862</v>
      </c>
      <c r="I1721" s="1" t="s">
        <v>23</v>
      </c>
      <c r="J1721">
        <v>5</v>
      </c>
      <c r="K1721">
        <v>6</v>
      </c>
      <c r="L1721">
        <v>10</v>
      </c>
      <c r="M1721" s="1" t="s">
        <v>24</v>
      </c>
      <c r="N1721" s="2">
        <v>45839</v>
      </c>
      <c r="O1721">
        <v>2025</v>
      </c>
      <c r="P1721">
        <v>3</v>
      </c>
      <c r="Q1721" s="1" t="s">
        <v>24</v>
      </c>
    </row>
    <row r="1722" spans="1:17" x14ac:dyDescent="0.3">
      <c r="A1722" s="1" t="s">
        <v>1787</v>
      </c>
      <c r="B1722" s="1" t="s">
        <v>58</v>
      </c>
      <c r="C1722" s="1" t="s">
        <v>59</v>
      </c>
      <c r="D1722" s="1" t="s">
        <v>20</v>
      </c>
      <c r="E1722" s="1" t="s">
        <v>21</v>
      </c>
      <c r="F1722" s="1" t="s">
        <v>31</v>
      </c>
      <c r="G1722" s="2">
        <v>46021</v>
      </c>
      <c r="H1722" s="2">
        <v>46032</v>
      </c>
      <c r="I1722" s="1" t="s">
        <v>28</v>
      </c>
      <c r="J1722">
        <v>5</v>
      </c>
      <c r="K1722">
        <v>11</v>
      </c>
      <c r="L1722">
        <v>14</v>
      </c>
      <c r="M1722" s="1" t="s">
        <v>24</v>
      </c>
      <c r="N1722" s="2">
        <v>45992</v>
      </c>
      <c r="O1722">
        <v>2025</v>
      </c>
      <c r="P1722">
        <v>4</v>
      </c>
      <c r="Q1722" s="1" t="s">
        <v>24</v>
      </c>
    </row>
    <row r="1723" spans="1:17" x14ac:dyDescent="0.3">
      <c r="A1723" s="1" t="s">
        <v>1788</v>
      </c>
      <c r="B1723" s="1" t="s">
        <v>18</v>
      </c>
      <c r="C1723" s="1" t="s">
        <v>56</v>
      </c>
      <c r="D1723" s="1" t="s">
        <v>20</v>
      </c>
      <c r="E1723" s="1" t="s">
        <v>21</v>
      </c>
      <c r="F1723" s="1" t="s">
        <v>31</v>
      </c>
      <c r="G1723" s="2">
        <v>45871</v>
      </c>
      <c r="H1723" s="2">
        <v>45881</v>
      </c>
      <c r="I1723" s="1" t="s">
        <v>39</v>
      </c>
      <c r="J1723">
        <v>5</v>
      </c>
      <c r="K1723">
        <v>10</v>
      </c>
      <c r="L1723">
        <v>14</v>
      </c>
      <c r="M1723" s="1" t="s">
        <v>24</v>
      </c>
      <c r="N1723" s="2">
        <v>45870</v>
      </c>
      <c r="O1723">
        <v>2025</v>
      </c>
      <c r="P1723">
        <v>3</v>
      </c>
      <c r="Q1723" s="1" t="s">
        <v>24</v>
      </c>
    </row>
    <row r="1724" spans="1:17" x14ac:dyDescent="0.3">
      <c r="A1724" s="1" t="s">
        <v>1789</v>
      </c>
      <c r="B1724" s="1" t="s">
        <v>58</v>
      </c>
      <c r="C1724" s="1" t="s">
        <v>59</v>
      </c>
      <c r="D1724" s="1" t="s">
        <v>51</v>
      </c>
      <c r="E1724" s="1" t="s">
        <v>21</v>
      </c>
      <c r="F1724" s="1" t="s">
        <v>61</v>
      </c>
      <c r="G1724" s="2">
        <v>45726</v>
      </c>
      <c r="H1724" s="2">
        <v>45736</v>
      </c>
      <c r="I1724" s="1" t="s">
        <v>28</v>
      </c>
      <c r="J1724">
        <v>3</v>
      </c>
      <c r="K1724">
        <v>10</v>
      </c>
      <c r="L1724">
        <v>10</v>
      </c>
      <c r="M1724" s="1" t="s">
        <v>24</v>
      </c>
      <c r="N1724" s="2">
        <v>45717</v>
      </c>
      <c r="O1724">
        <v>2025</v>
      </c>
      <c r="P1724">
        <v>1</v>
      </c>
      <c r="Q1724" s="1" t="s">
        <v>24</v>
      </c>
    </row>
    <row r="1725" spans="1:17" x14ac:dyDescent="0.3">
      <c r="A1725" s="1" t="s">
        <v>1790</v>
      </c>
      <c r="B1725" s="1" t="s">
        <v>26</v>
      </c>
      <c r="C1725" s="1" t="s">
        <v>54</v>
      </c>
      <c r="D1725" s="1" t="s">
        <v>71</v>
      </c>
      <c r="E1725" s="1" t="s">
        <v>21</v>
      </c>
      <c r="F1725" s="1" t="s">
        <v>22</v>
      </c>
      <c r="G1725" s="2">
        <v>45974</v>
      </c>
      <c r="H1725" s="2">
        <v>45976</v>
      </c>
      <c r="I1725" s="1" t="s">
        <v>39</v>
      </c>
      <c r="J1725">
        <v>5</v>
      </c>
      <c r="K1725">
        <v>2</v>
      </c>
      <c r="L1725">
        <v>3</v>
      </c>
      <c r="M1725" s="1" t="s">
        <v>24</v>
      </c>
      <c r="N1725" s="2">
        <v>45962</v>
      </c>
      <c r="O1725">
        <v>2025</v>
      </c>
      <c r="P1725">
        <v>4</v>
      </c>
      <c r="Q1725" s="1" t="s">
        <v>24</v>
      </c>
    </row>
    <row r="1726" spans="1:17" x14ac:dyDescent="0.3">
      <c r="A1726" s="1" t="s">
        <v>1791</v>
      </c>
      <c r="B1726" s="1" t="s">
        <v>35</v>
      </c>
      <c r="C1726" s="1" t="s">
        <v>97</v>
      </c>
      <c r="D1726" s="1" t="s">
        <v>20</v>
      </c>
      <c r="E1726" s="1" t="s">
        <v>21</v>
      </c>
      <c r="F1726" s="1" t="s">
        <v>52</v>
      </c>
      <c r="G1726" s="2">
        <v>45713</v>
      </c>
      <c r="H1726" s="2">
        <v>45724</v>
      </c>
      <c r="I1726" s="1" t="s">
        <v>82</v>
      </c>
      <c r="J1726">
        <v>4</v>
      </c>
      <c r="K1726">
        <v>11</v>
      </c>
      <c r="L1726">
        <v>14</v>
      </c>
      <c r="M1726" s="1" t="s">
        <v>24</v>
      </c>
      <c r="N1726" s="2">
        <v>45689</v>
      </c>
      <c r="O1726">
        <v>2025</v>
      </c>
      <c r="P1726">
        <v>1</v>
      </c>
      <c r="Q1726" s="1" t="s">
        <v>24</v>
      </c>
    </row>
    <row r="1727" spans="1:17" x14ac:dyDescent="0.3">
      <c r="A1727" s="1" t="s">
        <v>1792</v>
      </c>
      <c r="B1727" s="1" t="s">
        <v>58</v>
      </c>
      <c r="C1727" s="1" t="s">
        <v>70</v>
      </c>
      <c r="D1727" s="1" t="s">
        <v>20</v>
      </c>
      <c r="E1727" s="1" t="s">
        <v>21</v>
      </c>
      <c r="F1727" s="1" t="s">
        <v>22</v>
      </c>
      <c r="G1727" s="2">
        <v>45738</v>
      </c>
      <c r="H1727" s="2">
        <v>45751</v>
      </c>
      <c r="I1727" s="1" t="s">
        <v>39</v>
      </c>
      <c r="J1727">
        <v>4</v>
      </c>
      <c r="K1727">
        <v>13</v>
      </c>
      <c r="L1727">
        <v>14</v>
      </c>
      <c r="M1727" s="1" t="s">
        <v>24</v>
      </c>
      <c r="N1727" s="2">
        <v>45717</v>
      </c>
      <c r="O1727">
        <v>2025</v>
      </c>
      <c r="P1727">
        <v>1</v>
      </c>
      <c r="Q1727" s="1" t="s">
        <v>24</v>
      </c>
    </row>
    <row r="1728" spans="1:17" x14ac:dyDescent="0.3">
      <c r="A1728" s="1" t="s">
        <v>1793</v>
      </c>
      <c r="B1728" s="1" t="s">
        <v>63</v>
      </c>
      <c r="C1728" s="1" t="s">
        <v>89</v>
      </c>
      <c r="D1728" s="1" t="s">
        <v>20</v>
      </c>
      <c r="E1728" s="1" t="s">
        <v>21</v>
      </c>
      <c r="F1728" s="1" t="s">
        <v>22</v>
      </c>
      <c r="G1728" s="2">
        <v>45948</v>
      </c>
      <c r="H1728" s="2">
        <v>45961</v>
      </c>
      <c r="I1728" s="1" t="s">
        <v>28</v>
      </c>
      <c r="J1728">
        <v>3</v>
      </c>
      <c r="K1728">
        <v>13</v>
      </c>
      <c r="L1728">
        <v>14</v>
      </c>
      <c r="M1728" s="1" t="s">
        <v>24</v>
      </c>
      <c r="N1728" s="2">
        <v>45931</v>
      </c>
      <c r="O1728">
        <v>2025</v>
      </c>
      <c r="P1728">
        <v>4</v>
      </c>
      <c r="Q1728" s="1" t="s">
        <v>24</v>
      </c>
    </row>
    <row r="1729" spans="1:17" x14ac:dyDescent="0.3">
      <c r="A1729" s="1" t="s">
        <v>1794</v>
      </c>
      <c r="B1729" s="1" t="s">
        <v>18</v>
      </c>
      <c r="C1729" s="1" t="s">
        <v>30</v>
      </c>
      <c r="D1729" s="1" t="s">
        <v>51</v>
      </c>
      <c r="E1729" s="1" t="s">
        <v>37</v>
      </c>
      <c r="F1729" s="1" t="s">
        <v>31</v>
      </c>
      <c r="G1729" s="2">
        <v>45735</v>
      </c>
      <c r="H1729" s="2"/>
      <c r="I1729" s="1" t="s">
        <v>32</v>
      </c>
      <c r="L1729">
        <v>10</v>
      </c>
      <c r="M1729" s="1" t="s">
        <v>40</v>
      </c>
      <c r="N1729" s="2">
        <v>45717</v>
      </c>
      <c r="O1729">
        <v>2025</v>
      </c>
      <c r="P1729">
        <v>1</v>
      </c>
      <c r="Q1729" s="1" t="s">
        <v>33</v>
      </c>
    </row>
    <row r="1730" spans="1:17" x14ac:dyDescent="0.3">
      <c r="A1730" s="1" t="s">
        <v>1795</v>
      </c>
      <c r="B1730" s="1" t="s">
        <v>58</v>
      </c>
      <c r="C1730" s="1" t="s">
        <v>108</v>
      </c>
      <c r="D1730" s="1" t="s">
        <v>44</v>
      </c>
      <c r="E1730" s="1" t="s">
        <v>21</v>
      </c>
      <c r="F1730" s="1" t="s">
        <v>22</v>
      </c>
      <c r="G1730" s="2">
        <v>45907</v>
      </c>
      <c r="H1730" s="2">
        <v>45910</v>
      </c>
      <c r="I1730" s="1" t="s">
        <v>82</v>
      </c>
      <c r="J1730">
        <v>4</v>
      </c>
      <c r="K1730">
        <v>3</v>
      </c>
      <c r="L1730">
        <v>7</v>
      </c>
      <c r="M1730" s="1" t="s">
        <v>24</v>
      </c>
      <c r="N1730" s="2">
        <v>45901</v>
      </c>
      <c r="O1730">
        <v>2025</v>
      </c>
      <c r="P1730">
        <v>3</v>
      </c>
      <c r="Q1730" s="1" t="s">
        <v>24</v>
      </c>
    </row>
    <row r="1731" spans="1:17" x14ac:dyDescent="0.3">
      <c r="A1731" s="1" t="s">
        <v>1796</v>
      </c>
      <c r="B1731" s="1" t="s">
        <v>18</v>
      </c>
      <c r="C1731" s="1" t="s">
        <v>19</v>
      </c>
      <c r="D1731" s="1" t="s">
        <v>51</v>
      </c>
      <c r="E1731" s="1" t="s">
        <v>37</v>
      </c>
      <c r="F1731" s="1" t="s">
        <v>38</v>
      </c>
      <c r="G1731" s="2">
        <v>45701</v>
      </c>
      <c r="H1731" s="2"/>
      <c r="I1731" s="1" t="s">
        <v>23</v>
      </c>
      <c r="L1731">
        <v>10</v>
      </c>
      <c r="M1731" s="1" t="s">
        <v>40</v>
      </c>
      <c r="N1731" s="2">
        <v>45689</v>
      </c>
      <c r="O1731">
        <v>2025</v>
      </c>
      <c r="P1731">
        <v>1</v>
      </c>
      <c r="Q1731" s="1" t="s">
        <v>33</v>
      </c>
    </row>
    <row r="1732" spans="1:17" x14ac:dyDescent="0.3">
      <c r="A1732" s="1" t="s">
        <v>1797</v>
      </c>
      <c r="B1732" s="1" t="s">
        <v>42</v>
      </c>
      <c r="C1732" s="1" t="s">
        <v>43</v>
      </c>
      <c r="D1732" s="1" t="s">
        <v>44</v>
      </c>
      <c r="E1732" s="1" t="s">
        <v>21</v>
      </c>
      <c r="F1732" s="1" t="s">
        <v>61</v>
      </c>
      <c r="G1732" s="2">
        <v>45840</v>
      </c>
      <c r="H1732" s="2">
        <v>45842</v>
      </c>
      <c r="I1732" s="1" t="s">
        <v>32</v>
      </c>
      <c r="J1732">
        <v>5</v>
      </c>
      <c r="K1732">
        <v>2</v>
      </c>
      <c r="L1732">
        <v>7</v>
      </c>
      <c r="M1732" s="1" t="s">
        <v>24</v>
      </c>
      <c r="N1732" s="2">
        <v>45839</v>
      </c>
      <c r="O1732">
        <v>2025</v>
      </c>
      <c r="P1732">
        <v>3</v>
      </c>
      <c r="Q1732" s="1" t="s">
        <v>24</v>
      </c>
    </row>
    <row r="1733" spans="1:17" x14ac:dyDescent="0.3">
      <c r="A1733" s="1" t="s">
        <v>1798</v>
      </c>
      <c r="B1733" s="1" t="s">
        <v>42</v>
      </c>
      <c r="C1733" s="1" t="s">
        <v>43</v>
      </c>
      <c r="D1733" s="1" t="s">
        <v>51</v>
      </c>
      <c r="E1733" s="1" t="s">
        <v>21</v>
      </c>
      <c r="F1733" s="1" t="s">
        <v>61</v>
      </c>
      <c r="G1733" s="2">
        <v>45886</v>
      </c>
      <c r="H1733" s="2">
        <v>45895</v>
      </c>
      <c r="I1733" s="1" t="s">
        <v>32</v>
      </c>
      <c r="J1733">
        <v>4</v>
      </c>
      <c r="K1733">
        <v>9</v>
      </c>
      <c r="L1733">
        <v>10</v>
      </c>
      <c r="M1733" s="1" t="s">
        <v>24</v>
      </c>
      <c r="N1733" s="2">
        <v>45870</v>
      </c>
      <c r="O1733">
        <v>2025</v>
      </c>
      <c r="P1733">
        <v>3</v>
      </c>
      <c r="Q1733" s="1" t="s">
        <v>24</v>
      </c>
    </row>
    <row r="1734" spans="1:17" x14ac:dyDescent="0.3">
      <c r="A1734" s="1" t="s">
        <v>1799</v>
      </c>
      <c r="B1734" s="1" t="s">
        <v>35</v>
      </c>
      <c r="C1734" s="1" t="s">
        <v>99</v>
      </c>
      <c r="D1734" s="1" t="s">
        <v>44</v>
      </c>
      <c r="E1734" s="1" t="s">
        <v>21</v>
      </c>
      <c r="F1734" s="1" t="s">
        <v>22</v>
      </c>
      <c r="G1734" s="2">
        <v>45735</v>
      </c>
      <c r="H1734" s="2">
        <v>45737</v>
      </c>
      <c r="I1734" s="1" t="s">
        <v>82</v>
      </c>
      <c r="J1734">
        <v>4</v>
      </c>
      <c r="K1734">
        <v>2</v>
      </c>
      <c r="L1734">
        <v>7</v>
      </c>
      <c r="M1734" s="1" t="s">
        <v>24</v>
      </c>
      <c r="N1734" s="2">
        <v>45717</v>
      </c>
      <c r="O1734">
        <v>2025</v>
      </c>
      <c r="P1734">
        <v>1</v>
      </c>
      <c r="Q1734" s="1" t="s">
        <v>24</v>
      </c>
    </row>
    <row r="1735" spans="1:17" x14ac:dyDescent="0.3">
      <c r="A1735" s="1" t="s">
        <v>1800</v>
      </c>
      <c r="B1735" s="1" t="s">
        <v>58</v>
      </c>
      <c r="C1735" s="1" t="s">
        <v>108</v>
      </c>
      <c r="D1735" s="1" t="s">
        <v>51</v>
      </c>
      <c r="E1735" s="1" t="s">
        <v>21</v>
      </c>
      <c r="F1735" s="1" t="s">
        <v>61</v>
      </c>
      <c r="G1735" s="2">
        <v>46016</v>
      </c>
      <c r="H1735" s="2">
        <v>46022</v>
      </c>
      <c r="I1735" s="1" t="s">
        <v>23</v>
      </c>
      <c r="J1735">
        <v>5</v>
      </c>
      <c r="K1735">
        <v>6</v>
      </c>
      <c r="L1735">
        <v>10</v>
      </c>
      <c r="M1735" s="1" t="s">
        <v>24</v>
      </c>
      <c r="N1735" s="2">
        <v>45992</v>
      </c>
      <c r="O1735">
        <v>2025</v>
      </c>
      <c r="P1735">
        <v>4</v>
      </c>
      <c r="Q1735" s="1" t="s">
        <v>24</v>
      </c>
    </row>
    <row r="1736" spans="1:17" x14ac:dyDescent="0.3">
      <c r="A1736" s="1" t="s">
        <v>1801</v>
      </c>
      <c r="B1736" s="1" t="s">
        <v>18</v>
      </c>
      <c r="C1736" s="1" t="s">
        <v>47</v>
      </c>
      <c r="D1736" s="1" t="s">
        <v>44</v>
      </c>
      <c r="E1736" s="1" t="s">
        <v>21</v>
      </c>
      <c r="F1736" s="1" t="s">
        <v>31</v>
      </c>
      <c r="G1736" s="2">
        <v>45678</v>
      </c>
      <c r="H1736" s="2">
        <v>45680</v>
      </c>
      <c r="I1736" s="1" t="s">
        <v>39</v>
      </c>
      <c r="J1736">
        <v>5</v>
      </c>
      <c r="K1736">
        <v>2</v>
      </c>
      <c r="L1736">
        <v>7</v>
      </c>
      <c r="M1736" s="1" t="s">
        <v>24</v>
      </c>
      <c r="N1736" s="2">
        <v>45658</v>
      </c>
      <c r="O1736">
        <v>2025</v>
      </c>
      <c r="P1736">
        <v>1</v>
      </c>
      <c r="Q1736" s="1" t="s">
        <v>24</v>
      </c>
    </row>
    <row r="1737" spans="1:17" x14ac:dyDescent="0.3">
      <c r="A1737" s="1" t="s">
        <v>1802</v>
      </c>
      <c r="B1737" s="1" t="s">
        <v>58</v>
      </c>
      <c r="C1737" s="1" t="s">
        <v>108</v>
      </c>
      <c r="D1737" s="1" t="s">
        <v>44</v>
      </c>
      <c r="E1737" s="1" t="s">
        <v>21</v>
      </c>
      <c r="F1737" s="1" t="s">
        <v>61</v>
      </c>
      <c r="G1737" s="2">
        <v>45843</v>
      </c>
      <c r="H1737" s="2">
        <v>45847</v>
      </c>
      <c r="I1737" s="1" t="s">
        <v>39</v>
      </c>
      <c r="J1737">
        <v>4</v>
      </c>
      <c r="K1737">
        <v>4</v>
      </c>
      <c r="L1737">
        <v>7</v>
      </c>
      <c r="M1737" s="1" t="s">
        <v>24</v>
      </c>
      <c r="N1737" s="2">
        <v>45839</v>
      </c>
      <c r="O1737">
        <v>2025</v>
      </c>
      <c r="P1737">
        <v>3</v>
      </c>
      <c r="Q1737" s="1" t="s">
        <v>24</v>
      </c>
    </row>
    <row r="1738" spans="1:17" x14ac:dyDescent="0.3">
      <c r="A1738" s="1" t="s">
        <v>1803</v>
      </c>
      <c r="B1738" s="1" t="s">
        <v>42</v>
      </c>
      <c r="C1738" s="1" t="s">
        <v>87</v>
      </c>
      <c r="D1738" s="1" t="s">
        <v>71</v>
      </c>
      <c r="E1738" s="1" t="s">
        <v>21</v>
      </c>
      <c r="F1738" s="1" t="s">
        <v>38</v>
      </c>
      <c r="G1738" s="2">
        <v>45831</v>
      </c>
      <c r="H1738" s="2">
        <v>45831</v>
      </c>
      <c r="I1738" s="1" t="s">
        <v>28</v>
      </c>
      <c r="J1738">
        <v>5</v>
      </c>
      <c r="K1738">
        <v>0</v>
      </c>
      <c r="L1738">
        <v>3</v>
      </c>
      <c r="M1738" s="1" t="s">
        <v>24</v>
      </c>
      <c r="N1738" s="2">
        <v>45809</v>
      </c>
      <c r="O1738">
        <v>2025</v>
      </c>
      <c r="P1738">
        <v>2</v>
      </c>
      <c r="Q1738" s="1" t="s">
        <v>24</v>
      </c>
    </row>
    <row r="1739" spans="1:17" x14ac:dyDescent="0.3">
      <c r="A1739" s="1" t="s">
        <v>1804</v>
      </c>
      <c r="B1739" s="1" t="s">
        <v>63</v>
      </c>
      <c r="C1739" s="1" t="s">
        <v>84</v>
      </c>
      <c r="D1739" s="1" t="s">
        <v>51</v>
      </c>
      <c r="E1739" s="1" t="s">
        <v>48</v>
      </c>
      <c r="F1739" s="1" t="s">
        <v>61</v>
      </c>
      <c r="G1739" s="2">
        <v>45714</v>
      </c>
      <c r="H1739" s="2"/>
      <c r="I1739" s="1" t="s">
        <v>32</v>
      </c>
      <c r="L1739">
        <v>10</v>
      </c>
      <c r="M1739" s="1" t="s">
        <v>40</v>
      </c>
      <c r="N1739" s="2">
        <v>45689</v>
      </c>
      <c r="O1739">
        <v>2025</v>
      </c>
      <c r="P1739">
        <v>1</v>
      </c>
      <c r="Q1739" s="1" t="s">
        <v>33</v>
      </c>
    </row>
    <row r="1740" spans="1:17" x14ac:dyDescent="0.3">
      <c r="A1740" s="1" t="s">
        <v>1805</v>
      </c>
      <c r="B1740" s="1" t="s">
        <v>35</v>
      </c>
      <c r="C1740" s="1" t="s">
        <v>99</v>
      </c>
      <c r="D1740" s="1" t="s">
        <v>51</v>
      </c>
      <c r="E1740" s="1" t="s">
        <v>48</v>
      </c>
      <c r="F1740" s="1" t="s">
        <v>38</v>
      </c>
      <c r="G1740" s="2">
        <v>45911</v>
      </c>
      <c r="H1740" s="2"/>
      <c r="I1740" s="1" t="s">
        <v>82</v>
      </c>
      <c r="L1740">
        <v>10</v>
      </c>
      <c r="M1740" s="1" t="s">
        <v>40</v>
      </c>
      <c r="N1740" s="2">
        <v>45901</v>
      </c>
      <c r="O1740">
        <v>2025</v>
      </c>
      <c r="P1740">
        <v>3</v>
      </c>
      <c r="Q1740" s="1" t="s">
        <v>33</v>
      </c>
    </row>
    <row r="1741" spans="1:17" x14ac:dyDescent="0.3">
      <c r="A1741" s="1" t="s">
        <v>1806</v>
      </c>
      <c r="B1741" s="1" t="s">
        <v>26</v>
      </c>
      <c r="C1741" s="1" t="s">
        <v>27</v>
      </c>
      <c r="D1741" s="1" t="s">
        <v>71</v>
      </c>
      <c r="E1741" s="1" t="s">
        <v>21</v>
      </c>
      <c r="F1741" s="1" t="s">
        <v>22</v>
      </c>
      <c r="G1741" s="2">
        <v>45787</v>
      </c>
      <c r="H1741" s="2">
        <v>45788</v>
      </c>
      <c r="I1741" s="1" t="s">
        <v>23</v>
      </c>
      <c r="J1741">
        <v>4</v>
      </c>
      <c r="K1741">
        <v>1</v>
      </c>
      <c r="L1741">
        <v>3</v>
      </c>
      <c r="M1741" s="1" t="s">
        <v>24</v>
      </c>
      <c r="N1741" s="2">
        <v>45778</v>
      </c>
      <c r="O1741">
        <v>2025</v>
      </c>
      <c r="P1741">
        <v>2</v>
      </c>
      <c r="Q1741" s="1" t="s">
        <v>24</v>
      </c>
    </row>
    <row r="1742" spans="1:17" x14ac:dyDescent="0.3">
      <c r="A1742" s="1" t="s">
        <v>1807</v>
      </c>
      <c r="B1742" s="1" t="s">
        <v>58</v>
      </c>
      <c r="C1742" s="1" t="s">
        <v>59</v>
      </c>
      <c r="D1742" s="1" t="s">
        <v>44</v>
      </c>
      <c r="E1742" s="1" t="s">
        <v>21</v>
      </c>
      <c r="F1742" s="1" t="s">
        <v>31</v>
      </c>
      <c r="G1742" s="2">
        <v>45780</v>
      </c>
      <c r="H1742" s="2">
        <v>45786</v>
      </c>
      <c r="I1742" s="1" t="s">
        <v>39</v>
      </c>
      <c r="J1742">
        <v>4</v>
      </c>
      <c r="K1742">
        <v>6</v>
      </c>
      <c r="L1742">
        <v>7</v>
      </c>
      <c r="M1742" s="1" t="s">
        <v>24</v>
      </c>
      <c r="N1742" s="2">
        <v>45778</v>
      </c>
      <c r="O1742">
        <v>2025</v>
      </c>
      <c r="P1742">
        <v>2</v>
      </c>
      <c r="Q1742" s="1" t="s">
        <v>24</v>
      </c>
    </row>
    <row r="1743" spans="1:17" x14ac:dyDescent="0.3">
      <c r="A1743" s="1" t="s">
        <v>1808</v>
      </c>
      <c r="B1743" s="1" t="s">
        <v>35</v>
      </c>
      <c r="C1743" s="1" t="s">
        <v>99</v>
      </c>
      <c r="D1743" s="1" t="s">
        <v>51</v>
      </c>
      <c r="E1743" s="1" t="s">
        <v>48</v>
      </c>
      <c r="F1743" s="1" t="s">
        <v>31</v>
      </c>
      <c r="G1743" s="2">
        <v>45994</v>
      </c>
      <c r="H1743" s="2"/>
      <c r="I1743" s="1" t="s">
        <v>23</v>
      </c>
      <c r="L1743">
        <v>10</v>
      </c>
      <c r="M1743" s="1" t="s">
        <v>40</v>
      </c>
      <c r="N1743" s="2">
        <v>45992</v>
      </c>
      <c r="O1743">
        <v>2025</v>
      </c>
      <c r="P1743">
        <v>4</v>
      </c>
      <c r="Q1743" s="1" t="s">
        <v>33</v>
      </c>
    </row>
    <row r="1744" spans="1:17" x14ac:dyDescent="0.3">
      <c r="A1744" s="1" t="s">
        <v>1809</v>
      </c>
      <c r="B1744" s="1" t="s">
        <v>35</v>
      </c>
      <c r="C1744" s="1" t="s">
        <v>99</v>
      </c>
      <c r="D1744" s="1" t="s">
        <v>20</v>
      </c>
      <c r="E1744" s="1" t="s">
        <v>48</v>
      </c>
      <c r="F1744" s="1" t="s">
        <v>38</v>
      </c>
      <c r="G1744" s="2">
        <v>45977</v>
      </c>
      <c r="H1744" s="2"/>
      <c r="I1744" s="1" t="s">
        <v>82</v>
      </c>
      <c r="L1744">
        <v>14</v>
      </c>
      <c r="M1744" s="1" t="s">
        <v>40</v>
      </c>
      <c r="N1744" s="2">
        <v>45962</v>
      </c>
      <c r="O1744">
        <v>2025</v>
      </c>
      <c r="P1744">
        <v>4</v>
      </c>
      <c r="Q1744" s="1" t="s">
        <v>33</v>
      </c>
    </row>
    <row r="1745" spans="1:17" x14ac:dyDescent="0.3">
      <c r="A1745" s="1" t="s">
        <v>1810</v>
      </c>
      <c r="B1745" s="1" t="s">
        <v>42</v>
      </c>
      <c r="C1745" s="1" t="s">
        <v>43</v>
      </c>
      <c r="D1745" s="1" t="s">
        <v>51</v>
      </c>
      <c r="E1745" s="1" t="s">
        <v>48</v>
      </c>
      <c r="F1745" s="1" t="s">
        <v>31</v>
      </c>
      <c r="G1745" s="2">
        <v>45852</v>
      </c>
      <c r="H1745" s="2"/>
      <c r="I1745" s="1" t="s">
        <v>23</v>
      </c>
      <c r="L1745">
        <v>10</v>
      </c>
      <c r="M1745" s="1" t="s">
        <v>40</v>
      </c>
      <c r="N1745" s="2">
        <v>45839</v>
      </c>
      <c r="O1745">
        <v>2025</v>
      </c>
      <c r="P1745">
        <v>3</v>
      </c>
      <c r="Q1745" s="1" t="s">
        <v>33</v>
      </c>
    </row>
    <row r="1746" spans="1:17" x14ac:dyDescent="0.3">
      <c r="A1746" s="1" t="s">
        <v>1811</v>
      </c>
      <c r="B1746" s="1" t="s">
        <v>18</v>
      </c>
      <c r="C1746" s="1" t="s">
        <v>56</v>
      </c>
      <c r="D1746" s="1" t="s">
        <v>51</v>
      </c>
      <c r="E1746" s="1" t="s">
        <v>21</v>
      </c>
      <c r="F1746" s="1" t="s">
        <v>52</v>
      </c>
      <c r="G1746" s="2">
        <v>45920</v>
      </c>
      <c r="H1746" s="2">
        <v>45928</v>
      </c>
      <c r="I1746" s="1" t="s">
        <v>28</v>
      </c>
      <c r="J1746">
        <v>4</v>
      </c>
      <c r="K1746">
        <v>8</v>
      </c>
      <c r="L1746">
        <v>10</v>
      </c>
      <c r="M1746" s="1" t="s">
        <v>24</v>
      </c>
      <c r="N1746" s="2">
        <v>45901</v>
      </c>
      <c r="O1746">
        <v>2025</v>
      </c>
      <c r="P1746">
        <v>3</v>
      </c>
      <c r="Q1746" s="1" t="s">
        <v>24</v>
      </c>
    </row>
    <row r="1747" spans="1:17" x14ac:dyDescent="0.3">
      <c r="A1747" s="1" t="s">
        <v>1812</v>
      </c>
      <c r="B1747" s="1" t="s">
        <v>35</v>
      </c>
      <c r="C1747" s="1" t="s">
        <v>97</v>
      </c>
      <c r="D1747" s="1" t="s">
        <v>51</v>
      </c>
      <c r="E1747" s="1" t="s">
        <v>21</v>
      </c>
      <c r="F1747" s="1" t="s">
        <v>38</v>
      </c>
      <c r="G1747" s="2">
        <v>45794</v>
      </c>
      <c r="H1747" s="2">
        <v>45797</v>
      </c>
      <c r="I1747" s="1" t="s">
        <v>32</v>
      </c>
      <c r="J1747">
        <v>5</v>
      </c>
      <c r="K1747">
        <v>3</v>
      </c>
      <c r="L1747">
        <v>10</v>
      </c>
      <c r="M1747" s="1" t="s">
        <v>24</v>
      </c>
      <c r="N1747" s="2">
        <v>45778</v>
      </c>
      <c r="O1747">
        <v>2025</v>
      </c>
      <c r="P1747">
        <v>2</v>
      </c>
      <c r="Q1747" s="1" t="s">
        <v>24</v>
      </c>
    </row>
    <row r="1748" spans="1:17" x14ac:dyDescent="0.3">
      <c r="A1748" s="1" t="s">
        <v>1813</v>
      </c>
      <c r="B1748" s="1" t="s">
        <v>26</v>
      </c>
      <c r="C1748" s="1" t="s">
        <v>67</v>
      </c>
      <c r="D1748" s="1" t="s">
        <v>20</v>
      </c>
      <c r="E1748" s="1" t="s">
        <v>21</v>
      </c>
      <c r="F1748" s="1" t="s">
        <v>52</v>
      </c>
      <c r="G1748" s="2">
        <v>45712</v>
      </c>
      <c r="H1748" s="2">
        <v>45718</v>
      </c>
      <c r="I1748" s="1" t="s">
        <v>23</v>
      </c>
      <c r="J1748">
        <v>2</v>
      </c>
      <c r="K1748">
        <v>6</v>
      </c>
      <c r="L1748">
        <v>14</v>
      </c>
      <c r="M1748" s="1" t="s">
        <v>24</v>
      </c>
      <c r="N1748" s="2">
        <v>45689</v>
      </c>
      <c r="O1748">
        <v>2025</v>
      </c>
      <c r="P1748">
        <v>1</v>
      </c>
      <c r="Q1748" s="1" t="s">
        <v>24</v>
      </c>
    </row>
    <row r="1749" spans="1:17" x14ac:dyDescent="0.3">
      <c r="A1749" s="1" t="s">
        <v>1814</v>
      </c>
      <c r="B1749" s="1" t="s">
        <v>63</v>
      </c>
      <c r="C1749" s="1" t="s">
        <v>64</v>
      </c>
      <c r="D1749" s="1" t="s">
        <v>44</v>
      </c>
      <c r="E1749" s="1" t="s">
        <v>48</v>
      </c>
      <c r="F1749" s="1" t="s">
        <v>38</v>
      </c>
      <c r="G1749" s="2">
        <v>45662</v>
      </c>
      <c r="H1749" s="2"/>
      <c r="I1749" s="1" t="s">
        <v>32</v>
      </c>
      <c r="L1749">
        <v>7</v>
      </c>
      <c r="M1749" s="1" t="s">
        <v>40</v>
      </c>
      <c r="N1749" s="2">
        <v>45658</v>
      </c>
      <c r="O1749">
        <v>2025</v>
      </c>
      <c r="P1749">
        <v>1</v>
      </c>
      <c r="Q1749" s="1" t="s">
        <v>33</v>
      </c>
    </row>
    <row r="1750" spans="1:17" x14ac:dyDescent="0.3">
      <c r="A1750" s="1" t="s">
        <v>1815</v>
      </c>
      <c r="B1750" s="1" t="s">
        <v>26</v>
      </c>
      <c r="C1750" s="1" t="s">
        <v>67</v>
      </c>
      <c r="D1750" s="1" t="s">
        <v>20</v>
      </c>
      <c r="E1750" s="1" t="s">
        <v>21</v>
      </c>
      <c r="F1750" s="1" t="s">
        <v>38</v>
      </c>
      <c r="G1750" s="2">
        <v>45893</v>
      </c>
      <c r="H1750" s="2">
        <v>45906</v>
      </c>
      <c r="I1750" s="1" t="s">
        <v>82</v>
      </c>
      <c r="J1750">
        <v>5</v>
      </c>
      <c r="K1750">
        <v>13</v>
      </c>
      <c r="L1750">
        <v>14</v>
      </c>
      <c r="M1750" s="1" t="s">
        <v>24</v>
      </c>
      <c r="N1750" s="2">
        <v>45870</v>
      </c>
      <c r="O1750">
        <v>2025</v>
      </c>
      <c r="P1750">
        <v>3</v>
      </c>
      <c r="Q1750" s="1" t="s">
        <v>24</v>
      </c>
    </row>
    <row r="1751" spans="1:17" x14ac:dyDescent="0.3">
      <c r="A1751" s="1" t="s">
        <v>1816</v>
      </c>
      <c r="B1751" s="1" t="s">
        <v>42</v>
      </c>
      <c r="C1751" s="1" t="s">
        <v>81</v>
      </c>
      <c r="D1751" s="1" t="s">
        <v>44</v>
      </c>
      <c r="E1751" s="1" t="s">
        <v>21</v>
      </c>
      <c r="F1751" s="1" t="s">
        <v>38</v>
      </c>
      <c r="G1751" s="2">
        <v>45699</v>
      </c>
      <c r="H1751" s="2">
        <v>45701</v>
      </c>
      <c r="I1751" s="1" t="s">
        <v>23</v>
      </c>
      <c r="J1751">
        <v>2</v>
      </c>
      <c r="K1751">
        <v>2</v>
      </c>
      <c r="L1751">
        <v>7</v>
      </c>
      <c r="M1751" s="1" t="s">
        <v>24</v>
      </c>
      <c r="N1751" s="2">
        <v>45689</v>
      </c>
      <c r="O1751">
        <v>2025</v>
      </c>
      <c r="P1751">
        <v>1</v>
      </c>
      <c r="Q1751" s="1" t="s">
        <v>24</v>
      </c>
    </row>
    <row r="1752" spans="1:17" x14ac:dyDescent="0.3">
      <c r="A1752" s="1" t="s">
        <v>1817</v>
      </c>
      <c r="B1752" s="1" t="s">
        <v>58</v>
      </c>
      <c r="C1752" s="1" t="s">
        <v>108</v>
      </c>
      <c r="D1752" s="1" t="s">
        <v>20</v>
      </c>
      <c r="E1752" s="1" t="s">
        <v>21</v>
      </c>
      <c r="F1752" s="1" t="s">
        <v>61</v>
      </c>
      <c r="G1752" s="2">
        <v>45856</v>
      </c>
      <c r="H1752" s="2">
        <v>45864</v>
      </c>
      <c r="I1752" s="1" t="s">
        <v>39</v>
      </c>
      <c r="J1752">
        <v>4</v>
      </c>
      <c r="K1752">
        <v>8</v>
      </c>
      <c r="L1752">
        <v>14</v>
      </c>
      <c r="M1752" s="1" t="s">
        <v>24</v>
      </c>
      <c r="N1752" s="2">
        <v>45839</v>
      </c>
      <c r="O1752">
        <v>2025</v>
      </c>
      <c r="P1752">
        <v>3</v>
      </c>
      <c r="Q1752" s="1" t="s">
        <v>24</v>
      </c>
    </row>
    <row r="1753" spans="1:17" x14ac:dyDescent="0.3">
      <c r="A1753" s="1" t="s">
        <v>1818</v>
      </c>
      <c r="B1753" s="1" t="s">
        <v>63</v>
      </c>
      <c r="C1753" s="1" t="s">
        <v>89</v>
      </c>
      <c r="D1753" s="1" t="s">
        <v>51</v>
      </c>
      <c r="E1753" s="1" t="s">
        <v>21</v>
      </c>
      <c r="F1753" s="1" t="s">
        <v>22</v>
      </c>
      <c r="G1753" s="2">
        <v>45805</v>
      </c>
      <c r="H1753" s="2">
        <v>45807</v>
      </c>
      <c r="I1753" s="1" t="s">
        <v>23</v>
      </c>
      <c r="J1753">
        <v>4</v>
      </c>
      <c r="K1753">
        <v>2</v>
      </c>
      <c r="L1753">
        <v>10</v>
      </c>
      <c r="M1753" s="1" t="s">
        <v>24</v>
      </c>
      <c r="N1753" s="2">
        <v>45778</v>
      </c>
      <c r="O1753">
        <v>2025</v>
      </c>
      <c r="P1753">
        <v>2</v>
      </c>
      <c r="Q1753" s="1" t="s">
        <v>24</v>
      </c>
    </row>
    <row r="1754" spans="1:17" x14ac:dyDescent="0.3">
      <c r="A1754" s="1" t="s">
        <v>1819</v>
      </c>
      <c r="B1754" s="1" t="s">
        <v>42</v>
      </c>
      <c r="C1754" s="1" t="s">
        <v>76</v>
      </c>
      <c r="D1754" s="1" t="s">
        <v>71</v>
      </c>
      <c r="E1754" s="1" t="s">
        <v>21</v>
      </c>
      <c r="F1754" s="1" t="s">
        <v>38</v>
      </c>
      <c r="G1754" s="2">
        <v>45935</v>
      </c>
      <c r="H1754" s="2">
        <v>45936</v>
      </c>
      <c r="I1754" s="1" t="s">
        <v>28</v>
      </c>
      <c r="J1754">
        <v>5</v>
      </c>
      <c r="K1754">
        <v>1</v>
      </c>
      <c r="L1754">
        <v>3</v>
      </c>
      <c r="M1754" s="1" t="s">
        <v>24</v>
      </c>
      <c r="N1754" s="2">
        <v>45931</v>
      </c>
      <c r="O1754">
        <v>2025</v>
      </c>
      <c r="P1754">
        <v>4</v>
      </c>
      <c r="Q1754" s="1" t="s">
        <v>24</v>
      </c>
    </row>
    <row r="1755" spans="1:17" x14ac:dyDescent="0.3">
      <c r="A1755" s="1" t="s">
        <v>1820</v>
      </c>
      <c r="B1755" s="1" t="s">
        <v>63</v>
      </c>
      <c r="C1755" s="1" t="s">
        <v>84</v>
      </c>
      <c r="D1755" s="1" t="s">
        <v>44</v>
      </c>
      <c r="E1755" s="1" t="s">
        <v>21</v>
      </c>
      <c r="F1755" s="1" t="s">
        <v>52</v>
      </c>
      <c r="G1755" s="2">
        <v>45860</v>
      </c>
      <c r="H1755" s="2">
        <v>45866</v>
      </c>
      <c r="I1755" s="1" t="s">
        <v>82</v>
      </c>
      <c r="J1755">
        <v>5</v>
      </c>
      <c r="K1755">
        <v>6</v>
      </c>
      <c r="L1755">
        <v>7</v>
      </c>
      <c r="M1755" s="1" t="s">
        <v>24</v>
      </c>
      <c r="N1755" s="2">
        <v>45839</v>
      </c>
      <c r="O1755">
        <v>2025</v>
      </c>
      <c r="P1755">
        <v>3</v>
      </c>
      <c r="Q1755" s="1" t="s">
        <v>24</v>
      </c>
    </row>
    <row r="1756" spans="1:17" x14ac:dyDescent="0.3">
      <c r="A1756" s="1" t="s">
        <v>1821</v>
      </c>
      <c r="B1756" s="1" t="s">
        <v>58</v>
      </c>
      <c r="C1756" s="1" t="s">
        <v>59</v>
      </c>
      <c r="D1756" s="1" t="s">
        <v>20</v>
      </c>
      <c r="E1756" s="1" t="s">
        <v>21</v>
      </c>
      <c r="F1756" s="1" t="s">
        <v>38</v>
      </c>
      <c r="G1756" s="2">
        <v>45834</v>
      </c>
      <c r="H1756" s="2">
        <v>45848</v>
      </c>
      <c r="I1756" s="1" t="s">
        <v>32</v>
      </c>
      <c r="J1756">
        <v>3</v>
      </c>
      <c r="K1756">
        <v>14</v>
      </c>
      <c r="L1756">
        <v>14</v>
      </c>
      <c r="M1756" s="1" t="s">
        <v>24</v>
      </c>
      <c r="N1756" s="2">
        <v>45809</v>
      </c>
      <c r="O1756">
        <v>2025</v>
      </c>
      <c r="P1756">
        <v>2</v>
      </c>
      <c r="Q1756" s="1" t="s">
        <v>24</v>
      </c>
    </row>
    <row r="1757" spans="1:17" x14ac:dyDescent="0.3">
      <c r="A1757" s="1" t="s">
        <v>1822</v>
      </c>
      <c r="B1757" s="1" t="s">
        <v>35</v>
      </c>
      <c r="C1757" s="1" t="s">
        <v>36</v>
      </c>
      <c r="D1757" s="1" t="s">
        <v>20</v>
      </c>
      <c r="E1757" s="1" t="s">
        <v>21</v>
      </c>
      <c r="F1757" s="1" t="s">
        <v>31</v>
      </c>
      <c r="G1757" s="2">
        <v>45834</v>
      </c>
      <c r="H1757" s="2">
        <v>45848</v>
      </c>
      <c r="I1757" s="1" t="s">
        <v>23</v>
      </c>
      <c r="J1757">
        <v>2</v>
      </c>
      <c r="K1757">
        <v>14</v>
      </c>
      <c r="L1757">
        <v>14</v>
      </c>
      <c r="M1757" s="1" t="s">
        <v>24</v>
      </c>
      <c r="N1757" s="2">
        <v>45809</v>
      </c>
      <c r="O1757">
        <v>2025</v>
      </c>
      <c r="P1757">
        <v>2</v>
      </c>
      <c r="Q1757" s="1" t="s">
        <v>24</v>
      </c>
    </row>
    <row r="1758" spans="1:17" x14ac:dyDescent="0.3">
      <c r="A1758" s="1" t="s">
        <v>1823</v>
      </c>
      <c r="B1758" s="1" t="s">
        <v>18</v>
      </c>
      <c r="C1758" s="1" t="s">
        <v>30</v>
      </c>
      <c r="D1758" s="1" t="s">
        <v>20</v>
      </c>
      <c r="E1758" s="1" t="s">
        <v>37</v>
      </c>
      <c r="F1758" s="1" t="s">
        <v>52</v>
      </c>
      <c r="G1758" s="2">
        <v>45703</v>
      </c>
      <c r="H1758" s="2"/>
      <c r="I1758" s="1" t="s">
        <v>82</v>
      </c>
      <c r="L1758">
        <v>14</v>
      </c>
      <c r="M1758" s="1" t="s">
        <v>40</v>
      </c>
      <c r="N1758" s="2">
        <v>45689</v>
      </c>
      <c r="O1758">
        <v>2025</v>
      </c>
      <c r="P1758">
        <v>1</v>
      </c>
      <c r="Q1758" s="1" t="s">
        <v>33</v>
      </c>
    </row>
    <row r="1759" spans="1:17" x14ac:dyDescent="0.3">
      <c r="A1759" s="1" t="s">
        <v>1824</v>
      </c>
      <c r="B1759" s="1" t="s">
        <v>35</v>
      </c>
      <c r="C1759" s="1" t="s">
        <v>99</v>
      </c>
      <c r="D1759" s="1" t="s">
        <v>51</v>
      </c>
      <c r="E1759" s="1" t="s">
        <v>21</v>
      </c>
      <c r="F1759" s="1" t="s">
        <v>31</v>
      </c>
      <c r="G1759" s="2">
        <v>45821</v>
      </c>
      <c r="H1759" s="2">
        <v>45830</v>
      </c>
      <c r="I1759" s="1" t="s">
        <v>32</v>
      </c>
      <c r="J1759">
        <v>4</v>
      </c>
      <c r="K1759">
        <v>9</v>
      </c>
      <c r="L1759">
        <v>10</v>
      </c>
      <c r="M1759" s="1" t="s">
        <v>24</v>
      </c>
      <c r="N1759" s="2">
        <v>45809</v>
      </c>
      <c r="O1759">
        <v>2025</v>
      </c>
      <c r="P1759">
        <v>2</v>
      </c>
      <c r="Q1759" s="1" t="s">
        <v>24</v>
      </c>
    </row>
    <row r="1760" spans="1:17" x14ac:dyDescent="0.3">
      <c r="A1760" s="1" t="s">
        <v>1825</v>
      </c>
      <c r="B1760" s="1" t="s">
        <v>58</v>
      </c>
      <c r="C1760" s="1" t="s">
        <v>59</v>
      </c>
      <c r="D1760" s="1" t="s">
        <v>44</v>
      </c>
      <c r="E1760" s="1" t="s">
        <v>21</v>
      </c>
      <c r="F1760" s="1" t="s">
        <v>38</v>
      </c>
      <c r="G1760" s="2">
        <v>45755</v>
      </c>
      <c r="H1760" s="2">
        <v>45757</v>
      </c>
      <c r="I1760" s="1" t="s">
        <v>32</v>
      </c>
      <c r="J1760">
        <v>4</v>
      </c>
      <c r="K1760">
        <v>2</v>
      </c>
      <c r="L1760">
        <v>7</v>
      </c>
      <c r="M1760" s="1" t="s">
        <v>24</v>
      </c>
      <c r="N1760" s="2">
        <v>45748</v>
      </c>
      <c r="O1760">
        <v>2025</v>
      </c>
      <c r="P1760">
        <v>2</v>
      </c>
      <c r="Q1760" s="1" t="s">
        <v>24</v>
      </c>
    </row>
    <row r="1761" spans="1:17" x14ac:dyDescent="0.3">
      <c r="A1761" s="1" t="s">
        <v>1826</v>
      </c>
      <c r="B1761" s="1" t="s">
        <v>58</v>
      </c>
      <c r="C1761" s="1" t="s">
        <v>145</v>
      </c>
      <c r="D1761" s="1" t="s">
        <v>44</v>
      </c>
      <c r="E1761" s="1" t="s">
        <v>21</v>
      </c>
      <c r="F1761" s="1" t="s">
        <v>31</v>
      </c>
      <c r="G1761" s="2">
        <v>45864</v>
      </c>
      <c r="H1761" s="2">
        <v>45868</v>
      </c>
      <c r="I1761" s="1" t="s">
        <v>39</v>
      </c>
      <c r="J1761">
        <v>5</v>
      </c>
      <c r="K1761">
        <v>4</v>
      </c>
      <c r="L1761">
        <v>7</v>
      </c>
      <c r="M1761" s="1" t="s">
        <v>24</v>
      </c>
      <c r="N1761" s="2">
        <v>45839</v>
      </c>
      <c r="O1761">
        <v>2025</v>
      </c>
      <c r="P1761">
        <v>3</v>
      </c>
      <c r="Q1761" s="1" t="s">
        <v>24</v>
      </c>
    </row>
    <row r="1762" spans="1:17" x14ac:dyDescent="0.3">
      <c r="A1762" s="1" t="s">
        <v>1827</v>
      </c>
      <c r="B1762" s="1" t="s">
        <v>63</v>
      </c>
      <c r="C1762" s="1" t="s">
        <v>64</v>
      </c>
      <c r="D1762" s="1" t="s">
        <v>44</v>
      </c>
      <c r="E1762" s="1" t="s">
        <v>21</v>
      </c>
      <c r="F1762" s="1" t="s">
        <v>52</v>
      </c>
      <c r="G1762" s="2">
        <v>45670</v>
      </c>
      <c r="H1762" s="2">
        <v>45677</v>
      </c>
      <c r="I1762" s="1" t="s">
        <v>39</v>
      </c>
      <c r="J1762">
        <v>3</v>
      </c>
      <c r="K1762">
        <v>7</v>
      </c>
      <c r="L1762">
        <v>7</v>
      </c>
      <c r="M1762" s="1" t="s">
        <v>24</v>
      </c>
      <c r="N1762" s="2">
        <v>45658</v>
      </c>
      <c r="O1762">
        <v>2025</v>
      </c>
      <c r="P1762">
        <v>1</v>
      </c>
      <c r="Q1762" s="1" t="s">
        <v>24</v>
      </c>
    </row>
    <row r="1763" spans="1:17" x14ac:dyDescent="0.3">
      <c r="A1763" s="1" t="s">
        <v>1828</v>
      </c>
      <c r="B1763" s="1" t="s">
        <v>18</v>
      </c>
      <c r="C1763" s="1" t="s">
        <v>47</v>
      </c>
      <c r="D1763" s="1" t="s">
        <v>51</v>
      </c>
      <c r="E1763" s="1" t="s">
        <v>21</v>
      </c>
      <c r="F1763" s="1" t="s">
        <v>61</v>
      </c>
      <c r="G1763" s="2">
        <v>45996</v>
      </c>
      <c r="H1763" s="2">
        <v>46000</v>
      </c>
      <c r="I1763" s="1" t="s">
        <v>28</v>
      </c>
      <c r="J1763">
        <v>3</v>
      </c>
      <c r="K1763">
        <v>4</v>
      </c>
      <c r="L1763">
        <v>10</v>
      </c>
      <c r="M1763" s="1" t="s">
        <v>24</v>
      </c>
      <c r="N1763" s="2">
        <v>45992</v>
      </c>
      <c r="O1763">
        <v>2025</v>
      </c>
      <c r="P1763">
        <v>4</v>
      </c>
      <c r="Q1763" s="1" t="s">
        <v>24</v>
      </c>
    </row>
    <row r="1764" spans="1:17" x14ac:dyDescent="0.3">
      <c r="A1764" s="1" t="s">
        <v>1829</v>
      </c>
      <c r="B1764" s="1" t="s">
        <v>42</v>
      </c>
      <c r="C1764" s="1" t="s">
        <v>81</v>
      </c>
      <c r="D1764" s="1" t="s">
        <v>51</v>
      </c>
      <c r="E1764" s="1" t="s">
        <v>21</v>
      </c>
      <c r="F1764" s="1" t="s">
        <v>31</v>
      </c>
      <c r="G1764" s="2">
        <v>45830</v>
      </c>
      <c r="H1764" s="2">
        <v>45835</v>
      </c>
      <c r="I1764" s="1" t="s">
        <v>28</v>
      </c>
      <c r="J1764">
        <v>1</v>
      </c>
      <c r="K1764">
        <v>5</v>
      </c>
      <c r="L1764">
        <v>10</v>
      </c>
      <c r="M1764" s="1" t="s">
        <v>24</v>
      </c>
      <c r="N1764" s="2">
        <v>45809</v>
      </c>
      <c r="O1764">
        <v>2025</v>
      </c>
      <c r="P1764">
        <v>2</v>
      </c>
      <c r="Q1764" s="1" t="s">
        <v>24</v>
      </c>
    </row>
    <row r="1765" spans="1:17" x14ac:dyDescent="0.3">
      <c r="A1765" s="1" t="s">
        <v>1830</v>
      </c>
      <c r="B1765" s="1" t="s">
        <v>35</v>
      </c>
      <c r="C1765" s="1" t="s">
        <v>97</v>
      </c>
      <c r="D1765" s="1" t="s">
        <v>20</v>
      </c>
      <c r="E1765" s="1" t="s">
        <v>21</v>
      </c>
      <c r="F1765" s="1" t="s">
        <v>61</v>
      </c>
      <c r="G1765" s="2">
        <v>45913</v>
      </c>
      <c r="H1765" s="2">
        <v>45922</v>
      </c>
      <c r="I1765" s="1" t="s">
        <v>39</v>
      </c>
      <c r="J1765">
        <v>4</v>
      </c>
      <c r="K1765">
        <v>9</v>
      </c>
      <c r="L1765">
        <v>14</v>
      </c>
      <c r="M1765" s="1" t="s">
        <v>24</v>
      </c>
      <c r="N1765" s="2">
        <v>45901</v>
      </c>
      <c r="O1765">
        <v>2025</v>
      </c>
      <c r="P1765">
        <v>3</v>
      </c>
      <c r="Q1765" s="1" t="s">
        <v>24</v>
      </c>
    </row>
    <row r="1766" spans="1:17" x14ac:dyDescent="0.3">
      <c r="A1766" s="1" t="s">
        <v>1831</v>
      </c>
      <c r="B1766" s="1" t="s">
        <v>18</v>
      </c>
      <c r="C1766" s="1" t="s">
        <v>19</v>
      </c>
      <c r="D1766" s="1" t="s">
        <v>51</v>
      </c>
      <c r="E1766" s="1" t="s">
        <v>21</v>
      </c>
      <c r="F1766" s="1" t="s">
        <v>61</v>
      </c>
      <c r="G1766" s="2">
        <v>45823</v>
      </c>
      <c r="H1766" s="2">
        <v>45832</v>
      </c>
      <c r="I1766" s="1" t="s">
        <v>28</v>
      </c>
      <c r="J1766">
        <v>4</v>
      </c>
      <c r="K1766">
        <v>9</v>
      </c>
      <c r="L1766">
        <v>10</v>
      </c>
      <c r="M1766" s="1" t="s">
        <v>24</v>
      </c>
      <c r="N1766" s="2">
        <v>45809</v>
      </c>
      <c r="O1766">
        <v>2025</v>
      </c>
      <c r="P1766">
        <v>2</v>
      </c>
      <c r="Q1766" s="1" t="s">
        <v>24</v>
      </c>
    </row>
    <row r="1767" spans="1:17" x14ac:dyDescent="0.3">
      <c r="A1767" s="1" t="s">
        <v>1832</v>
      </c>
      <c r="B1767" s="1" t="s">
        <v>26</v>
      </c>
      <c r="C1767" s="1" t="s">
        <v>27</v>
      </c>
      <c r="D1767" s="1" t="s">
        <v>44</v>
      </c>
      <c r="E1767" s="1" t="s">
        <v>21</v>
      </c>
      <c r="F1767" s="1" t="s">
        <v>52</v>
      </c>
      <c r="G1767" s="2">
        <v>45664</v>
      </c>
      <c r="H1767" s="2">
        <v>45667</v>
      </c>
      <c r="I1767" s="1" t="s">
        <v>32</v>
      </c>
      <c r="J1767">
        <v>4</v>
      </c>
      <c r="K1767">
        <v>3</v>
      </c>
      <c r="L1767">
        <v>7</v>
      </c>
      <c r="M1767" s="1" t="s">
        <v>24</v>
      </c>
      <c r="N1767" s="2">
        <v>45658</v>
      </c>
      <c r="O1767">
        <v>2025</v>
      </c>
      <c r="P1767">
        <v>1</v>
      </c>
      <c r="Q1767" s="1" t="s">
        <v>24</v>
      </c>
    </row>
    <row r="1768" spans="1:17" x14ac:dyDescent="0.3">
      <c r="A1768" s="1" t="s">
        <v>1833</v>
      </c>
      <c r="B1768" s="1" t="s">
        <v>18</v>
      </c>
      <c r="C1768" s="1" t="s">
        <v>30</v>
      </c>
      <c r="D1768" s="1" t="s">
        <v>51</v>
      </c>
      <c r="E1768" s="1" t="s">
        <v>21</v>
      </c>
      <c r="F1768" s="1" t="s">
        <v>52</v>
      </c>
      <c r="G1768" s="2">
        <v>45929</v>
      </c>
      <c r="H1768" s="2">
        <v>45935</v>
      </c>
      <c r="I1768" s="1" t="s">
        <v>28</v>
      </c>
      <c r="J1768">
        <v>4</v>
      </c>
      <c r="K1768">
        <v>6</v>
      </c>
      <c r="L1768">
        <v>10</v>
      </c>
      <c r="M1768" s="1" t="s">
        <v>24</v>
      </c>
      <c r="N1768" s="2">
        <v>45901</v>
      </c>
      <c r="O1768">
        <v>2025</v>
      </c>
      <c r="P1768">
        <v>3</v>
      </c>
      <c r="Q1768" s="1" t="s">
        <v>24</v>
      </c>
    </row>
    <row r="1769" spans="1:17" x14ac:dyDescent="0.3">
      <c r="A1769" s="1" t="s">
        <v>1834</v>
      </c>
      <c r="B1769" s="1" t="s">
        <v>35</v>
      </c>
      <c r="C1769" s="1" t="s">
        <v>50</v>
      </c>
      <c r="D1769" s="1" t="s">
        <v>20</v>
      </c>
      <c r="E1769" s="1" t="s">
        <v>21</v>
      </c>
      <c r="F1769" s="1" t="s">
        <v>52</v>
      </c>
      <c r="G1769" s="2">
        <v>45871</v>
      </c>
      <c r="H1769" s="2">
        <v>45877</v>
      </c>
      <c r="I1769" s="1" t="s">
        <v>28</v>
      </c>
      <c r="J1769">
        <v>3</v>
      </c>
      <c r="K1769">
        <v>6</v>
      </c>
      <c r="L1769">
        <v>14</v>
      </c>
      <c r="M1769" s="1" t="s">
        <v>24</v>
      </c>
      <c r="N1769" s="2">
        <v>45870</v>
      </c>
      <c r="O1769">
        <v>2025</v>
      </c>
      <c r="P1769">
        <v>3</v>
      </c>
      <c r="Q1769" s="1" t="s">
        <v>24</v>
      </c>
    </row>
    <row r="1770" spans="1:17" x14ac:dyDescent="0.3">
      <c r="A1770" s="1" t="s">
        <v>1835</v>
      </c>
      <c r="B1770" s="1" t="s">
        <v>35</v>
      </c>
      <c r="C1770" s="1" t="s">
        <v>50</v>
      </c>
      <c r="D1770" s="1" t="s">
        <v>44</v>
      </c>
      <c r="E1770" s="1" t="s">
        <v>21</v>
      </c>
      <c r="F1770" s="1" t="s">
        <v>61</v>
      </c>
      <c r="G1770" s="2">
        <v>45953</v>
      </c>
      <c r="H1770" s="2">
        <v>45960</v>
      </c>
      <c r="I1770" s="1" t="s">
        <v>28</v>
      </c>
      <c r="J1770">
        <v>4</v>
      </c>
      <c r="K1770">
        <v>7</v>
      </c>
      <c r="L1770">
        <v>7</v>
      </c>
      <c r="M1770" s="1" t="s">
        <v>24</v>
      </c>
      <c r="N1770" s="2">
        <v>45931</v>
      </c>
      <c r="O1770">
        <v>2025</v>
      </c>
      <c r="P1770">
        <v>4</v>
      </c>
      <c r="Q1770" s="1" t="s">
        <v>24</v>
      </c>
    </row>
    <row r="1771" spans="1:17" x14ac:dyDescent="0.3">
      <c r="A1771" s="1" t="s">
        <v>1836</v>
      </c>
      <c r="B1771" s="1" t="s">
        <v>35</v>
      </c>
      <c r="C1771" s="1" t="s">
        <v>36</v>
      </c>
      <c r="D1771" s="1" t="s">
        <v>44</v>
      </c>
      <c r="E1771" s="1" t="s">
        <v>21</v>
      </c>
      <c r="F1771" s="1" t="s">
        <v>38</v>
      </c>
      <c r="G1771" s="2">
        <v>45785</v>
      </c>
      <c r="H1771" s="2">
        <v>45789</v>
      </c>
      <c r="I1771" s="1" t="s">
        <v>32</v>
      </c>
      <c r="J1771">
        <v>4</v>
      </c>
      <c r="K1771">
        <v>4</v>
      </c>
      <c r="L1771">
        <v>7</v>
      </c>
      <c r="M1771" s="1" t="s">
        <v>24</v>
      </c>
      <c r="N1771" s="2">
        <v>45778</v>
      </c>
      <c r="O1771">
        <v>2025</v>
      </c>
      <c r="P1771">
        <v>2</v>
      </c>
      <c r="Q1771" s="1" t="s">
        <v>24</v>
      </c>
    </row>
    <row r="1772" spans="1:17" x14ac:dyDescent="0.3">
      <c r="A1772" s="1" t="s">
        <v>1837</v>
      </c>
      <c r="B1772" s="1" t="s">
        <v>26</v>
      </c>
      <c r="C1772" s="1" t="s">
        <v>67</v>
      </c>
      <c r="D1772" s="1" t="s">
        <v>51</v>
      </c>
      <c r="E1772" s="1" t="s">
        <v>21</v>
      </c>
      <c r="F1772" s="1" t="s">
        <v>31</v>
      </c>
      <c r="G1772" s="2">
        <v>45822</v>
      </c>
      <c r="H1772" s="2">
        <v>45825</v>
      </c>
      <c r="I1772" s="1" t="s">
        <v>82</v>
      </c>
      <c r="J1772">
        <v>4</v>
      </c>
      <c r="K1772">
        <v>3</v>
      </c>
      <c r="L1772">
        <v>10</v>
      </c>
      <c r="M1772" s="1" t="s">
        <v>24</v>
      </c>
      <c r="N1772" s="2">
        <v>45809</v>
      </c>
      <c r="O1772">
        <v>2025</v>
      </c>
      <c r="P1772">
        <v>2</v>
      </c>
      <c r="Q1772" s="1" t="s">
        <v>24</v>
      </c>
    </row>
    <row r="1773" spans="1:17" x14ac:dyDescent="0.3">
      <c r="A1773" s="1" t="s">
        <v>1838</v>
      </c>
      <c r="B1773" s="1" t="s">
        <v>18</v>
      </c>
      <c r="C1773" s="1" t="s">
        <v>56</v>
      </c>
      <c r="D1773" s="1" t="s">
        <v>20</v>
      </c>
      <c r="E1773" s="1" t="s">
        <v>21</v>
      </c>
      <c r="F1773" s="1" t="s">
        <v>61</v>
      </c>
      <c r="G1773" s="2">
        <v>45756</v>
      </c>
      <c r="H1773" s="2">
        <v>45771</v>
      </c>
      <c r="I1773" s="1" t="s">
        <v>32</v>
      </c>
      <c r="J1773">
        <v>5</v>
      </c>
      <c r="K1773">
        <v>15</v>
      </c>
      <c r="L1773">
        <v>14</v>
      </c>
      <c r="M1773" s="1" t="s">
        <v>33</v>
      </c>
      <c r="N1773" s="2">
        <v>45748</v>
      </c>
      <c r="O1773">
        <v>2025</v>
      </c>
      <c r="P1773">
        <v>2</v>
      </c>
      <c r="Q1773" s="1" t="s">
        <v>24</v>
      </c>
    </row>
    <row r="1774" spans="1:17" x14ac:dyDescent="0.3">
      <c r="A1774" s="1" t="s">
        <v>1839</v>
      </c>
      <c r="B1774" s="1" t="s">
        <v>42</v>
      </c>
      <c r="C1774" s="1" t="s">
        <v>87</v>
      </c>
      <c r="D1774" s="1" t="s">
        <v>20</v>
      </c>
      <c r="E1774" s="1" t="s">
        <v>21</v>
      </c>
      <c r="F1774" s="1" t="s">
        <v>31</v>
      </c>
      <c r="G1774" s="2">
        <v>45825</v>
      </c>
      <c r="H1774" s="2">
        <v>45833</v>
      </c>
      <c r="I1774" s="1" t="s">
        <v>82</v>
      </c>
      <c r="J1774">
        <v>5</v>
      </c>
      <c r="K1774">
        <v>8</v>
      </c>
      <c r="L1774">
        <v>14</v>
      </c>
      <c r="M1774" s="1" t="s">
        <v>24</v>
      </c>
      <c r="N1774" s="2">
        <v>45809</v>
      </c>
      <c r="O1774">
        <v>2025</v>
      </c>
      <c r="P1774">
        <v>2</v>
      </c>
      <c r="Q1774" s="1" t="s">
        <v>24</v>
      </c>
    </row>
    <row r="1775" spans="1:17" x14ac:dyDescent="0.3">
      <c r="A1775" s="1" t="s">
        <v>1840</v>
      </c>
      <c r="B1775" s="1" t="s">
        <v>63</v>
      </c>
      <c r="C1775" s="1" t="s">
        <v>84</v>
      </c>
      <c r="D1775" s="1" t="s">
        <v>71</v>
      </c>
      <c r="E1775" s="1" t="s">
        <v>21</v>
      </c>
      <c r="F1775" s="1" t="s">
        <v>61</v>
      </c>
      <c r="G1775" s="2">
        <v>45818</v>
      </c>
      <c r="H1775" s="2">
        <v>45819</v>
      </c>
      <c r="I1775" s="1" t="s">
        <v>82</v>
      </c>
      <c r="J1775">
        <v>5</v>
      </c>
      <c r="K1775">
        <v>1</v>
      </c>
      <c r="L1775">
        <v>3</v>
      </c>
      <c r="M1775" s="1" t="s">
        <v>24</v>
      </c>
      <c r="N1775" s="2">
        <v>45809</v>
      </c>
      <c r="O1775">
        <v>2025</v>
      </c>
      <c r="P1775">
        <v>2</v>
      </c>
      <c r="Q1775" s="1" t="s">
        <v>24</v>
      </c>
    </row>
    <row r="1776" spans="1:17" x14ac:dyDescent="0.3">
      <c r="A1776" s="1" t="s">
        <v>1841</v>
      </c>
      <c r="B1776" s="1" t="s">
        <v>26</v>
      </c>
      <c r="C1776" s="1" t="s">
        <v>67</v>
      </c>
      <c r="D1776" s="1" t="s">
        <v>51</v>
      </c>
      <c r="E1776" s="1" t="s">
        <v>21</v>
      </c>
      <c r="F1776" s="1" t="s">
        <v>52</v>
      </c>
      <c r="G1776" s="2">
        <v>45757</v>
      </c>
      <c r="H1776" s="2">
        <v>45767</v>
      </c>
      <c r="I1776" s="1" t="s">
        <v>28</v>
      </c>
      <c r="J1776">
        <v>5</v>
      </c>
      <c r="K1776">
        <v>10</v>
      </c>
      <c r="L1776">
        <v>10</v>
      </c>
      <c r="M1776" s="1" t="s">
        <v>24</v>
      </c>
      <c r="N1776" s="2">
        <v>45748</v>
      </c>
      <c r="O1776">
        <v>2025</v>
      </c>
      <c r="P1776">
        <v>2</v>
      </c>
      <c r="Q1776" s="1" t="s">
        <v>24</v>
      </c>
    </row>
    <row r="1777" spans="1:17" x14ac:dyDescent="0.3">
      <c r="A1777" s="1" t="s">
        <v>1842</v>
      </c>
      <c r="B1777" s="1" t="s">
        <v>58</v>
      </c>
      <c r="C1777" s="1" t="s">
        <v>145</v>
      </c>
      <c r="D1777" s="1" t="s">
        <v>44</v>
      </c>
      <c r="E1777" s="1" t="s">
        <v>37</v>
      </c>
      <c r="F1777" s="1" t="s">
        <v>52</v>
      </c>
      <c r="G1777" s="2">
        <v>45810</v>
      </c>
      <c r="H1777" s="2"/>
      <c r="I1777" s="1" t="s">
        <v>28</v>
      </c>
      <c r="L1777">
        <v>7</v>
      </c>
      <c r="M1777" s="1" t="s">
        <v>40</v>
      </c>
      <c r="N1777" s="2">
        <v>45809</v>
      </c>
      <c r="O1777">
        <v>2025</v>
      </c>
      <c r="P1777">
        <v>2</v>
      </c>
      <c r="Q1777" s="1" t="s">
        <v>33</v>
      </c>
    </row>
    <row r="1778" spans="1:17" x14ac:dyDescent="0.3">
      <c r="A1778" s="1" t="s">
        <v>1843</v>
      </c>
      <c r="B1778" s="1" t="s">
        <v>63</v>
      </c>
      <c r="C1778" s="1" t="s">
        <v>84</v>
      </c>
      <c r="D1778" s="1" t="s">
        <v>20</v>
      </c>
      <c r="E1778" s="1" t="s">
        <v>21</v>
      </c>
      <c r="F1778" s="1" t="s">
        <v>61</v>
      </c>
      <c r="G1778" s="2">
        <v>45873</v>
      </c>
      <c r="H1778" s="2">
        <v>45877</v>
      </c>
      <c r="I1778" s="1" t="s">
        <v>39</v>
      </c>
      <c r="J1778">
        <v>4</v>
      </c>
      <c r="K1778">
        <v>4</v>
      </c>
      <c r="L1778">
        <v>14</v>
      </c>
      <c r="M1778" s="1" t="s">
        <v>24</v>
      </c>
      <c r="N1778" s="2">
        <v>45870</v>
      </c>
      <c r="O1778">
        <v>2025</v>
      </c>
      <c r="P1778">
        <v>3</v>
      </c>
      <c r="Q1778" s="1" t="s">
        <v>24</v>
      </c>
    </row>
    <row r="1779" spans="1:17" x14ac:dyDescent="0.3">
      <c r="A1779" s="1" t="s">
        <v>1844</v>
      </c>
      <c r="B1779" s="1" t="s">
        <v>18</v>
      </c>
      <c r="C1779" s="1" t="s">
        <v>30</v>
      </c>
      <c r="D1779" s="1" t="s">
        <v>51</v>
      </c>
      <c r="E1779" s="1" t="s">
        <v>21</v>
      </c>
      <c r="F1779" s="1" t="s">
        <v>31</v>
      </c>
      <c r="G1779" s="2">
        <v>45818</v>
      </c>
      <c r="H1779" s="2">
        <v>45821</v>
      </c>
      <c r="I1779" s="1" t="s">
        <v>32</v>
      </c>
      <c r="J1779">
        <v>5</v>
      </c>
      <c r="K1779">
        <v>3</v>
      </c>
      <c r="L1779">
        <v>10</v>
      </c>
      <c r="M1779" s="1" t="s">
        <v>24</v>
      </c>
      <c r="N1779" s="2">
        <v>45809</v>
      </c>
      <c r="O1779">
        <v>2025</v>
      </c>
      <c r="P1779">
        <v>2</v>
      </c>
      <c r="Q1779" s="1" t="s">
        <v>24</v>
      </c>
    </row>
    <row r="1780" spans="1:17" x14ac:dyDescent="0.3">
      <c r="A1780" s="1" t="s">
        <v>1845</v>
      </c>
      <c r="B1780" s="1" t="s">
        <v>63</v>
      </c>
      <c r="C1780" s="1" t="s">
        <v>89</v>
      </c>
      <c r="D1780" s="1" t="s">
        <v>51</v>
      </c>
      <c r="E1780" s="1" t="s">
        <v>21</v>
      </c>
      <c r="F1780" s="1" t="s">
        <v>52</v>
      </c>
      <c r="G1780" s="2">
        <v>45823</v>
      </c>
      <c r="H1780" s="2">
        <v>45825</v>
      </c>
      <c r="I1780" s="1" t="s">
        <v>82</v>
      </c>
      <c r="J1780">
        <v>3</v>
      </c>
      <c r="K1780">
        <v>2</v>
      </c>
      <c r="L1780">
        <v>10</v>
      </c>
      <c r="M1780" s="1" t="s">
        <v>24</v>
      </c>
      <c r="N1780" s="2">
        <v>45809</v>
      </c>
      <c r="O1780">
        <v>2025</v>
      </c>
      <c r="P1780">
        <v>2</v>
      </c>
      <c r="Q1780" s="1" t="s">
        <v>24</v>
      </c>
    </row>
    <row r="1781" spans="1:17" x14ac:dyDescent="0.3">
      <c r="A1781" s="1" t="s">
        <v>1846</v>
      </c>
      <c r="B1781" s="1" t="s">
        <v>58</v>
      </c>
      <c r="C1781" s="1" t="s">
        <v>59</v>
      </c>
      <c r="D1781" s="1" t="s">
        <v>20</v>
      </c>
      <c r="E1781" s="1" t="s">
        <v>37</v>
      </c>
      <c r="F1781" s="1" t="s">
        <v>22</v>
      </c>
      <c r="G1781" s="2">
        <v>45850</v>
      </c>
      <c r="H1781" s="2"/>
      <c r="I1781" s="1" t="s">
        <v>23</v>
      </c>
      <c r="L1781">
        <v>14</v>
      </c>
      <c r="M1781" s="1" t="s">
        <v>40</v>
      </c>
      <c r="N1781" s="2">
        <v>45839</v>
      </c>
      <c r="O1781">
        <v>2025</v>
      </c>
      <c r="P1781">
        <v>3</v>
      </c>
      <c r="Q1781" s="1" t="s">
        <v>33</v>
      </c>
    </row>
    <row r="1782" spans="1:17" x14ac:dyDescent="0.3">
      <c r="A1782" s="1" t="s">
        <v>1847</v>
      </c>
      <c r="B1782" s="1" t="s">
        <v>18</v>
      </c>
      <c r="C1782" s="1" t="s">
        <v>30</v>
      </c>
      <c r="D1782" s="1" t="s">
        <v>51</v>
      </c>
      <c r="E1782" s="1" t="s">
        <v>21</v>
      </c>
      <c r="F1782" s="1" t="s">
        <v>52</v>
      </c>
      <c r="G1782" s="2">
        <v>45825</v>
      </c>
      <c r="H1782" s="2">
        <v>45827</v>
      </c>
      <c r="I1782" s="1" t="s">
        <v>82</v>
      </c>
      <c r="J1782">
        <v>4</v>
      </c>
      <c r="K1782">
        <v>2</v>
      </c>
      <c r="L1782">
        <v>10</v>
      </c>
      <c r="M1782" s="1" t="s">
        <v>24</v>
      </c>
      <c r="N1782" s="2">
        <v>45809</v>
      </c>
      <c r="O1782">
        <v>2025</v>
      </c>
      <c r="P1782">
        <v>2</v>
      </c>
      <c r="Q1782" s="1" t="s">
        <v>24</v>
      </c>
    </row>
    <row r="1783" spans="1:17" x14ac:dyDescent="0.3">
      <c r="A1783" s="1" t="s">
        <v>1848</v>
      </c>
      <c r="B1783" s="1" t="s">
        <v>26</v>
      </c>
      <c r="C1783" s="1" t="s">
        <v>67</v>
      </c>
      <c r="D1783" s="1" t="s">
        <v>44</v>
      </c>
      <c r="E1783" s="1" t="s">
        <v>21</v>
      </c>
      <c r="F1783" s="1" t="s">
        <v>38</v>
      </c>
      <c r="G1783" s="2">
        <v>45725</v>
      </c>
      <c r="H1783" s="2">
        <v>45729</v>
      </c>
      <c r="I1783" s="1" t="s">
        <v>28</v>
      </c>
      <c r="J1783">
        <v>2</v>
      </c>
      <c r="K1783">
        <v>4</v>
      </c>
      <c r="L1783">
        <v>7</v>
      </c>
      <c r="M1783" s="1" t="s">
        <v>24</v>
      </c>
      <c r="N1783" s="2">
        <v>45717</v>
      </c>
      <c r="O1783">
        <v>2025</v>
      </c>
      <c r="P1783">
        <v>1</v>
      </c>
      <c r="Q1783" s="1" t="s">
        <v>24</v>
      </c>
    </row>
    <row r="1784" spans="1:17" x14ac:dyDescent="0.3">
      <c r="A1784" s="1" t="s">
        <v>1849</v>
      </c>
      <c r="B1784" s="1" t="s">
        <v>63</v>
      </c>
      <c r="C1784" s="1" t="s">
        <v>74</v>
      </c>
      <c r="D1784" s="1" t="s">
        <v>51</v>
      </c>
      <c r="E1784" s="1" t="s">
        <v>48</v>
      </c>
      <c r="F1784" s="1" t="s">
        <v>38</v>
      </c>
      <c r="G1784" s="2">
        <v>45778</v>
      </c>
      <c r="H1784" s="2"/>
      <c r="I1784" s="1" t="s">
        <v>32</v>
      </c>
      <c r="L1784">
        <v>10</v>
      </c>
      <c r="M1784" s="1" t="s">
        <v>40</v>
      </c>
      <c r="N1784" s="2">
        <v>45778</v>
      </c>
      <c r="O1784">
        <v>2025</v>
      </c>
      <c r="P1784">
        <v>2</v>
      </c>
      <c r="Q1784" s="1" t="s">
        <v>33</v>
      </c>
    </row>
    <row r="1785" spans="1:17" x14ac:dyDescent="0.3">
      <c r="A1785" s="1" t="s">
        <v>1850</v>
      </c>
      <c r="B1785" s="1" t="s">
        <v>35</v>
      </c>
      <c r="C1785" s="1" t="s">
        <v>97</v>
      </c>
      <c r="D1785" s="1" t="s">
        <v>20</v>
      </c>
      <c r="E1785" s="1" t="s">
        <v>21</v>
      </c>
      <c r="F1785" s="1" t="s">
        <v>38</v>
      </c>
      <c r="G1785" s="2">
        <v>45693</v>
      </c>
      <c r="H1785" s="2">
        <v>45703</v>
      </c>
      <c r="I1785" s="1" t="s">
        <v>82</v>
      </c>
      <c r="J1785">
        <v>4</v>
      </c>
      <c r="K1785">
        <v>10</v>
      </c>
      <c r="L1785">
        <v>14</v>
      </c>
      <c r="M1785" s="1" t="s">
        <v>24</v>
      </c>
      <c r="N1785" s="2">
        <v>45689</v>
      </c>
      <c r="O1785">
        <v>2025</v>
      </c>
      <c r="P1785">
        <v>1</v>
      </c>
      <c r="Q1785" s="1" t="s">
        <v>24</v>
      </c>
    </row>
    <row r="1786" spans="1:17" x14ac:dyDescent="0.3">
      <c r="A1786" s="1" t="s">
        <v>1851</v>
      </c>
      <c r="B1786" s="1" t="s">
        <v>58</v>
      </c>
      <c r="C1786" s="1" t="s">
        <v>145</v>
      </c>
      <c r="D1786" s="1" t="s">
        <v>51</v>
      </c>
      <c r="E1786" s="1" t="s">
        <v>21</v>
      </c>
      <c r="F1786" s="1" t="s">
        <v>38</v>
      </c>
      <c r="G1786" s="2">
        <v>45703</v>
      </c>
      <c r="H1786" s="2">
        <v>45708</v>
      </c>
      <c r="I1786" s="1" t="s">
        <v>32</v>
      </c>
      <c r="J1786">
        <v>4</v>
      </c>
      <c r="K1786">
        <v>5</v>
      </c>
      <c r="L1786">
        <v>10</v>
      </c>
      <c r="M1786" s="1" t="s">
        <v>24</v>
      </c>
      <c r="N1786" s="2">
        <v>45689</v>
      </c>
      <c r="O1786">
        <v>2025</v>
      </c>
      <c r="P1786">
        <v>1</v>
      </c>
      <c r="Q1786" s="1" t="s">
        <v>24</v>
      </c>
    </row>
    <row r="1787" spans="1:17" x14ac:dyDescent="0.3">
      <c r="A1787" s="1" t="s">
        <v>1852</v>
      </c>
      <c r="B1787" s="1" t="s">
        <v>63</v>
      </c>
      <c r="C1787" s="1" t="s">
        <v>64</v>
      </c>
      <c r="D1787" s="1" t="s">
        <v>20</v>
      </c>
      <c r="E1787" s="1" t="s">
        <v>21</v>
      </c>
      <c r="F1787" s="1" t="s">
        <v>61</v>
      </c>
      <c r="G1787" s="2">
        <v>45670</v>
      </c>
      <c r="H1787" s="2">
        <v>45673</v>
      </c>
      <c r="I1787" s="1" t="s">
        <v>39</v>
      </c>
      <c r="J1787">
        <v>4</v>
      </c>
      <c r="K1787">
        <v>3</v>
      </c>
      <c r="L1787">
        <v>14</v>
      </c>
      <c r="M1787" s="1" t="s">
        <v>24</v>
      </c>
      <c r="N1787" s="2">
        <v>45658</v>
      </c>
      <c r="O1787">
        <v>2025</v>
      </c>
      <c r="P1787">
        <v>1</v>
      </c>
      <c r="Q1787" s="1" t="s">
        <v>24</v>
      </c>
    </row>
    <row r="1788" spans="1:17" x14ac:dyDescent="0.3">
      <c r="A1788" s="1" t="s">
        <v>1853</v>
      </c>
      <c r="B1788" s="1" t="s">
        <v>42</v>
      </c>
      <c r="C1788" s="1" t="s">
        <v>81</v>
      </c>
      <c r="D1788" s="1" t="s">
        <v>20</v>
      </c>
      <c r="E1788" s="1" t="s">
        <v>21</v>
      </c>
      <c r="F1788" s="1" t="s">
        <v>52</v>
      </c>
      <c r="G1788" s="2">
        <v>45736</v>
      </c>
      <c r="H1788" s="2">
        <v>45741</v>
      </c>
      <c r="I1788" s="1" t="s">
        <v>39</v>
      </c>
      <c r="J1788">
        <v>4</v>
      </c>
      <c r="K1788">
        <v>5</v>
      </c>
      <c r="L1788">
        <v>14</v>
      </c>
      <c r="M1788" s="1" t="s">
        <v>24</v>
      </c>
      <c r="N1788" s="2">
        <v>45717</v>
      </c>
      <c r="O1788">
        <v>2025</v>
      </c>
      <c r="P1788">
        <v>1</v>
      </c>
      <c r="Q1788" s="1" t="s">
        <v>24</v>
      </c>
    </row>
    <row r="1789" spans="1:17" x14ac:dyDescent="0.3">
      <c r="A1789" s="1" t="s">
        <v>1854</v>
      </c>
      <c r="B1789" s="1" t="s">
        <v>18</v>
      </c>
      <c r="C1789" s="1" t="s">
        <v>30</v>
      </c>
      <c r="D1789" s="1" t="s">
        <v>20</v>
      </c>
      <c r="E1789" s="1" t="s">
        <v>37</v>
      </c>
      <c r="F1789" s="1" t="s">
        <v>38</v>
      </c>
      <c r="G1789" s="2">
        <v>45910</v>
      </c>
      <c r="H1789" s="2"/>
      <c r="I1789" s="1" t="s">
        <v>39</v>
      </c>
      <c r="L1789">
        <v>14</v>
      </c>
      <c r="M1789" s="1" t="s">
        <v>40</v>
      </c>
      <c r="N1789" s="2">
        <v>45901</v>
      </c>
      <c r="O1789">
        <v>2025</v>
      </c>
      <c r="P1789">
        <v>3</v>
      </c>
      <c r="Q1789" s="1" t="s">
        <v>33</v>
      </c>
    </row>
    <row r="1790" spans="1:17" x14ac:dyDescent="0.3">
      <c r="A1790" s="1" t="s">
        <v>1855</v>
      </c>
      <c r="B1790" s="1" t="s">
        <v>26</v>
      </c>
      <c r="C1790" s="1" t="s">
        <v>67</v>
      </c>
      <c r="D1790" s="1" t="s">
        <v>20</v>
      </c>
      <c r="E1790" s="1" t="s">
        <v>21</v>
      </c>
      <c r="F1790" s="1" t="s">
        <v>38</v>
      </c>
      <c r="G1790" s="2">
        <v>45764</v>
      </c>
      <c r="H1790" s="2">
        <v>45770</v>
      </c>
      <c r="I1790" s="1" t="s">
        <v>32</v>
      </c>
      <c r="J1790">
        <v>4</v>
      </c>
      <c r="K1790">
        <v>6</v>
      </c>
      <c r="L1790">
        <v>14</v>
      </c>
      <c r="M1790" s="1" t="s">
        <v>24</v>
      </c>
      <c r="N1790" s="2">
        <v>45748</v>
      </c>
      <c r="O1790">
        <v>2025</v>
      </c>
      <c r="P1790">
        <v>2</v>
      </c>
      <c r="Q1790" s="1" t="s">
        <v>24</v>
      </c>
    </row>
    <row r="1791" spans="1:17" x14ac:dyDescent="0.3">
      <c r="A1791" s="1" t="s">
        <v>1856</v>
      </c>
      <c r="B1791" s="1" t="s">
        <v>18</v>
      </c>
      <c r="C1791" s="1" t="s">
        <v>19</v>
      </c>
      <c r="D1791" s="1" t="s">
        <v>51</v>
      </c>
      <c r="E1791" s="1" t="s">
        <v>21</v>
      </c>
      <c r="F1791" s="1" t="s">
        <v>22</v>
      </c>
      <c r="G1791" s="2">
        <v>45742</v>
      </c>
      <c r="H1791" s="2">
        <v>45750</v>
      </c>
      <c r="I1791" s="1" t="s">
        <v>23</v>
      </c>
      <c r="J1791">
        <v>3</v>
      </c>
      <c r="K1791">
        <v>8</v>
      </c>
      <c r="L1791">
        <v>10</v>
      </c>
      <c r="M1791" s="1" t="s">
        <v>24</v>
      </c>
      <c r="N1791" s="2">
        <v>45717</v>
      </c>
      <c r="O1791">
        <v>2025</v>
      </c>
      <c r="P1791">
        <v>1</v>
      </c>
      <c r="Q1791" s="1" t="s">
        <v>24</v>
      </c>
    </row>
    <row r="1792" spans="1:17" x14ac:dyDescent="0.3">
      <c r="A1792" s="1" t="s">
        <v>1857</v>
      </c>
      <c r="B1792" s="1" t="s">
        <v>18</v>
      </c>
      <c r="C1792" s="1" t="s">
        <v>56</v>
      </c>
      <c r="D1792" s="1" t="s">
        <v>51</v>
      </c>
      <c r="E1792" s="1" t="s">
        <v>21</v>
      </c>
      <c r="F1792" s="1" t="s">
        <v>22</v>
      </c>
      <c r="G1792" s="2">
        <v>45856</v>
      </c>
      <c r="H1792" s="2">
        <v>45860</v>
      </c>
      <c r="I1792" s="1" t="s">
        <v>32</v>
      </c>
      <c r="J1792">
        <v>5</v>
      </c>
      <c r="K1792">
        <v>4</v>
      </c>
      <c r="L1792">
        <v>10</v>
      </c>
      <c r="M1792" s="1" t="s">
        <v>24</v>
      </c>
      <c r="N1792" s="2">
        <v>45839</v>
      </c>
      <c r="O1792">
        <v>2025</v>
      </c>
      <c r="P1792">
        <v>3</v>
      </c>
      <c r="Q1792" s="1" t="s">
        <v>24</v>
      </c>
    </row>
    <row r="1793" spans="1:17" x14ac:dyDescent="0.3">
      <c r="A1793" s="1" t="s">
        <v>1858</v>
      </c>
      <c r="B1793" s="1" t="s">
        <v>35</v>
      </c>
      <c r="C1793" s="1" t="s">
        <v>36</v>
      </c>
      <c r="D1793" s="1" t="s">
        <v>51</v>
      </c>
      <c r="E1793" s="1" t="s">
        <v>21</v>
      </c>
      <c r="F1793" s="1" t="s">
        <v>31</v>
      </c>
      <c r="G1793" s="2">
        <v>45719</v>
      </c>
      <c r="H1793" s="2">
        <v>45725</v>
      </c>
      <c r="I1793" s="1" t="s">
        <v>82</v>
      </c>
      <c r="J1793">
        <v>4</v>
      </c>
      <c r="K1793">
        <v>6</v>
      </c>
      <c r="L1793">
        <v>10</v>
      </c>
      <c r="M1793" s="1" t="s">
        <v>24</v>
      </c>
      <c r="N1793" s="2">
        <v>45717</v>
      </c>
      <c r="O1793">
        <v>2025</v>
      </c>
      <c r="P1793">
        <v>1</v>
      </c>
      <c r="Q1793" s="1" t="s">
        <v>24</v>
      </c>
    </row>
    <row r="1794" spans="1:17" x14ac:dyDescent="0.3">
      <c r="A1794" s="1" t="s">
        <v>1859</v>
      </c>
      <c r="B1794" s="1" t="s">
        <v>18</v>
      </c>
      <c r="C1794" s="1" t="s">
        <v>30</v>
      </c>
      <c r="D1794" s="1" t="s">
        <v>20</v>
      </c>
      <c r="E1794" s="1" t="s">
        <v>21</v>
      </c>
      <c r="F1794" s="1" t="s">
        <v>61</v>
      </c>
      <c r="G1794" s="2">
        <v>45856</v>
      </c>
      <c r="H1794" s="2">
        <v>45871</v>
      </c>
      <c r="I1794" s="1" t="s">
        <v>28</v>
      </c>
      <c r="J1794">
        <v>2</v>
      </c>
      <c r="K1794">
        <v>15</v>
      </c>
      <c r="L1794">
        <v>14</v>
      </c>
      <c r="M1794" s="1" t="s">
        <v>33</v>
      </c>
      <c r="N1794" s="2">
        <v>45839</v>
      </c>
      <c r="O1794">
        <v>2025</v>
      </c>
      <c r="P1794">
        <v>3</v>
      </c>
      <c r="Q1794" s="1" t="s">
        <v>24</v>
      </c>
    </row>
    <row r="1795" spans="1:17" x14ac:dyDescent="0.3">
      <c r="A1795" s="1" t="s">
        <v>1860</v>
      </c>
      <c r="B1795" s="1" t="s">
        <v>26</v>
      </c>
      <c r="C1795" s="1" t="s">
        <v>123</v>
      </c>
      <c r="D1795" s="1" t="s">
        <v>44</v>
      </c>
      <c r="E1795" s="1" t="s">
        <v>21</v>
      </c>
      <c r="F1795" s="1" t="s">
        <v>31</v>
      </c>
      <c r="G1795" s="2">
        <v>45961</v>
      </c>
      <c r="H1795" s="2">
        <v>45968</v>
      </c>
      <c r="I1795" s="1" t="s">
        <v>23</v>
      </c>
      <c r="J1795">
        <v>4</v>
      </c>
      <c r="K1795">
        <v>7</v>
      </c>
      <c r="L1795">
        <v>7</v>
      </c>
      <c r="M1795" s="1" t="s">
        <v>24</v>
      </c>
      <c r="N1795" s="2">
        <v>45931</v>
      </c>
      <c r="O1795">
        <v>2025</v>
      </c>
      <c r="P1795">
        <v>4</v>
      </c>
      <c r="Q1795" s="1" t="s">
        <v>24</v>
      </c>
    </row>
    <row r="1796" spans="1:17" x14ac:dyDescent="0.3">
      <c r="A1796" s="1" t="s">
        <v>1861</v>
      </c>
      <c r="B1796" s="1" t="s">
        <v>18</v>
      </c>
      <c r="C1796" s="1" t="s">
        <v>47</v>
      </c>
      <c r="D1796" s="1" t="s">
        <v>51</v>
      </c>
      <c r="E1796" s="1" t="s">
        <v>48</v>
      </c>
      <c r="F1796" s="1" t="s">
        <v>61</v>
      </c>
      <c r="G1796" s="2">
        <v>45787</v>
      </c>
      <c r="H1796" s="2"/>
      <c r="I1796" s="1" t="s">
        <v>82</v>
      </c>
      <c r="L1796">
        <v>10</v>
      </c>
      <c r="M1796" s="1" t="s">
        <v>40</v>
      </c>
      <c r="N1796" s="2">
        <v>45778</v>
      </c>
      <c r="O1796">
        <v>2025</v>
      </c>
      <c r="P1796">
        <v>2</v>
      </c>
      <c r="Q1796" s="1" t="s">
        <v>33</v>
      </c>
    </row>
    <row r="1797" spans="1:17" x14ac:dyDescent="0.3">
      <c r="A1797" s="1" t="s">
        <v>1862</v>
      </c>
      <c r="B1797" s="1" t="s">
        <v>42</v>
      </c>
      <c r="C1797" s="1" t="s">
        <v>43</v>
      </c>
      <c r="D1797" s="1" t="s">
        <v>20</v>
      </c>
      <c r="E1797" s="1" t="s">
        <v>37</v>
      </c>
      <c r="F1797" s="1" t="s">
        <v>61</v>
      </c>
      <c r="G1797" s="2">
        <v>45828</v>
      </c>
      <c r="H1797" s="2"/>
      <c r="I1797" s="1" t="s">
        <v>39</v>
      </c>
      <c r="L1797">
        <v>14</v>
      </c>
      <c r="M1797" s="1" t="s">
        <v>40</v>
      </c>
      <c r="N1797" s="2">
        <v>45809</v>
      </c>
      <c r="O1797">
        <v>2025</v>
      </c>
      <c r="P1797">
        <v>2</v>
      </c>
      <c r="Q1797" s="1" t="s">
        <v>33</v>
      </c>
    </row>
    <row r="1798" spans="1:17" x14ac:dyDescent="0.3">
      <c r="A1798" s="1" t="s">
        <v>1863</v>
      </c>
      <c r="B1798" s="1" t="s">
        <v>18</v>
      </c>
      <c r="C1798" s="1" t="s">
        <v>30</v>
      </c>
      <c r="D1798" s="1" t="s">
        <v>44</v>
      </c>
      <c r="E1798" s="1" t="s">
        <v>21</v>
      </c>
      <c r="F1798" s="1" t="s">
        <v>31</v>
      </c>
      <c r="G1798" s="2">
        <v>45858</v>
      </c>
      <c r="H1798" s="2">
        <v>45863</v>
      </c>
      <c r="I1798" s="1" t="s">
        <v>39</v>
      </c>
      <c r="J1798">
        <v>5</v>
      </c>
      <c r="K1798">
        <v>5</v>
      </c>
      <c r="L1798">
        <v>7</v>
      </c>
      <c r="M1798" s="1" t="s">
        <v>24</v>
      </c>
      <c r="N1798" s="2">
        <v>45839</v>
      </c>
      <c r="O1798">
        <v>2025</v>
      </c>
      <c r="P1798">
        <v>3</v>
      </c>
      <c r="Q1798" s="1" t="s">
        <v>24</v>
      </c>
    </row>
    <row r="1799" spans="1:17" x14ac:dyDescent="0.3">
      <c r="A1799" s="1" t="s">
        <v>1864</v>
      </c>
      <c r="B1799" s="1" t="s">
        <v>26</v>
      </c>
      <c r="C1799" s="1" t="s">
        <v>123</v>
      </c>
      <c r="D1799" s="1" t="s">
        <v>44</v>
      </c>
      <c r="E1799" s="1" t="s">
        <v>21</v>
      </c>
      <c r="F1799" s="1" t="s">
        <v>38</v>
      </c>
      <c r="G1799" s="2">
        <v>45785</v>
      </c>
      <c r="H1799" s="2">
        <v>45786</v>
      </c>
      <c r="I1799" s="1" t="s">
        <v>23</v>
      </c>
      <c r="J1799">
        <v>4</v>
      </c>
      <c r="K1799">
        <v>1</v>
      </c>
      <c r="L1799">
        <v>7</v>
      </c>
      <c r="M1799" s="1" t="s">
        <v>24</v>
      </c>
      <c r="N1799" s="2">
        <v>45778</v>
      </c>
      <c r="O1799">
        <v>2025</v>
      </c>
      <c r="P1799">
        <v>2</v>
      </c>
      <c r="Q1799" s="1" t="s">
        <v>24</v>
      </c>
    </row>
    <row r="1800" spans="1:17" x14ac:dyDescent="0.3">
      <c r="A1800" s="1" t="s">
        <v>1865</v>
      </c>
      <c r="B1800" s="1" t="s">
        <v>26</v>
      </c>
      <c r="C1800" s="1" t="s">
        <v>67</v>
      </c>
      <c r="D1800" s="1" t="s">
        <v>44</v>
      </c>
      <c r="E1800" s="1" t="s">
        <v>48</v>
      </c>
      <c r="F1800" s="1" t="s">
        <v>52</v>
      </c>
      <c r="G1800" s="2">
        <v>45658</v>
      </c>
      <c r="H1800" s="2"/>
      <c r="I1800" s="1" t="s">
        <v>39</v>
      </c>
      <c r="L1800">
        <v>7</v>
      </c>
      <c r="M1800" s="1" t="s">
        <v>40</v>
      </c>
      <c r="N1800" s="2">
        <v>45658</v>
      </c>
      <c r="O1800">
        <v>2025</v>
      </c>
      <c r="P1800">
        <v>1</v>
      </c>
      <c r="Q1800" s="1" t="s">
        <v>33</v>
      </c>
    </row>
    <row r="1801" spans="1:17" x14ac:dyDescent="0.3">
      <c r="A1801" s="1" t="s">
        <v>1866</v>
      </c>
      <c r="B1801" s="1" t="s">
        <v>58</v>
      </c>
      <c r="C1801" s="1" t="s">
        <v>108</v>
      </c>
      <c r="D1801" s="1" t="s">
        <v>20</v>
      </c>
      <c r="E1801" s="1" t="s">
        <v>21</v>
      </c>
      <c r="F1801" s="1" t="s">
        <v>52</v>
      </c>
      <c r="G1801" s="2">
        <v>45988</v>
      </c>
      <c r="H1801" s="2">
        <v>45994</v>
      </c>
      <c r="I1801" s="1" t="s">
        <v>23</v>
      </c>
      <c r="J1801">
        <v>5</v>
      </c>
      <c r="K1801">
        <v>6</v>
      </c>
      <c r="L1801">
        <v>14</v>
      </c>
      <c r="M1801" s="1" t="s">
        <v>24</v>
      </c>
      <c r="N1801" s="2">
        <v>45962</v>
      </c>
      <c r="O1801">
        <v>2025</v>
      </c>
      <c r="P1801">
        <v>4</v>
      </c>
      <c r="Q1801" s="1" t="s">
        <v>24</v>
      </c>
    </row>
    <row r="1802" spans="1:17" x14ac:dyDescent="0.3">
      <c r="A1802" s="1" t="s">
        <v>1867</v>
      </c>
      <c r="B1802" s="1" t="s">
        <v>35</v>
      </c>
      <c r="C1802" s="1" t="s">
        <v>50</v>
      </c>
      <c r="D1802" s="1" t="s">
        <v>51</v>
      </c>
      <c r="E1802" s="1" t="s">
        <v>21</v>
      </c>
      <c r="F1802" s="1" t="s">
        <v>52</v>
      </c>
      <c r="G1802" s="2">
        <v>45675</v>
      </c>
      <c r="H1802" s="2">
        <v>45678</v>
      </c>
      <c r="I1802" s="1" t="s">
        <v>39</v>
      </c>
      <c r="J1802">
        <v>4</v>
      </c>
      <c r="K1802">
        <v>3</v>
      </c>
      <c r="L1802">
        <v>10</v>
      </c>
      <c r="M1802" s="1" t="s">
        <v>24</v>
      </c>
      <c r="N1802" s="2">
        <v>45658</v>
      </c>
      <c r="O1802">
        <v>2025</v>
      </c>
      <c r="P1802">
        <v>1</v>
      </c>
      <c r="Q1802" s="1" t="s">
        <v>24</v>
      </c>
    </row>
    <row r="1803" spans="1:17" x14ac:dyDescent="0.3">
      <c r="A1803" s="1" t="s">
        <v>1868</v>
      </c>
      <c r="B1803" s="1" t="s">
        <v>63</v>
      </c>
      <c r="C1803" s="1" t="s">
        <v>74</v>
      </c>
      <c r="D1803" s="1" t="s">
        <v>44</v>
      </c>
      <c r="E1803" s="1" t="s">
        <v>37</v>
      </c>
      <c r="F1803" s="1" t="s">
        <v>38</v>
      </c>
      <c r="G1803" s="2">
        <v>46007</v>
      </c>
      <c r="H1803" s="2"/>
      <c r="I1803" s="1" t="s">
        <v>39</v>
      </c>
      <c r="L1803">
        <v>7</v>
      </c>
      <c r="M1803" s="1" t="s">
        <v>40</v>
      </c>
      <c r="N1803" s="2">
        <v>45992</v>
      </c>
      <c r="O1803">
        <v>2025</v>
      </c>
      <c r="P1803">
        <v>4</v>
      </c>
      <c r="Q1803" s="1" t="s">
        <v>33</v>
      </c>
    </row>
    <row r="1804" spans="1:17" x14ac:dyDescent="0.3">
      <c r="A1804" s="1" t="s">
        <v>1869</v>
      </c>
      <c r="B1804" s="1" t="s">
        <v>63</v>
      </c>
      <c r="C1804" s="1" t="s">
        <v>74</v>
      </c>
      <c r="D1804" s="1" t="s">
        <v>20</v>
      </c>
      <c r="E1804" s="1" t="s">
        <v>21</v>
      </c>
      <c r="F1804" s="1" t="s">
        <v>52</v>
      </c>
      <c r="G1804" s="2">
        <v>45891</v>
      </c>
      <c r="H1804" s="2">
        <v>45903</v>
      </c>
      <c r="I1804" s="1" t="s">
        <v>32</v>
      </c>
      <c r="J1804">
        <v>5</v>
      </c>
      <c r="K1804">
        <v>12</v>
      </c>
      <c r="L1804">
        <v>14</v>
      </c>
      <c r="M1804" s="1" t="s">
        <v>24</v>
      </c>
      <c r="N1804" s="2">
        <v>45870</v>
      </c>
      <c r="O1804">
        <v>2025</v>
      </c>
      <c r="P1804">
        <v>3</v>
      </c>
      <c r="Q1804" s="1" t="s">
        <v>24</v>
      </c>
    </row>
    <row r="1805" spans="1:17" x14ac:dyDescent="0.3">
      <c r="A1805" s="1" t="s">
        <v>1870</v>
      </c>
      <c r="B1805" s="1" t="s">
        <v>42</v>
      </c>
      <c r="C1805" s="1" t="s">
        <v>87</v>
      </c>
      <c r="D1805" s="1" t="s">
        <v>20</v>
      </c>
      <c r="E1805" s="1" t="s">
        <v>21</v>
      </c>
      <c r="F1805" s="1" t="s">
        <v>31</v>
      </c>
      <c r="G1805" s="2">
        <v>45768</v>
      </c>
      <c r="H1805" s="2">
        <v>45772</v>
      </c>
      <c r="I1805" s="1" t="s">
        <v>23</v>
      </c>
      <c r="J1805">
        <v>4</v>
      </c>
      <c r="K1805">
        <v>4</v>
      </c>
      <c r="L1805">
        <v>14</v>
      </c>
      <c r="M1805" s="1" t="s">
        <v>24</v>
      </c>
      <c r="N1805" s="2">
        <v>45748</v>
      </c>
      <c r="O1805">
        <v>2025</v>
      </c>
      <c r="P1805">
        <v>2</v>
      </c>
      <c r="Q1805" s="1" t="s">
        <v>24</v>
      </c>
    </row>
    <row r="1806" spans="1:17" x14ac:dyDescent="0.3">
      <c r="A1806" s="1" t="s">
        <v>1871</v>
      </c>
      <c r="B1806" s="1" t="s">
        <v>42</v>
      </c>
      <c r="C1806" s="1" t="s">
        <v>87</v>
      </c>
      <c r="D1806" s="1" t="s">
        <v>51</v>
      </c>
      <c r="E1806" s="1" t="s">
        <v>21</v>
      </c>
      <c r="F1806" s="1" t="s">
        <v>38</v>
      </c>
      <c r="G1806" s="2">
        <v>45747</v>
      </c>
      <c r="H1806" s="2">
        <v>45749</v>
      </c>
      <c r="I1806" s="1" t="s">
        <v>23</v>
      </c>
      <c r="J1806">
        <v>4</v>
      </c>
      <c r="K1806">
        <v>2</v>
      </c>
      <c r="L1806">
        <v>10</v>
      </c>
      <c r="M1806" s="1" t="s">
        <v>24</v>
      </c>
      <c r="N1806" s="2">
        <v>45717</v>
      </c>
      <c r="O1806">
        <v>2025</v>
      </c>
      <c r="P1806">
        <v>1</v>
      </c>
      <c r="Q1806" s="1" t="s">
        <v>24</v>
      </c>
    </row>
    <row r="1807" spans="1:17" x14ac:dyDescent="0.3">
      <c r="A1807" s="1" t="s">
        <v>1872</v>
      </c>
      <c r="B1807" s="1" t="s">
        <v>35</v>
      </c>
      <c r="C1807" s="1" t="s">
        <v>97</v>
      </c>
      <c r="D1807" s="1" t="s">
        <v>44</v>
      </c>
      <c r="E1807" s="1" t="s">
        <v>21</v>
      </c>
      <c r="F1807" s="1" t="s">
        <v>61</v>
      </c>
      <c r="G1807" s="2">
        <v>45794</v>
      </c>
      <c r="H1807" s="2">
        <v>45795</v>
      </c>
      <c r="I1807" s="1" t="s">
        <v>28</v>
      </c>
      <c r="J1807">
        <v>5</v>
      </c>
      <c r="K1807">
        <v>1</v>
      </c>
      <c r="L1807">
        <v>7</v>
      </c>
      <c r="M1807" s="1" t="s">
        <v>24</v>
      </c>
      <c r="N1807" s="2">
        <v>45778</v>
      </c>
      <c r="O1807">
        <v>2025</v>
      </c>
      <c r="P1807">
        <v>2</v>
      </c>
      <c r="Q1807" s="1" t="s">
        <v>24</v>
      </c>
    </row>
    <row r="1808" spans="1:17" x14ac:dyDescent="0.3">
      <c r="A1808" s="1" t="s">
        <v>1873</v>
      </c>
      <c r="B1808" s="1" t="s">
        <v>18</v>
      </c>
      <c r="C1808" s="1" t="s">
        <v>30</v>
      </c>
      <c r="D1808" s="1" t="s">
        <v>44</v>
      </c>
      <c r="E1808" s="1" t="s">
        <v>48</v>
      </c>
      <c r="F1808" s="1" t="s">
        <v>22</v>
      </c>
      <c r="G1808" s="2">
        <v>45680</v>
      </c>
      <c r="H1808" s="2"/>
      <c r="I1808" s="1" t="s">
        <v>39</v>
      </c>
      <c r="L1808">
        <v>7</v>
      </c>
      <c r="M1808" s="1" t="s">
        <v>40</v>
      </c>
      <c r="N1808" s="2">
        <v>45658</v>
      </c>
      <c r="O1808">
        <v>2025</v>
      </c>
      <c r="P1808">
        <v>1</v>
      </c>
      <c r="Q1808" s="1" t="s">
        <v>33</v>
      </c>
    </row>
    <row r="1809" spans="1:17" x14ac:dyDescent="0.3">
      <c r="A1809" s="1" t="s">
        <v>1874</v>
      </c>
      <c r="B1809" s="1" t="s">
        <v>26</v>
      </c>
      <c r="C1809" s="1" t="s">
        <v>27</v>
      </c>
      <c r="D1809" s="1" t="s">
        <v>44</v>
      </c>
      <c r="E1809" s="1" t="s">
        <v>21</v>
      </c>
      <c r="F1809" s="1" t="s">
        <v>22</v>
      </c>
      <c r="G1809" s="2">
        <v>45682</v>
      </c>
      <c r="H1809" s="2">
        <v>45685</v>
      </c>
      <c r="I1809" s="1" t="s">
        <v>32</v>
      </c>
      <c r="J1809">
        <v>4</v>
      </c>
      <c r="K1809">
        <v>3</v>
      </c>
      <c r="L1809">
        <v>7</v>
      </c>
      <c r="M1809" s="1" t="s">
        <v>24</v>
      </c>
      <c r="N1809" s="2">
        <v>45658</v>
      </c>
      <c r="O1809">
        <v>2025</v>
      </c>
      <c r="P1809">
        <v>1</v>
      </c>
      <c r="Q1809" s="1" t="s">
        <v>24</v>
      </c>
    </row>
    <row r="1810" spans="1:17" x14ac:dyDescent="0.3">
      <c r="A1810" s="1" t="s">
        <v>1875</v>
      </c>
      <c r="B1810" s="1" t="s">
        <v>58</v>
      </c>
      <c r="C1810" s="1" t="s">
        <v>145</v>
      </c>
      <c r="D1810" s="1" t="s">
        <v>51</v>
      </c>
      <c r="E1810" s="1" t="s">
        <v>21</v>
      </c>
      <c r="F1810" s="1" t="s">
        <v>52</v>
      </c>
      <c r="G1810" s="2">
        <v>45848</v>
      </c>
      <c r="H1810" s="2">
        <v>45858</v>
      </c>
      <c r="I1810" s="1" t="s">
        <v>32</v>
      </c>
      <c r="J1810">
        <v>4</v>
      </c>
      <c r="K1810">
        <v>10</v>
      </c>
      <c r="L1810">
        <v>10</v>
      </c>
      <c r="M1810" s="1" t="s">
        <v>24</v>
      </c>
      <c r="N1810" s="2">
        <v>45839</v>
      </c>
      <c r="O1810">
        <v>2025</v>
      </c>
      <c r="P1810">
        <v>3</v>
      </c>
      <c r="Q1810" s="1" t="s">
        <v>24</v>
      </c>
    </row>
    <row r="1811" spans="1:17" x14ac:dyDescent="0.3">
      <c r="A1811" s="1" t="s">
        <v>1876</v>
      </c>
      <c r="B1811" s="1" t="s">
        <v>58</v>
      </c>
      <c r="C1811" s="1" t="s">
        <v>108</v>
      </c>
      <c r="D1811" s="1" t="s">
        <v>51</v>
      </c>
      <c r="E1811" s="1" t="s">
        <v>21</v>
      </c>
      <c r="F1811" s="1" t="s">
        <v>31</v>
      </c>
      <c r="G1811" s="2">
        <v>45835</v>
      </c>
      <c r="H1811" s="2">
        <v>45841</v>
      </c>
      <c r="I1811" s="1" t="s">
        <v>82</v>
      </c>
      <c r="J1811">
        <v>3</v>
      </c>
      <c r="K1811">
        <v>6</v>
      </c>
      <c r="L1811">
        <v>10</v>
      </c>
      <c r="M1811" s="1" t="s">
        <v>24</v>
      </c>
      <c r="N1811" s="2">
        <v>45809</v>
      </c>
      <c r="O1811">
        <v>2025</v>
      </c>
      <c r="P1811">
        <v>2</v>
      </c>
      <c r="Q1811" s="1" t="s">
        <v>24</v>
      </c>
    </row>
    <row r="1812" spans="1:17" x14ac:dyDescent="0.3">
      <c r="A1812" s="1" t="s">
        <v>1877</v>
      </c>
      <c r="B1812" s="1" t="s">
        <v>58</v>
      </c>
      <c r="C1812" s="1" t="s">
        <v>59</v>
      </c>
      <c r="D1812" s="1" t="s">
        <v>71</v>
      </c>
      <c r="E1812" s="1" t="s">
        <v>21</v>
      </c>
      <c r="F1812" s="1" t="s">
        <v>52</v>
      </c>
      <c r="G1812" s="2">
        <v>45787</v>
      </c>
      <c r="H1812" s="2">
        <v>45788</v>
      </c>
      <c r="I1812" s="1" t="s">
        <v>39</v>
      </c>
      <c r="J1812">
        <v>4</v>
      </c>
      <c r="K1812">
        <v>1</v>
      </c>
      <c r="L1812">
        <v>3</v>
      </c>
      <c r="M1812" s="1" t="s">
        <v>24</v>
      </c>
      <c r="N1812" s="2">
        <v>45778</v>
      </c>
      <c r="O1812">
        <v>2025</v>
      </c>
      <c r="P1812">
        <v>2</v>
      </c>
      <c r="Q1812" s="1" t="s">
        <v>24</v>
      </c>
    </row>
    <row r="1813" spans="1:17" x14ac:dyDescent="0.3">
      <c r="A1813" s="1" t="s">
        <v>1878</v>
      </c>
      <c r="B1813" s="1" t="s">
        <v>58</v>
      </c>
      <c r="C1813" s="1" t="s">
        <v>108</v>
      </c>
      <c r="D1813" s="1" t="s">
        <v>44</v>
      </c>
      <c r="E1813" s="1" t="s">
        <v>21</v>
      </c>
      <c r="F1813" s="1" t="s">
        <v>22</v>
      </c>
      <c r="G1813" s="2">
        <v>45978</v>
      </c>
      <c r="H1813" s="2">
        <v>45980</v>
      </c>
      <c r="I1813" s="1" t="s">
        <v>28</v>
      </c>
      <c r="J1813">
        <v>4</v>
      </c>
      <c r="K1813">
        <v>2</v>
      </c>
      <c r="L1813">
        <v>7</v>
      </c>
      <c r="M1813" s="1" t="s">
        <v>24</v>
      </c>
      <c r="N1813" s="2">
        <v>45962</v>
      </c>
      <c r="O1813">
        <v>2025</v>
      </c>
      <c r="P1813">
        <v>4</v>
      </c>
      <c r="Q1813" s="1" t="s">
        <v>24</v>
      </c>
    </row>
    <row r="1814" spans="1:17" x14ac:dyDescent="0.3">
      <c r="A1814" s="1" t="s">
        <v>1879</v>
      </c>
      <c r="B1814" s="1" t="s">
        <v>26</v>
      </c>
      <c r="C1814" s="1" t="s">
        <v>54</v>
      </c>
      <c r="D1814" s="1" t="s">
        <v>71</v>
      </c>
      <c r="E1814" s="1" t="s">
        <v>37</v>
      </c>
      <c r="F1814" s="1" t="s">
        <v>31</v>
      </c>
      <c r="G1814" s="2">
        <v>46012</v>
      </c>
      <c r="H1814" s="2"/>
      <c r="I1814" s="1" t="s">
        <v>23</v>
      </c>
      <c r="L1814">
        <v>3</v>
      </c>
      <c r="M1814" s="1" t="s">
        <v>40</v>
      </c>
      <c r="N1814" s="2">
        <v>45992</v>
      </c>
      <c r="O1814">
        <v>2025</v>
      </c>
      <c r="P1814">
        <v>4</v>
      </c>
      <c r="Q1814" s="1" t="s">
        <v>33</v>
      </c>
    </row>
    <row r="1815" spans="1:17" x14ac:dyDescent="0.3">
      <c r="A1815" s="1" t="s">
        <v>1880</v>
      </c>
      <c r="B1815" s="1" t="s">
        <v>58</v>
      </c>
      <c r="C1815" s="1" t="s">
        <v>70</v>
      </c>
      <c r="D1815" s="1" t="s">
        <v>71</v>
      </c>
      <c r="E1815" s="1" t="s">
        <v>21</v>
      </c>
      <c r="F1815" s="1" t="s">
        <v>52</v>
      </c>
      <c r="G1815" s="2">
        <v>45924</v>
      </c>
      <c r="H1815" s="2">
        <v>45924</v>
      </c>
      <c r="I1815" s="1" t="s">
        <v>82</v>
      </c>
      <c r="J1815">
        <v>4</v>
      </c>
      <c r="K1815">
        <v>0</v>
      </c>
      <c r="L1815">
        <v>3</v>
      </c>
      <c r="M1815" s="1" t="s">
        <v>24</v>
      </c>
      <c r="N1815" s="2">
        <v>45901</v>
      </c>
      <c r="O1815">
        <v>2025</v>
      </c>
      <c r="P1815">
        <v>3</v>
      </c>
      <c r="Q1815" s="1" t="s">
        <v>24</v>
      </c>
    </row>
    <row r="1816" spans="1:17" x14ac:dyDescent="0.3">
      <c r="A1816" s="1" t="s">
        <v>1881</v>
      </c>
      <c r="B1816" s="1" t="s">
        <v>18</v>
      </c>
      <c r="C1816" s="1" t="s">
        <v>47</v>
      </c>
      <c r="D1816" s="1" t="s">
        <v>44</v>
      </c>
      <c r="E1816" s="1" t="s">
        <v>21</v>
      </c>
      <c r="F1816" s="1" t="s">
        <v>52</v>
      </c>
      <c r="G1816" s="2">
        <v>45829</v>
      </c>
      <c r="H1816" s="2">
        <v>45833</v>
      </c>
      <c r="I1816" s="1" t="s">
        <v>82</v>
      </c>
      <c r="J1816">
        <v>3</v>
      </c>
      <c r="K1816">
        <v>4</v>
      </c>
      <c r="L1816">
        <v>7</v>
      </c>
      <c r="M1816" s="1" t="s">
        <v>24</v>
      </c>
      <c r="N1816" s="2">
        <v>45809</v>
      </c>
      <c r="O1816">
        <v>2025</v>
      </c>
      <c r="P1816">
        <v>2</v>
      </c>
      <c r="Q1816" s="1" t="s">
        <v>24</v>
      </c>
    </row>
    <row r="1817" spans="1:17" x14ac:dyDescent="0.3">
      <c r="A1817" s="1" t="s">
        <v>1882</v>
      </c>
      <c r="B1817" s="1" t="s">
        <v>58</v>
      </c>
      <c r="C1817" s="1" t="s">
        <v>145</v>
      </c>
      <c r="D1817" s="1" t="s">
        <v>20</v>
      </c>
      <c r="E1817" s="1" t="s">
        <v>21</v>
      </c>
      <c r="F1817" s="1" t="s">
        <v>38</v>
      </c>
      <c r="G1817" s="2">
        <v>45866</v>
      </c>
      <c r="H1817" s="2">
        <v>45880</v>
      </c>
      <c r="I1817" s="1" t="s">
        <v>28</v>
      </c>
      <c r="J1817">
        <v>5</v>
      </c>
      <c r="K1817">
        <v>14</v>
      </c>
      <c r="L1817">
        <v>14</v>
      </c>
      <c r="M1817" s="1" t="s">
        <v>24</v>
      </c>
      <c r="N1817" s="2">
        <v>45839</v>
      </c>
      <c r="O1817">
        <v>2025</v>
      </c>
      <c r="P1817">
        <v>3</v>
      </c>
      <c r="Q1817" s="1" t="s">
        <v>24</v>
      </c>
    </row>
    <row r="1818" spans="1:17" x14ac:dyDescent="0.3">
      <c r="A1818" s="1" t="s">
        <v>1883</v>
      </c>
      <c r="B1818" s="1" t="s">
        <v>18</v>
      </c>
      <c r="C1818" s="1" t="s">
        <v>30</v>
      </c>
      <c r="D1818" s="1" t="s">
        <v>20</v>
      </c>
      <c r="E1818" s="1" t="s">
        <v>21</v>
      </c>
      <c r="F1818" s="1" t="s">
        <v>22</v>
      </c>
      <c r="G1818" s="2">
        <v>45754</v>
      </c>
      <c r="H1818" s="2">
        <v>45768</v>
      </c>
      <c r="I1818" s="1" t="s">
        <v>23</v>
      </c>
      <c r="J1818">
        <v>1</v>
      </c>
      <c r="K1818">
        <v>14</v>
      </c>
      <c r="L1818">
        <v>14</v>
      </c>
      <c r="M1818" s="1" t="s">
        <v>24</v>
      </c>
      <c r="N1818" s="2">
        <v>45748</v>
      </c>
      <c r="O1818">
        <v>2025</v>
      </c>
      <c r="P1818">
        <v>2</v>
      </c>
      <c r="Q1818" s="1" t="s">
        <v>24</v>
      </c>
    </row>
    <row r="1819" spans="1:17" x14ac:dyDescent="0.3">
      <c r="A1819" s="1" t="s">
        <v>1884</v>
      </c>
      <c r="B1819" s="1" t="s">
        <v>58</v>
      </c>
      <c r="C1819" s="1" t="s">
        <v>108</v>
      </c>
      <c r="D1819" s="1" t="s">
        <v>44</v>
      </c>
      <c r="E1819" s="1" t="s">
        <v>21</v>
      </c>
      <c r="F1819" s="1" t="s">
        <v>52</v>
      </c>
      <c r="G1819" s="2">
        <v>45814</v>
      </c>
      <c r="H1819" s="2">
        <v>45816</v>
      </c>
      <c r="I1819" s="1" t="s">
        <v>28</v>
      </c>
      <c r="J1819">
        <v>5</v>
      </c>
      <c r="K1819">
        <v>2</v>
      </c>
      <c r="L1819">
        <v>7</v>
      </c>
      <c r="M1819" s="1" t="s">
        <v>24</v>
      </c>
      <c r="N1819" s="2">
        <v>45809</v>
      </c>
      <c r="O1819">
        <v>2025</v>
      </c>
      <c r="P1819">
        <v>2</v>
      </c>
      <c r="Q1819" s="1" t="s">
        <v>24</v>
      </c>
    </row>
    <row r="1820" spans="1:17" x14ac:dyDescent="0.3">
      <c r="A1820" s="1" t="s">
        <v>1885</v>
      </c>
      <c r="B1820" s="1" t="s">
        <v>26</v>
      </c>
      <c r="C1820" s="1" t="s">
        <v>67</v>
      </c>
      <c r="D1820" s="1" t="s">
        <v>71</v>
      </c>
      <c r="E1820" s="1" t="s">
        <v>21</v>
      </c>
      <c r="F1820" s="1" t="s">
        <v>61</v>
      </c>
      <c r="G1820" s="2">
        <v>45666</v>
      </c>
      <c r="H1820" s="2">
        <v>45666</v>
      </c>
      <c r="I1820" s="1" t="s">
        <v>28</v>
      </c>
      <c r="J1820">
        <v>4</v>
      </c>
      <c r="K1820">
        <v>0</v>
      </c>
      <c r="L1820">
        <v>3</v>
      </c>
      <c r="M1820" s="1" t="s">
        <v>24</v>
      </c>
      <c r="N1820" s="2">
        <v>45658</v>
      </c>
      <c r="O1820">
        <v>2025</v>
      </c>
      <c r="P1820">
        <v>1</v>
      </c>
      <c r="Q1820" s="1" t="s">
        <v>24</v>
      </c>
    </row>
    <row r="1821" spans="1:17" x14ac:dyDescent="0.3">
      <c r="A1821" s="1" t="s">
        <v>1886</v>
      </c>
      <c r="B1821" s="1" t="s">
        <v>18</v>
      </c>
      <c r="C1821" s="1" t="s">
        <v>19</v>
      </c>
      <c r="D1821" s="1" t="s">
        <v>20</v>
      </c>
      <c r="E1821" s="1" t="s">
        <v>21</v>
      </c>
      <c r="F1821" s="1" t="s">
        <v>31</v>
      </c>
      <c r="G1821" s="2">
        <v>45718</v>
      </c>
      <c r="H1821" s="2">
        <v>45727</v>
      </c>
      <c r="I1821" s="1" t="s">
        <v>23</v>
      </c>
      <c r="J1821">
        <v>5</v>
      </c>
      <c r="K1821">
        <v>9</v>
      </c>
      <c r="L1821">
        <v>14</v>
      </c>
      <c r="M1821" s="1" t="s">
        <v>24</v>
      </c>
      <c r="N1821" s="2">
        <v>45717</v>
      </c>
      <c r="O1821">
        <v>2025</v>
      </c>
      <c r="P1821">
        <v>1</v>
      </c>
      <c r="Q1821" s="1" t="s">
        <v>24</v>
      </c>
    </row>
    <row r="1822" spans="1:17" x14ac:dyDescent="0.3">
      <c r="A1822" s="1" t="s">
        <v>1887</v>
      </c>
      <c r="B1822" s="1" t="s">
        <v>18</v>
      </c>
      <c r="C1822" s="1" t="s">
        <v>56</v>
      </c>
      <c r="D1822" s="1" t="s">
        <v>51</v>
      </c>
      <c r="E1822" s="1" t="s">
        <v>21</v>
      </c>
      <c r="F1822" s="1" t="s">
        <v>31</v>
      </c>
      <c r="G1822" s="2">
        <v>45813</v>
      </c>
      <c r="H1822" s="2">
        <v>45821</v>
      </c>
      <c r="I1822" s="1" t="s">
        <v>82</v>
      </c>
      <c r="J1822">
        <v>4</v>
      </c>
      <c r="K1822">
        <v>8</v>
      </c>
      <c r="L1822">
        <v>10</v>
      </c>
      <c r="M1822" s="1" t="s">
        <v>24</v>
      </c>
      <c r="N1822" s="2">
        <v>45809</v>
      </c>
      <c r="O1822">
        <v>2025</v>
      </c>
      <c r="P1822">
        <v>2</v>
      </c>
      <c r="Q1822" s="1" t="s">
        <v>24</v>
      </c>
    </row>
    <row r="1823" spans="1:17" x14ac:dyDescent="0.3">
      <c r="A1823" s="1" t="s">
        <v>1888</v>
      </c>
      <c r="B1823" s="1" t="s">
        <v>26</v>
      </c>
      <c r="C1823" s="1" t="s">
        <v>67</v>
      </c>
      <c r="D1823" s="1" t="s">
        <v>51</v>
      </c>
      <c r="E1823" s="1" t="s">
        <v>48</v>
      </c>
      <c r="F1823" s="1" t="s">
        <v>52</v>
      </c>
      <c r="G1823" s="2">
        <v>45913</v>
      </c>
      <c r="H1823" s="2"/>
      <c r="I1823" s="1" t="s">
        <v>32</v>
      </c>
      <c r="L1823">
        <v>10</v>
      </c>
      <c r="M1823" s="1" t="s">
        <v>40</v>
      </c>
      <c r="N1823" s="2">
        <v>45901</v>
      </c>
      <c r="O1823">
        <v>2025</v>
      </c>
      <c r="P1823">
        <v>3</v>
      </c>
      <c r="Q1823" s="1" t="s">
        <v>33</v>
      </c>
    </row>
    <row r="1824" spans="1:17" x14ac:dyDescent="0.3">
      <c r="A1824" s="1" t="s">
        <v>1889</v>
      </c>
      <c r="B1824" s="1" t="s">
        <v>42</v>
      </c>
      <c r="C1824" s="1" t="s">
        <v>43</v>
      </c>
      <c r="D1824" s="1" t="s">
        <v>44</v>
      </c>
      <c r="E1824" s="1" t="s">
        <v>48</v>
      </c>
      <c r="F1824" s="1" t="s">
        <v>22</v>
      </c>
      <c r="G1824" s="2">
        <v>45854</v>
      </c>
      <c r="H1824" s="2"/>
      <c r="I1824" s="1" t="s">
        <v>23</v>
      </c>
      <c r="L1824">
        <v>7</v>
      </c>
      <c r="M1824" s="1" t="s">
        <v>40</v>
      </c>
      <c r="N1824" s="2">
        <v>45839</v>
      </c>
      <c r="O1824">
        <v>2025</v>
      </c>
      <c r="P1824">
        <v>3</v>
      </c>
      <c r="Q1824" s="1" t="s">
        <v>33</v>
      </c>
    </row>
    <row r="1825" spans="1:17" x14ac:dyDescent="0.3">
      <c r="A1825" s="1" t="s">
        <v>1890</v>
      </c>
      <c r="B1825" s="1" t="s">
        <v>58</v>
      </c>
      <c r="C1825" s="1" t="s">
        <v>59</v>
      </c>
      <c r="D1825" s="1" t="s">
        <v>71</v>
      </c>
      <c r="E1825" s="1" t="s">
        <v>21</v>
      </c>
      <c r="F1825" s="1" t="s">
        <v>31</v>
      </c>
      <c r="G1825" s="2">
        <v>45671</v>
      </c>
      <c r="H1825" s="2">
        <v>45674</v>
      </c>
      <c r="I1825" s="1" t="s">
        <v>23</v>
      </c>
      <c r="J1825">
        <v>1</v>
      </c>
      <c r="K1825">
        <v>3</v>
      </c>
      <c r="L1825">
        <v>3</v>
      </c>
      <c r="M1825" s="1" t="s">
        <v>24</v>
      </c>
      <c r="N1825" s="2">
        <v>45658</v>
      </c>
      <c r="O1825">
        <v>2025</v>
      </c>
      <c r="P1825">
        <v>1</v>
      </c>
      <c r="Q1825" s="1" t="s">
        <v>24</v>
      </c>
    </row>
    <row r="1826" spans="1:17" x14ac:dyDescent="0.3">
      <c r="A1826" s="1" t="s">
        <v>1891</v>
      </c>
      <c r="B1826" s="1" t="s">
        <v>58</v>
      </c>
      <c r="C1826" s="1" t="s">
        <v>59</v>
      </c>
      <c r="D1826" s="1" t="s">
        <v>51</v>
      </c>
      <c r="E1826" s="1" t="s">
        <v>21</v>
      </c>
      <c r="F1826" s="1" t="s">
        <v>52</v>
      </c>
      <c r="G1826" s="2">
        <v>45981</v>
      </c>
      <c r="H1826" s="2">
        <v>45984</v>
      </c>
      <c r="I1826" s="1" t="s">
        <v>28</v>
      </c>
      <c r="J1826">
        <v>4</v>
      </c>
      <c r="K1826">
        <v>3</v>
      </c>
      <c r="L1826">
        <v>10</v>
      </c>
      <c r="M1826" s="1" t="s">
        <v>24</v>
      </c>
      <c r="N1826" s="2">
        <v>45962</v>
      </c>
      <c r="O1826">
        <v>2025</v>
      </c>
      <c r="P1826">
        <v>4</v>
      </c>
      <c r="Q1826" s="1" t="s">
        <v>24</v>
      </c>
    </row>
    <row r="1827" spans="1:17" x14ac:dyDescent="0.3">
      <c r="A1827" s="1" t="s">
        <v>1892</v>
      </c>
      <c r="B1827" s="1" t="s">
        <v>26</v>
      </c>
      <c r="C1827" s="1" t="s">
        <v>27</v>
      </c>
      <c r="D1827" s="1" t="s">
        <v>20</v>
      </c>
      <c r="E1827" s="1" t="s">
        <v>21</v>
      </c>
      <c r="F1827" s="1" t="s">
        <v>31</v>
      </c>
      <c r="G1827" s="2">
        <v>46018</v>
      </c>
      <c r="H1827" s="2">
        <v>46028</v>
      </c>
      <c r="I1827" s="1" t="s">
        <v>23</v>
      </c>
      <c r="J1827">
        <v>3</v>
      </c>
      <c r="K1827">
        <v>10</v>
      </c>
      <c r="L1827">
        <v>14</v>
      </c>
      <c r="M1827" s="1" t="s">
        <v>24</v>
      </c>
      <c r="N1827" s="2">
        <v>45992</v>
      </c>
      <c r="O1827">
        <v>2025</v>
      </c>
      <c r="P1827">
        <v>4</v>
      </c>
      <c r="Q1827" s="1" t="s">
        <v>24</v>
      </c>
    </row>
    <row r="1828" spans="1:17" x14ac:dyDescent="0.3">
      <c r="A1828" s="1" t="s">
        <v>1893</v>
      </c>
      <c r="B1828" s="1" t="s">
        <v>42</v>
      </c>
      <c r="C1828" s="1" t="s">
        <v>76</v>
      </c>
      <c r="D1828" s="1" t="s">
        <v>51</v>
      </c>
      <c r="E1828" s="1" t="s">
        <v>21</v>
      </c>
      <c r="F1828" s="1" t="s">
        <v>22</v>
      </c>
      <c r="G1828" s="2">
        <v>45672</v>
      </c>
      <c r="H1828" s="2">
        <v>45682</v>
      </c>
      <c r="I1828" s="1" t="s">
        <v>28</v>
      </c>
      <c r="J1828">
        <v>4</v>
      </c>
      <c r="K1828">
        <v>10</v>
      </c>
      <c r="L1828">
        <v>10</v>
      </c>
      <c r="M1828" s="1" t="s">
        <v>24</v>
      </c>
      <c r="N1828" s="2">
        <v>45658</v>
      </c>
      <c r="O1828">
        <v>2025</v>
      </c>
      <c r="P1828">
        <v>1</v>
      </c>
      <c r="Q1828" s="1" t="s">
        <v>24</v>
      </c>
    </row>
    <row r="1829" spans="1:17" x14ac:dyDescent="0.3">
      <c r="A1829" s="1" t="s">
        <v>1894</v>
      </c>
      <c r="B1829" s="1" t="s">
        <v>58</v>
      </c>
      <c r="C1829" s="1" t="s">
        <v>59</v>
      </c>
      <c r="D1829" s="1" t="s">
        <v>51</v>
      </c>
      <c r="E1829" s="1" t="s">
        <v>21</v>
      </c>
      <c r="F1829" s="1" t="s">
        <v>38</v>
      </c>
      <c r="G1829" s="2">
        <v>45932</v>
      </c>
      <c r="H1829" s="2">
        <v>45934</v>
      </c>
      <c r="I1829" s="1" t="s">
        <v>82</v>
      </c>
      <c r="J1829">
        <v>3</v>
      </c>
      <c r="K1829">
        <v>2</v>
      </c>
      <c r="L1829">
        <v>10</v>
      </c>
      <c r="M1829" s="1" t="s">
        <v>24</v>
      </c>
      <c r="N1829" s="2">
        <v>45931</v>
      </c>
      <c r="O1829">
        <v>2025</v>
      </c>
      <c r="P1829">
        <v>4</v>
      </c>
      <c r="Q1829" s="1" t="s">
        <v>24</v>
      </c>
    </row>
    <row r="1830" spans="1:17" x14ac:dyDescent="0.3">
      <c r="A1830" s="1" t="s">
        <v>1895</v>
      </c>
      <c r="B1830" s="1" t="s">
        <v>58</v>
      </c>
      <c r="C1830" s="1" t="s">
        <v>108</v>
      </c>
      <c r="D1830" s="1" t="s">
        <v>44</v>
      </c>
      <c r="E1830" s="1" t="s">
        <v>21</v>
      </c>
      <c r="F1830" s="1" t="s">
        <v>52</v>
      </c>
      <c r="G1830" s="2">
        <v>45741</v>
      </c>
      <c r="H1830" s="2">
        <v>45742</v>
      </c>
      <c r="I1830" s="1" t="s">
        <v>39</v>
      </c>
      <c r="J1830">
        <v>4</v>
      </c>
      <c r="K1830">
        <v>1</v>
      </c>
      <c r="L1830">
        <v>7</v>
      </c>
      <c r="M1830" s="1" t="s">
        <v>24</v>
      </c>
      <c r="N1830" s="2">
        <v>45717</v>
      </c>
      <c r="O1830">
        <v>2025</v>
      </c>
      <c r="P1830">
        <v>1</v>
      </c>
      <c r="Q1830" s="1" t="s">
        <v>24</v>
      </c>
    </row>
    <row r="1831" spans="1:17" x14ac:dyDescent="0.3">
      <c r="A1831" s="1" t="s">
        <v>1896</v>
      </c>
      <c r="B1831" s="1" t="s">
        <v>42</v>
      </c>
      <c r="C1831" s="1" t="s">
        <v>76</v>
      </c>
      <c r="D1831" s="1" t="s">
        <v>71</v>
      </c>
      <c r="E1831" s="1" t="s">
        <v>21</v>
      </c>
      <c r="F1831" s="1" t="s">
        <v>31</v>
      </c>
      <c r="G1831" s="2">
        <v>45904</v>
      </c>
      <c r="H1831" s="2">
        <v>45907</v>
      </c>
      <c r="I1831" s="1" t="s">
        <v>28</v>
      </c>
      <c r="J1831">
        <v>3</v>
      </c>
      <c r="K1831">
        <v>3</v>
      </c>
      <c r="L1831">
        <v>3</v>
      </c>
      <c r="M1831" s="1" t="s">
        <v>24</v>
      </c>
      <c r="N1831" s="2">
        <v>45901</v>
      </c>
      <c r="O1831">
        <v>2025</v>
      </c>
      <c r="P1831">
        <v>3</v>
      </c>
      <c r="Q1831" s="1" t="s">
        <v>24</v>
      </c>
    </row>
    <row r="1832" spans="1:17" x14ac:dyDescent="0.3">
      <c r="A1832" s="1" t="s">
        <v>1897</v>
      </c>
      <c r="B1832" s="1" t="s">
        <v>58</v>
      </c>
      <c r="C1832" s="1" t="s">
        <v>70</v>
      </c>
      <c r="D1832" s="1" t="s">
        <v>51</v>
      </c>
      <c r="E1832" s="1" t="s">
        <v>21</v>
      </c>
      <c r="F1832" s="1" t="s">
        <v>31</v>
      </c>
      <c r="G1832" s="2">
        <v>46007</v>
      </c>
      <c r="H1832" s="2">
        <v>46016</v>
      </c>
      <c r="I1832" s="1" t="s">
        <v>23</v>
      </c>
      <c r="J1832">
        <v>3</v>
      </c>
      <c r="K1832">
        <v>9</v>
      </c>
      <c r="L1832">
        <v>10</v>
      </c>
      <c r="M1832" s="1" t="s">
        <v>24</v>
      </c>
      <c r="N1832" s="2">
        <v>45992</v>
      </c>
      <c r="O1832">
        <v>2025</v>
      </c>
      <c r="P1832">
        <v>4</v>
      </c>
      <c r="Q1832" s="1" t="s">
        <v>24</v>
      </c>
    </row>
    <row r="1833" spans="1:17" x14ac:dyDescent="0.3">
      <c r="A1833" s="1" t="s">
        <v>1898</v>
      </c>
      <c r="B1833" s="1" t="s">
        <v>42</v>
      </c>
      <c r="C1833" s="1" t="s">
        <v>76</v>
      </c>
      <c r="D1833" s="1" t="s">
        <v>20</v>
      </c>
      <c r="E1833" s="1" t="s">
        <v>37</v>
      </c>
      <c r="F1833" s="1" t="s">
        <v>22</v>
      </c>
      <c r="G1833" s="2">
        <v>45967</v>
      </c>
      <c r="H1833" s="2"/>
      <c r="I1833" s="1" t="s">
        <v>23</v>
      </c>
      <c r="L1833">
        <v>14</v>
      </c>
      <c r="M1833" s="1" t="s">
        <v>40</v>
      </c>
      <c r="N1833" s="2">
        <v>45962</v>
      </c>
      <c r="O1833">
        <v>2025</v>
      </c>
      <c r="P1833">
        <v>4</v>
      </c>
      <c r="Q1833" s="1" t="s">
        <v>33</v>
      </c>
    </row>
    <row r="1834" spans="1:17" x14ac:dyDescent="0.3">
      <c r="A1834" s="1" t="s">
        <v>1899</v>
      </c>
      <c r="B1834" s="1" t="s">
        <v>58</v>
      </c>
      <c r="C1834" s="1" t="s">
        <v>145</v>
      </c>
      <c r="D1834" s="1" t="s">
        <v>51</v>
      </c>
      <c r="E1834" s="1" t="s">
        <v>21</v>
      </c>
      <c r="F1834" s="1" t="s">
        <v>52</v>
      </c>
      <c r="G1834" s="2">
        <v>45668</v>
      </c>
      <c r="H1834" s="2">
        <v>45678</v>
      </c>
      <c r="I1834" s="1" t="s">
        <v>82</v>
      </c>
      <c r="J1834">
        <v>5</v>
      </c>
      <c r="K1834">
        <v>10</v>
      </c>
      <c r="L1834">
        <v>10</v>
      </c>
      <c r="M1834" s="1" t="s">
        <v>24</v>
      </c>
      <c r="N1834" s="2">
        <v>45658</v>
      </c>
      <c r="O1834">
        <v>2025</v>
      </c>
      <c r="P1834">
        <v>1</v>
      </c>
      <c r="Q1834" s="1" t="s">
        <v>24</v>
      </c>
    </row>
    <row r="1835" spans="1:17" x14ac:dyDescent="0.3">
      <c r="A1835" s="1" t="s">
        <v>1900</v>
      </c>
      <c r="B1835" s="1" t="s">
        <v>42</v>
      </c>
      <c r="C1835" s="1" t="s">
        <v>87</v>
      </c>
      <c r="D1835" s="1" t="s">
        <v>51</v>
      </c>
      <c r="E1835" s="1" t="s">
        <v>21</v>
      </c>
      <c r="F1835" s="1" t="s">
        <v>38</v>
      </c>
      <c r="G1835" s="2">
        <v>45943</v>
      </c>
      <c r="H1835" s="2">
        <v>45951</v>
      </c>
      <c r="I1835" s="1" t="s">
        <v>32</v>
      </c>
      <c r="J1835">
        <v>2</v>
      </c>
      <c r="K1835">
        <v>8</v>
      </c>
      <c r="L1835">
        <v>10</v>
      </c>
      <c r="M1835" s="1" t="s">
        <v>24</v>
      </c>
      <c r="N1835" s="2">
        <v>45931</v>
      </c>
      <c r="O1835">
        <v>2025</v>
      </c>
      <c r="P1835">
        <v>4</v>
      </c>
      <c r="Q1835" s="1" t="s">
        <v>24</v>
      </c>
    </row>
    <row r="1836" spans="1:17" x14ac:dyDescent="0.3">
      <c r="A1836" s="1" t="s">
        <v>1901</v>
      </c>
      <c r="B1836" s="1" t="s">
        <v>18</v>
      </c>
      <c r="C1836" s="1" t="s">
        <v>56</v>
      </c>
      <c r="D1836" s="1" t="s">
        <v>51</v>
      </c>
      <c r="E1836" s="1" t="s">
        <v>21</v>
      </c>
      <c r="F1836" s="1" t="s">
        <v>61</v>
      </c>
      <c r="G1836" s="2">
        <v>45782</v>
      </c>
      <c r="H1836" s="2">
        <v>45786</v>
      </c>
      <c r="I1836" s="1" t="s">
        <v>23</v>
      </c>
      <c r="J1836">
        <v>3</v>
      </c>
      <c r="K1836">
        <v>4</v>
      </c>
      <c r="L1836">
        <v>10</v>
      </c>
      <c r="M1836" s="1" t="s">
        <v>24</v>
      </c>
      <c r="N1836" s="2">
        <v>45778</v>
      </c>
      <c r="O1836">
        <v>2025</v>
      </c>
      <c r="P1836">
        <v>2</v>
      </c>
      <c r="Q1836" s="1" t="s">
        <v>24</v>
      </c>
    </row>
    <row r="1837" spans="1:17" x14ac:dyDescent="0.3">
      <c r="A1837" s="1" t="s">
        <v>1902</v>
      </c>
      <c r="B1837" s="1" t="s">
        <v>26</v>
      </c>
      <c r="C1837" s="1" t="s">
        <v>54</v>
      </c>
      <c r="D1837" s="1" t="s">
        <v>51</v>
      </c>
      <c r="E1837" s="1" t="s">
        <v>21</v>
      </c>
      <c r="F1837" s="1" t="s">
        <v>31</v>
      </c>
      <c r="G1837" s="2">
        <v>45937</v>
      </c>
      <c r="H1837" s="2">
        <v>45944</v>
      </c>
      <c r="I1837" s="1" t="s">
        <v>23</v>
      </c>
      <c r="J1837">
        <v>4</v>
      </c>
      <c r="K1837">
        <v>7</v>
      </c>
      <c r="L1837">
        <v>10</v>
      </c>
      <c r="M1837" s="1" t="s">
        <v>24</v>
      </c>
      <c r="N1837" s="2">
        <v>45931</v>
      </c>
      <c r="O1837">
        <v>2025</v>
      </c>
      <c r="P1837">
        <v>4</v>
      </c>
      <c r="Q1837" s="1" t="s">
        <v>24</v>
      </c>
    </row>
    <row r="1838" spans="1:17" x14ac:dyDescent="0.3">
      <c r="A1838" s="1" t="s">
        <v>1903</v>
      </c>
      <c r="B1838" s="1" t="s">
        <v>18</v>
      </c>
      <c r="C1838" s="1" t="s">
        <v>47</v>
      </c>
      <c r="D1838" s="1" t="s">
        <v>51</v>
      </c>
      <c r="E1838" s="1" t="s">
        <v>21</v>
      </c>
      <c r="F1838" s="1" t="s">
        <v>52</v>
      </c>
      <c r="G1838" s="2">
        <v>45678</v>
      </c>
      <c r="H1838" s="2">
        <v>45683</v>
      </c>
      <c r="I1838" s="1" t="s">
        <v>28</v>
      </c>
      <c r="J1838">
        <v>3</v>
      </c>
      <c r="K1838">
        <v>5</v>
      </c>
      <c r="L1838">
        <v>10</v>
      </c>
      <c r="M1838" s="1" t="s">
        <v>24</v>
      </c>
      <c r="N1838" s="2">
        <v>45658</v>
      </c>
      <c r="O1838">
        <v>2025</v>
      </c>
      <c r="P1838">
        <v>1</v>
      </c>
      <c r="Q1838" s="1" t="s">
        <v>24</v>
      </c>
    </row>
    <row r="1839" spans="1:17" x14ac:dyDescent="0.3">
      <c r="A1839" s="1" t="s">
        <v>1904</v>
      </c>
      <c r="B1839" s="1" t="s">
        <v>18</v>
      </c>
      <c r="C1839" s="1" t="s">
        <v>30</v>
      </c>
      <c r="D1839" s="1" t="s">
        <v>20</v>
      </c>
      <c r="E1839" s="1" t="s">
        <v>21</v>
      </c>
      <c r="F1839" s="1" t="s">
        <v>52</v>
      </c>
      <c r="G1839" s="2">
        <v>45664</v>
      </c>
      <c r="H1839" s="2">
        <v>45668</v>
      </c>
      <c r="I1839" s="1" t="s">
        <v>82</v>
      </c>
      <c r="J1839">
        <v>4</v>
      </c>
      <c r="K1839">
        <v>4</v>
      </c>
      <c r="L1839">
        <v>14</v>
      </c>
      <c r="M1839" s="1" t="s">
        <v>24</v>
      </c>
      <c r="N1839" s="2">
        <v>45658</v>
      </c>
      <c r="O1839">
        <v>2025</v>
      </c>
      <c r="P1839">
        <v>1</v>
      </c>
      <c r="Q1839" s="1" t="s">
        <v>24</v>
      </c>
    </row>
    <row r="1840" spans="1:17" x14ac:dyDescent="0.3">
      <c r="A1840" s="1" t="s">
        <v>1905</v>
      </c>
      <c r="B1840" s="1" t="s">
        <v>26</v>
      </c>
      <c r="C1840" s="1" t="s">
        <v>67</v>
      </c>
      <c r="D1840" s="1" t="s">
        <v>51</v>
      </c>
      <c r="E1840" s="1" t="s">
        <v>37</v>
      </c>
      <c r="F1840" s="1" t="s">
        <v>61</v>
      </c>
      <c r="G1840" s="2">
        <v>45821</v>
      </c>
      <c r="H1840" s="2"/>
      <c r="I1840" s="1" t="s">
        <v>39</v>
      </c>
      <c r="L1840">
        <v>10</v>
      </c>
      <c r="M1840" s="1" t="s">
        <v>40</v>
      </c>
      <c r="N1840" s="2">
        <v>45809</v>
      </c>
      <c r="O1840">
        <v>2025</v>
      </c>
      <c r="P1840">
        <v>2</v>
      </c>
      <c r="Q1840" s="1" t="s">
        <v>33</v>
      </c>
    </row>
    <row r="1841" spans="1:17" x14ac:dyDescent="0.3">
      <c r="A1841" s="1" t="s">
        <v>1906</v>
      </c>
      <c r="B1841" s="1" t="s">
        <v>63</v>
      </c>
      <c r="C1841" s="1" t="s">
        <v>64</v>
      </c>
      <c r="D1841" s="1" t="s">
        <v>51</v>
      </c>
      <c r="E1841" s="1" t="s">
        <v>21</v>
      </c>
      <c r="F1841" s="1" t="s">
        <v>22</v>
      </c>
      <c r="G1841" s="2">
        <v>45767</v>
      </c>
      <c r="H1841" s="2">
        <v>45770</v>
      </c>
      <c r="I1841" s="1" t="s">
        <v>82</v>
      </c>
      <c r="J1841">
        <v>3</v>
      </c>
      <c r="K1841">
        <v>3</v>
      </c>
      <c r="L1841">
        <v>10</v>
      </c>
      <c r="M1841" s="1" t="s">
        <v>24</v>
      </c>
      <c r="N1841" s="2">
        <v>45748</v>
      </c>
      <c r="O1841">
        <v>2025</v>
      </c>
      <c r="P1841">
        <v>2</v>
      </c>
      <c r="Q1841" s="1" t="s">
        <v>24</v>
      </c>
    </row>
    <row r="1842" spans="1:17" x14ac:dyDescent="0.3">
      <c r="A1842" s="1" t="s">
        <v>1907</v>
      </c>
      <c r="B1842" s="1" t="s">
        <v>42</v>
      </c>
      <c r="C1842" s="1" t="s">
        <v>76</v>
      </c>
      <c r="D1842" s="1" t="s">
        <v>51</v>
      </c>
      <c r="E1842" s="1" t="s">
        <v>37</v>
      </c>
      <c r="F1842" s="1" t="s">
        <v>38</v>
      </c>
      <c r="G1842" s="2">
        <v>45732</v>
      </c>
      <c r="H1842" s="2"/>
      <c r="I1842" s="1" t="s">
        <v>39</v>
      </c>
      <c r="L1842">
        <v>10</v>
      </c>
      <c r="M1842" s="1" t="s">
        <v>40</v>
      </c>
      <c r="N1842" s="2">
        <v>45717</v>
      </c>
      <c r="O1842">
        <v>2025</v>
      </c>
      <c r="P1842">
        <v>1</v>
      </c>
      <c r="Q1842" s="1" t="s">
        <v>33</v>
      </c>
    </row>
    <row r="1843" spans="1:17" x14ac:dyDescent="0.3">
      <c r="A1843" s="1" t="s">
        <v>1908</v>
      </c>
      <c r="B1843" s="1" t="s">
        <v>26</v>
      </c>
      <c r="C1843" s="1" t="s">
        <v>67</v>
      </c>
      <c r="D1843" s="1" t="s">
        <v>51</v>
      </c>
      <c r="E1843" s="1" t="s">
        <v>21</v>
      </c>
      <c r="F1843" s="1" t="s">
        <v>52</v>
      </c>
      <c r="G1843" s="2">
        <v>45869</v>
      </c>
      <c r="H1843" s="2">
        <v>45876</v>
      </c>
      <c r="I1843" s="1" t="s">
        <v>39</v>
      </c>
      <c r="J1843">
        <v>5</v>
      </c>
      <c r="K1843">
        <v>7</v>
      </c>
      <c r="L1843">
        <v>10</v>
      </c>
      <c r="M1843" s="1" t="s">
        <v>24</v>
      </c>
      <c r="N1843" s="2">
        <v>45839</v>
      </c>
      <c r="O1843">
        <v>2025</v>
      </c>
      <c r="P1843">
        <v>3</v>
      </c>
      <c r="Q1843" s="1" t="s">
        <v>24</v>
      </c>
    </row>
    <row r="1844" spans="1:17" x14ac:dyDescent="0.3">
      <c r="A1844" s="1" t="s">
        <v>1909</v>
      </c>
      <c r="B1844" s="1" t="s">
        <v>42</v>
      </c>
      <c r="C1844" s="1" t="s">
        <v>87</v>
      </c>
      <c r="D1844" s="1" t="s">
        <v>20</v>
      </c>
      <c r="E1844" s="1" t="s">
        <v>21</v>
      </c>
      <c r="F1844" s="1" t="s">
        <v>52</v>
      </c>
      <c r="G1844" s="2">
        <v>45860</v>
      </c>
      <c r="H1844" s="2">
        <v>45863</v>
      </c>
      <c r="I1844" s="1" t="s">
        <v>39</v>
      </c>
      <c r="J1844">
        <v>3</v>
      </c>
      <c r="K1844">
        <v>3</v>
      </c>
      <c r="L1844">
        <v>14</v>
      </c>
      <c r="M1844" s="1" t="s">
        <v>24</v>
      </c>
      <c r="N1844" s="2">
        <v>45839</v>
      </c>
      <c r="O1844">
        <v>2025</v>
      </c>
      <c r="P1844">
        <v>3</v>
      </c>
      <c r="Q1844" s="1" t="s">
        <v>24</v>
      </c>
    </row>
    <row r="1845" spans="1:17" x14ac:dyDescent="0.3">
      <c r="A1845" s="1" t="s">
        <v>1910</v>
      </c>
      <c r="B1845" s="1" t="s">
        <v>58</v>
      </c>
      <c r="C1845" s="1" t="s">
        <v>108</v>
      </c>
      <c r="D1845" s="1" t="s">
        <v>44</v>
      </c>
      <c r="E1845" s="1" t="s">
        <v>21</v>
      </c>
      <c r="F1845" s="1" t="s">
        <v>31</v>
      </c>
      <c r="G1845" s="2">
        <v>45972</v>
      </c>
      <c r="H1845" s="2">
        <v>45979</v>
      </c>
      <c r="I1845" s="1" t="s">
        <v>28</v>
      </c>
      <c r="J1845">
        <v>4</v>
      </c>
      <c r="K1845">
        <v>7</v>
      </c>
      <c r="L1845">
        <v>7</v>
      </c>
      <c r="M1845" s="1" t="s">
        <v>24</v>
      </c>
      <c r="N1845" s="2">
        <v>45962</v>
      </c>
      <c r="O1845">
        <v>2025</v>
      </c>
      <c r="P1845">
        <v>4</v>
      </c>
      <c r="Q1845" s="1" t="s">
        <v>24</v>
      </c>
    </row>
    <row r="1846" spans="1:17" x14ac:dyDescent="0.3">
      <c r="A1846" s="1" t="s">
        <v>1911</v>
      </c>
      <c r="B1846" s="1" t="s">
        <v>63</v>
      </c>
      <c r="C1846" s="1" t="s">
        <v>84</v>
      </c>
      <c r="D1846" s="1" t="s">
        <v>51</v>
      </c>
      <c r="E1846" s="1" t="s">
        <v>21</v>
      </c>
      <c r="F1846" s="1" t="s">
        <v>22</v>
      </c>
      <c r="G1846" s="2">
        <v>45965</v>
      </c>
      <c r="H1846" s="2">
        <v>45967</v>
      </c>
      <c r="I1846" s="1" t="s">
        <v>23</v>
      </c>
      <c r="J1846">
        <v>4</v>
      </c>
      <c r="K1846">
        <v>2</v>
      </c>
      <c r="L1846">
        <v>10</v>
      </c>
      <c r="M1846" s="1" t="s">
        <v>24</v>
      </c>
      <c r="N1846" s="2">
        <v>45962</v>
      </c>
      <c r="O1846">
        <v>2025</v>
      </c>
      <c r="P1846">
        <v>4</v>
      </c>
      <c r="Q1846" s="1" t="s">
        <v>24</v>
      </c>
    </row>
    <row r="1847" spans="1:17" x14ac:dyDescent="0.3">
      <c r="A1847" s="1" t="s">
        <v>1912</v>
      </c>
      <c r="B1847" s="1" t="s">
        <v>18</v>
      </c>
      <c r="C1847" s="1" t="s">
        <v>47</v>
      </c>
      <c r="D1847" s="1" t="s">
        <v>44</v>
      </c>
      <c r="E1847" s="1" t="s">
        <v>21</v>
      </c>
      <c r="F1847" s="1" t="s">
        <v>52</v>
      </c>
      <c r="G1847" s="2">
        <v>45800</v>
      </c>
      <c r="H1847" s="2">
        <v>45804</v>
      </c>
      <c r="I1847" s="1" t="s">
        <v>32</v>
      </c>
      <c r="J1847">
        <v>3</v>
      </c>
      <c r="K1847">
        <v>4</v>
      </c>
      <c r="L1847">
        <v>7</v>
      </c>
      <c r="M1847" s="1" t="s">
        <v>24</v>
      </c>
      <c r="N1847" s="2">
        <v>45778</v>
      </c>
      <c r="O1847">
        <v>2025</v>
      </c>
      <c r="P1847">
        <v>2</v>
      </c>
      <c r="Q1847" s="1" t="s">
        <v>24</v>
      </c>
    </row>
    <row r="1848" spans="1:17" x14ac:dyDescent="0.3">
      <c r="A1848" s="1" t="s">
        <v>1913</v>
      </c>
      <c r="B1848" s="1" t="s">
        <v>26</v>
      </c>
      <c r="C1848" s="1" t="s">
        <v>123</v>
      </c>
      <c r="D1848" s="1" t="s">
        <v>44</v>
      </c>
      <c r="E1848" s="1" t="s">
        <v>37</v>
      </c>
      <c r="F1848" s="1" t="s">
        <v>22</v>
      </c>
      <c r="G1848" s="2">
        <v>45898</v>
      </c>
      <c r="H1848" s="2"/>
      <c r="I1848" s="1" t="s">
        <v>39</v>
      </c>
      <c r="L1848">
        <v>7</v>
      </c>
      <c r="M1848" s="1" t="s">
        <v>40</v>
      </c>
      <c r="N1848" s="2">
        <v>45870</v>
      </c>
      <c r="O1848">
        <v>2025</v>
      </c>
      <c r="P1848">
        <v>3</v>
      </c>
      <c r="Q1848" s="1" t="s">
        <v>33</v>
      </c>
    </row>
    <row r="1849" spans="1:17" x14ac:dyDescent="0.3">
      <c r="A1849" s="1" t="s">
        <v>1914</v>
      </c>
      <c r="B1849" s="1" t="s">
        <v>58</v>
      </c>
      <c r="C1849" s="1" t="s">
        <v>108</v>
      </c>
      <c r="D1849" s="1" t="s">
        <v>51</v>
      </c>
      <c r="E1849" s="1" t="s">
        <v>21</v>
      </c>
      <c r="F1849" s="1" t="s">
        <v>22</v>
      </c>
      <c r="G1849" s="2">
        <v>45908</v>
      </c>
      <c r="H1849" s="2">
        <v>45915</v>
      </c>
      <c r="I1849" s="1" t="s">
        <v>23</v>
      </c>
      <c r="J1849">
        <v>4</v>
      </c>
      <c r="K1849">
        <v>7</v>
      </c>
      <c r="L1849">
        <v>10</v>
      </c>
      <c r="M1849" s="1" t="s">
        <v>24</v>
      </c>
      <c r="N1849" s="2">
        <v>45901</v>
      </c>
      <c r="O1849">
        <v>2025</v>
      </c>
      <c r="P1849">
        <v>3</v>
      </c>
      <c r="Q1849" s="1" t="s">
        <v>24</v>
      </c>
    </row>
    <row r="1850" spans="1:17" x14ac:dyDescent="0.3">
      <c r="A1850" s="1" t="s">
        <v>1915</v>
      </c>
      <c r="B1850" s="1" t="s">
        <v>35</v>
      </c>
      <c r="C1850" s="1" t="s">
        <v>97</v>
      </c>
      <c r="D1850" s="1" t="s">
        <v>44</v>
      </c>
      <c r="E1850" s="1" t="s">
        <v>48</v>
      </c>
      <c r="F1850" s="1" t="s">
        <v>22</v>
      </c>
      <c r="G1850" s="2">
        <v>45962</v>
      </c>
      <c r="H1850" s="2"/>
      <c r="I1850" s="1" t="s">
        <v>28</v>
      </c>
      <c r="L1850">
        <v>7</v>
      </c>
      <c r="M1850" s="1" t="s">
        <v>40</v>
      </c>
      <c r="N1850" s="2">
        <v>45962</v>
      </c>
      <c r="O1850">
        <v>2025</v>
      </c>
      <c r="P1850">
        <v>4</v>
      </c>
      <c r="Q1850" s="1" t="s">
        <v>33</v>
      </c>
    </row>
    <row r="1851" spans="1:17" x14ac:dyDescent="0.3">
      <c r="A1851" s="1" t="s">
        <v>1916</v>
      </c>
      <c r="B1851" s="1" t="s">
        <v>35</v>
      </c>
      <c r="C1851" s="1" t="s">
        <v>97</v>
      </c>
      <c r="D1851" s="1" t="s">
        <v>44</v>
      </c>
      <c r="E1851" s="1" t="s">
        <v>21</v>
      </c>
      <c r="F1851" s="1" t="s">
        <v>52</v>
      </c>
      <c r="G1851" s="2">
        <v>45836</v>
      </c>
      <c r="H1851" s="2">
        <v>45839</v>
      </c>
      <c r="I1851" s="1" t="s">
        <v>82</v>
      </c>
      <c r="J1851">
        <v>3</v>
      </c>
      <c r="K1851">
        <v>3</v>
      </c>
      <c r="L1851">
        <v>7</v>
      </c>
      <c r="M1851" s="1" t="s">
        <v>24</v>
      </c>
      <c r="N1851" s="2">
        <v>45809</v>
      </c>
      <c r="O1851">
        <v>2025</v>
      </c>
      <c r="P1851">
        <v>2</v>
      </c>
      <c r="Q1851" s="1" t="s">
        <v>24</v>
      </c>
    </row>
    <row r="1852" spans="1:17" x14ac:dyDescent="0.3">
      <c r="A1852" s="1" t="s">
        <v>1917</v>
      </c>
      <c r="B1852" s="1" t="s">
        <v>18</v>
      </c>
      <c r="C1852" s="1" t="s">
        <v>30</v>
      </c>
      <c r="D1852" s="1" t="s">
        <v>51</v>
      </c>
      <c r="E1852" s="1" t="s">
        <v>21</v>
      </c>
      <c r="F1852" s="1" t="s">
        <v>61</v>
      </c>
      <c r="G1852" s="2">
        <v>46000</v>
      </c>
      <c r="H1852" s="2">
        <v>46005</v>
      </c>
      <c r="I1852" s="1" t="s">
        <v>32</v>
      </c>
      <c r="J1852">
        <v>5</v>
      </c>
      <c r="K1852">
        <v>5</v>
      </c>
      <c r="L1852">
        <v>10</v>
      </c>
      <c r="M1852" s="1" t="s">
        <v>24</v>
      </c>
      <c r="N1852" s="2">
        <v>45992</v>
      </c>
      <c r="O1852">
        <v>2025</v>
      </c>
      <c r="P1852">
        <v>4</v>
      </c>
      <c r="Q1852" s="1" t="s">
        <v>24</v>
      </c>
    </row>
    <row r="1853" spans="1:17" x14ac:dyDescent="0.3">
      <c r="A1853" s="1" t="s">
        <v>1918</v>
      </c>
      <c r="B1853" s="1" t="s">
        <v>63</v>
      </c>
      <c r="C1853" s="1" t="s">
        <v>84</v>
      </c>
      <c r="D1853" s="1" t="s">
        <v>44</v>
      </c>
      <c r="E1853" s="1" t="s">
        <v>21</v>
      </c>
      <c r="F1853" s="1" t="s">
        <v>22</v>
      </c>
      <c r="G1853" s="2">
        <v>45762</v>
      </c>
      <c r="H1853" s="2">
        <v>45769</v>
      </c>
      <c r="I1853" s="1" t="s">
        <v>28</v>
      </c>
      <c r="J1853">
        <v>4</v>
      </c>
      <c r="K1853">
        <v>7</v>
      </c>
      <c r="L1853">
        <v>7</v>
      </c>
      <c r="M1853" s="1" t="s">
        <v>24</v>
      </c>
      <c r="N1853" s="2">
        <v>45748</v>
      </c>
      <c r="O1853">
        <v>2025</v>
      </c>
      <c r="P1853">
        <v>2</v>
      </c>
      <c r="Q1853" s="1" t="s">
        <v>24</v>
      </c>
    </row>
    <row r="1854" spans="1:17" x14ac:dyDescent="0.3">
      <c r="A1854" s="1" t="s">
        <v>1919</v>
      </c>
      <c r="B1854" s="1" t="s">
        <v>42</v>
      </c>
      <c r="C1854" s="1" t="s">
        <v>43</v>
      </c>
      <c r="D1854" s="1" t="s">
        <v>51</v>
      </c>
      <c r="E1854" s="1" t="s">
        <v>21</v>
      </c>
      <c r="F1854" s="1" t="s">
        <v>31</v>
      </c>
      <c r="G1854" s="2">
        <v>45982</v>
      </c>
      <c r="H1854" s="2">
        <v>45989</v>
      </c>
      <c r="I1854" s="1" t="s">
        <v>32</v>
      </c>
      <c r="J1854">
        <v>3</v>
      </c>
      <c r="K1854">
        <v>7</v>
      </c>
      <c r="L1854">
        <v>10</v>
      </c>
      <c r="M1854" s="1" t="s">
        <v>24</v>
      </c>
      <c r="N1854" s="2">
        <v>45962</v>
      </c>
      <c r="O1854">
        <v>2025</v>
      </c>
      <c r="P1854">
        <v>4</v>
      </c>
      <c r="Q1854" s="1" t="s">
        <v>24</v>
      </c>
    </row>
    <row r="1855" spans="1:17" x14ac:dyDescent="0.3">
      <c r="A1855" s="1" t="s">
        <v>1920</v>
      </c>
      <c r="B1855" s="1" t="s">
        <v>63</v>
      </c>
      <c r="C1855" s="1" t="s">
        <v>89</v>
      </c>
      <c r="D1855" s="1" t="s">
        <v>51</v>
      </c>
      <c r="E1855" s="1" t="s">
        <v>21</v>
      </c>
      <c r="F1855" s="1" t="s">
        <v>61</v>
      </c>
      <c r="G1855" s="2">
        <v>45948</v>
      </c>
      <c r="H1855" s="2">
        <v>45957</v>
      </c>
      <c r="I1855" s="1" t="s">
        <v>32</v>
      </c>
      <c r="J1855">
        <v>4</v>
      </c>
      <c r="K1855">
        <v>9</v>
      </c>
      <c r="L1855">
        <v>10</v>
      </c>
      <c r="M1855" s="1" t="s">
        <v>24</v>
      </c>
      <c r="N1855" s="2">
        <v>45931</v>
      </c>
      <c r="O1855">
        <v>2025</v>
      </c>
      <c r="P1855">
        <v>4</v>
      </c>
      <c r="Q1855" s="1" t="s">
        <v>24</v>
      </c>
    </row>
    <row r="1856" spans="1:17" x14ac:dyDescent="0.3">
      <c r="A1856" s="1" t="s">
        <v>1921</v>
      </c>
      <c r="B1856" s="1" t="s">
        <v>26</v>
      </c>
      <c r="C1856" s="1" t="s">
        <v>67</v>
      </c>
      <c r="D1856" s="1" t="s">
        <v>51</v>
      </c>
      <c r="E1856" s="1" t="s">
        <v>48</v>
      </c>
      <c r="F1856" s="1" t="s">
        <v>31</v>
      </c>
      <c r="G1856" s="2">
        <v>45939</v>
      </c>
      <c r="H1856" s="2"/>
      <c r="I1856" s="1" t="s">
        <v>23</v>
      </c>
      <c r="L1856">
        <v>10</v>
      </c>
      <c r="M1856" s="1" t="s">
        <v>40</v>
      </c>
      <c r="N1856" s="2">
        <v>45931</v>
      </c>
      <c r="O1856">
        <v>2025</v>
      </c>
      <c r="P1856">
        <v>4</v>
      </c>
      <c r="Q1856" s="1" t="s">
        <v>33</v>
      </c>
    </row>
    <row r="1857" spans="1:17" x14ac:dyDescent="0.3">
      <c r="A1857" s="1" t="s">
        <v>1922</v>
      </c>
      <c r="B1857" s="1" t="s">
        <v>42</v>
      </c>
      <c r="C1857" s="1" t="s">
        <v>76</v>
      </c>
      <c r="D1857" s="1" t="s">
        <v>44</v>
      </c>
      <c r="E1857" s="1" t="s">
        <v>21</v>
      </c>
      <c r="F1857" s="1" t="s">
        <v>22</v>
      </c>
      <c r="G1857" s="2">
        <v>45911</v>
      </c>
      <c r="H1857" s="2">
        <v>45915</v>
      </c>
      <c r="I1857" s="1" t="s">
        <v>82</v>
      </c>
      <c r="J1857">
        <v>5</v>
      </c>
      <c r="K1857">
        <v>4</v>
      </c>
      <c r="L1857">
        <v>7</v>
      </c>
      <c r="M1857" s="1" t="s">
        <v>24</v>
      </c>
      <c r="N1857" s="2">
        <v>45901</v>
      </c>
      <c r="O1857">
        <v>2025</v>
      </c>
      <c r="P1857">
        <v>3</v>
      </c>
      <c r="Q1857" s="1" t="s">
        <v>24</v>
      </c>
    </row>
    <row r="1858" spans="1:17" x14ac:dyDescent="0.3">
      <c r="A1858" s="1" t="s">
        <v>1923</v>
      </c>
      <c r="B1858" s="1" t="s">
        <v>35</v>
      </c>
      <c r="C1858" s="1" t="s">
        <v>50</v>
      </c>
      <c r="D1858" s="1" t="s">
        <v>20</v>
      </c>
      <c r="E1858" s="1" t="s">
        <v>21</v>
      </c>
      <c r="F1858" s="1" t="s">
        <v>22</v>
      </c>
      <c r="G1858" s="2">
        <v>45876</v>
      </c>
      <c r="H1858" s="2">
        <v>45889</v>
      </c>
      <c r="I1858" s="1" t="s">
        <v>23</v>
      </c>
      <c r="J1858">
        <v>5</v>
      </c>
      <c r="K1858">
        <v>13</v>
      </c>
      <c r="L1858">
        <v>14</v>
      </c>
      <c r="M1858" s="1" t="s">
        <v>24</v>
      </c>
      <c r="N1858" s="2">
        <v>45870</v>
      </c>
      <c r="O1858">
        <v>2025</v>
      </c>
      <c r="P1858">
        <v>3</v>
      </c>
      <c r="Q1858" s="1" t="s">
        <v>24</v>
      </c>
    </row>
    <row r="1859" spans="1:17" x14ac:dyDescent="0.3">
      <c r="A1859" s="1" t="s">
        <v>1924</v>
      </c>
      <c r="B1859" s="1" t="s">
        <v>58</v>
      </c>
      <c r="C1859" s="1" t="s">
        <v>145</v>
      </c>
      <c r="D1859" s="1" t="s">
        <v>51</v>
      </c>
      <c r="E1859" s="1" t="s">
        <v>21</v>
      </c>
      <c r="F1859" s="1" t="s">
        <v>38</v>
      </c>
      <c r="G1859" s="2">
        <v>45750</v>
      </c>
      <c r="H1859" s="2">
        <v>45753</v>
      </c>
      <c r="I1859" s="1" t="s">
        <v>23</v>
      </c>
      <c r="J1859">
        <v>4</v>
      </c>
      <c r="K1859">
        <v>3</v>
      </c>
      <c r="L1859">
        <v>10</v>
      </c>
      <c r="M1859" s="1" t="s">
        <v>24</v>
      </c>
      <c r="N1859" s="2">
        <v>45748</v>
      </c>
      <c r="O1859">
        <v>2025</v>
      </c>
      <c r="P1859">
        <v>2</v>
      </c>
      <c r="Q1859" s="1" t="s">
        <v>24</v>
      </c>
    </row>
    <row r="1860" spans="1:17" x14ac:dyDescent="0.3">
      <c r="A1860" s="1" t="s">
        <v>1925</v>
      </c>
      <c r="B1860" s="1" t="s">
        <v>42</v>
      </c>
      <c r="C1860" s="1" t="s">
        <v>43</v>
      </c>
      <c r="D1860" s="1" t="s">
        <v>20</v>
      </c>
      <c r="E1860" s="1" t="s">
        <v>21</v>
      </c>
      <c r="F1860" s="1" t="s">
        <v>31</v>
      </c>
      <c r="G1860" s="2">
        <v>45723</v>
      </c>
      <c r="H1860" s="2">
        <v>45738</v>
      </c>
      <c r="I1860" s="1" t="s">
        <v>28</v>
      </c>
      <c r="J1860">
        <v>2</v>
      </c>
      <c r="K1860">
        <v>15</v>
      </c>
      <c r="L1860">
        <v>14</v>
      </c>
      <c r="M1860" s="1" t="s">
        <v>33</v>
      </c>
      <c r="N1860" s="2">
        <v>45717</v>
      </c>
      <c r="O1860">
        <v>2025</v>
      </c>
      <c r="P1860">
        <v>1</v>
      </c>
      <c r="Q1860" s="1" t="s">
        <v>24</v>
      </c>
    </row>
    <row r="1861" spans="1:17" x14ac:dyDescent="0.3">
      <c r="A1861" s="1" t="s">
        <v>1926</v>
      </c>
      <c r="B1861" s="1" t="s">
        <v>42</v>
      </c>
      <c r="C1861" s="1" t="s">
        <v>81</v>
      </c>
      <c r="D1861" s="1" t="s">
        <v>20</v>
      </c>
      <c r="E1861" s="1" t="s">
        <v>21</v>
      </c>
      <c r="F1861" s="1" t="s">
        <v>31</v>
      </c>
      <c r="G1861" s="2">
        <v>45977</v>
      </c>
      <c r="H1861" s="2">
        <v>45991</v>
      </c>
      <c r="I1861" s="1" t="s">
        <v>28</v>
      </c>
      <c r="J1861">
        <v>3</v>
      </c>
      <c r="K1861">
        <v>14</v>
      </c>
      <c r="L1861">
        <v>14</v>
      </c>
      <c r="M1861" s="1" t="s">
        <v>24</v>
      </c>
      <c r="N1861" s="2">
        <v>45962</v>
      </c>
      <c r="O1861">
        <v>2025</v>
      </c>
      <c r="P1861">
        <v>4</v>
      </c>
      <c r="Q1861" s="1" t="s">
        <v>24</v>
      </c>
    </row>
    <row r="1862" spans="1:17" x14ac:dyDescent="0.3">
      <c r="A1862" s="1" t="s">
        <v>1927</v>
      </c>
      <c r="B1862" s="1" t="s">
        <v>63</v>
      </c>
      <c r="C1862" s="1" t="s">
        <v>64</v>
      </c>
      <c r="D1862" s="1" t="s">
        <v>51</v>
      </c>
      <c r="E1862" s="1" t="s">
        <v>21</v>
      </c>
      <c r="F1862" s="1" t="s">
        <v>61</v>
      </c>
      <c r="G1862" s="2">
        <v>45794</v>
      </c>
      <c r="H1862" s="2">
        <v>45804</v>
      </c>
      <c r="I1862" s="1" t="s">
        <v>28</v>
      </c>
      <c r="J1862">
        <v>4</v>
      </c>
      <c r="K1862">
        <v>10</v>
      </c>
      <c r="L1862">
        <v>10</v>
      </c>
      <c r="M1862" s="1" t="s">
        <v>24</v>
      </c>
      <c r="N1862" s="2">
        <v>45778</v>
      </c>
      <c r="O1862">
        <v>2025</v>
      </c>
      <c r="P1862">
        <v>2</v>
      </c>
      <c r="Q1862" s="1" t="s">
        <v>24</v>
      </c>
    </row>
    <row r="1863" spans="1:17" x14ac:dyDescent="0.3">
      <c r="A1863" s="1" t="s">
        <v>1928</v>
      </c>
      <c r="B1863" s="1" t="s">
        <v>42</v>
      </c>
      <c r="C1863" s="1" t="s">
        <v>43</v>
      </c>
      <c r="D1863" s="1" t="s">
        <v>44</v>
      </c>
      <c r="E1863" s="1" t="s">
        <v>21</v>
      </c>
      <c r="F1863" s="1" t="s">
        <v>38</v>
      </c>
      <c r="G1863" s="2">
        <v>45854</v>
      </c>
      <c r="H1863" s="2">
        <v>45856</v>
      </c>
      <c r="I1863" s="1" t="s">
        <v>28</v>
      </c>
      <c r="J1863">
        <v>4</v>
      </c>
      <c r="K1863">
        <v>2</v>
      </c>
      <c r="L1863">
        <v>7</v>
      </c>
      <c r="M1863" s="1" t="s">
        <v>24</v>
      </c>
      <c r="N1863" s="2">
        <v>45839</v>
      </c>
      <c r="O1863">
        <v>2025</v>
      </c>
      <c r="P1863">
        <v>3</v>
      </c>
      <c r="Q1863" s="1" t="s">
        <v>24</v>
      </c>
    </row>
    <row r="1864" spans="1:17" x14ac:dyDescent="0.3">
      <c r="A1864" s="1" t="s">
        <v>1929</v>
      </c>
      <c r="B1864" s="1" t="s">
        <v>42</v>
      </c>
      <c r="C1864" s="1" t="s">
        <v>43</v>
      </c>
      <c r="D1864" s="1" t="s">
        <v>44</v>
      </c>
      <c r="E1864" s="1" t="s">
        <v>21</v>
      </c>
      <c r="F1864" s="1" t="s">
        <v>61</v>
      </c>
      <c r="G1864" s="2">
        <v>45784</v>
      </c>
      <c r="H1864" s="2">
        <v>45791</v>
      </c>
      <c r="I1864" s="1" t="s">
        <v>39</v>
      </c>
      <c r="J1864">
        <v>4</v>
      </c>
      <c r="K1864">
        <v>7</v>
      </c>
      <c r="L1864">
        <v>7</v>
      </c>
      <c r="M1864" s="1" t="s">
        <v>24</v>
      </c>
      <c r="N1864" s="2">
        <v>45778</v>
      </c>
      <c r="O1864">
        <v>2025</v>
      </c>
      <c r="P1864">
        <v>2</v>
      </c>
      <c r="Q1864" s="1" t="s">
        <v>24</v>
      </c>
    </row>
    <row r="1865" spans="1:17" x14ac:dyDescent="0.3">
      <c r="A1865" s="1" t="s">
        <v>1930</v>
      </c>
      <c r="B1865" s="1" t="s">
        <v>26</v>
      </c>
      <c r="C1865" s="1" t="s">
        <v>54</v>
      </c>
      <c r="D1865" s="1" t="s">
        <v>44</v>
      </c>
      <c r="E1865" s="1" t="s">
        <v>48</v>
      </c>
      <c r="F1865" s="1" t="s">
        <v>38</v>
      </c>
      <c r="G1865" s="2">
        <v>45801</v>
      </c>
      <c r="H1865" s="2"/>
      <c r="I1865" s="1" t="s">
        <v>23</v>
      </c>
      <c r="L1865">
        <v>7</v>
      </c>
      <c r="M1865" s="1" t="s">
        <v>40</v>
      </c>
      <c r="N1865" s="2">
        <v>45778</v>
      </c>
      <c r="O1865">
        <v>2025</v>
      </c>
      <c r="P1865">
        <v>2</v>
      </c>
      <c r="Q1865" s="1" t="s">
        <v>33</v>
      </c>
    </row>
    <row r="1866" spans="1:17" x14ac:dyDescent="0.3">
      <c r="A1866" s="1" t="s">
        <v>1931</v>
      </c>
      <c r="B1866" s="1" t="s">
        <v>63</v>
      </c>
      <c r="C1866" s="1" t="s">
        <v>84</v>
      </c>
      <c r="D1866" s="1" t="s">
        <v>51</v>
      </c>
      <c r="E1866" s="1" t="s">
        <v>48</v>
      </c>
      <c r="F1866" s="1" t="s">
        <v>31</v>
      </c>
      <c r="G1866" s="2">
        <v>45855</v>
      </c>
      <c r="H1866" s="2"/>
      <c r="I1866" s="1" t="s">
        <v>28</v>
      </c>
      <c r="L1866">
        <v>10</v>
      </c>
      <c r="M1866" s="1" t="s">
        <v>40</v>
      </c>
      <c r="N1866" s="2">
        <v>45839</v>
      </c>
      <c r="O1866">
        <v>2025</v>
      </c>
      <c r="P1866">
        <v>3</v>
      </c>
      <c r="Q1866" s="1" t="s">
        <v>33</v>
      </c>
    </row>
    <row r="1867" spans="1:17" x14ac:dyDescent="0.3">
      <c r="A1867" s="1" t="s">
        <v>1932</v>
      </c>
      <c r="B1867" s="1" t="s">
        <v>63</v>
      </c>
      <c r="C1867" s="1" t="s">
        <v>74</v>
      </c>
      <c r="D1867" s="1" t="s">
        <v>44</v>
      </c>
      <c r="E1867" s="1" t="s">
        <v>21</v>
      </c>
      <c r="F1867" s="1" t="s">
        <v>31</v>
      </c>
      <c r="G1867" s="2">
        <v>45885</v>
      </c>
      <c r="H1867" s="2">
        <v>45889</v>
      </c>
      <c r="I1867" s="1" t="s">
        <v>82</v>
      </c>
      <c r="J1867">
        <v>3</v>
      </c>
      <c r="K1867">
        <v>4</v>
      </c>
      <c r="L1867">
        <v>7</v>
      </c>
      <c r="M1867" s="1" t="s">
        <v>24</v>
      </c>
      <c r="N1867" s="2">
        <v>45870</v>
      </c>
      <c r="O1867">
        <v>2025</v>
      </c>
      <c r="P1867">
        <v>3</v>
      </c>
      <c r="Q1867" s="1" t="s">
        <v>24</v>
      </c>
    </row>
    <row r="1868" spans="1:17" x14ac:dyDescent="0.3">
      <c r="A1868" s="1" t="s">
        <v>1933</v>
      </c>
      <c r="B1868" s="1" t="s">
        <v>58</v>
      </c>
      <c r="C1868" s="1" t="s">
        <v>70</v>
      </c>
      <c r="D1868" s="1" t="s">
        <v>51</v>
      </c>
      <c r="E1868" s="1" t="s">
        <v>21</v>
      </c>
      <c r="F1868" s="1" t="s">
        <v>22</v>
      </c>
      <c r="G1868" s="2">
        <v>46002</v>
      </c>
      <c r="H1868" s="2">
        <v>46011</v>
      </c>
      <c r="I1868" s="1" t="s">
        <v>32</v>
      </c>
      <c r="J1868">
        <v>4</v>
      </c>
      <c r="K1868">
        <v>9</v>
      </c>
      <c r="L1868">
        <v>10</v>
      </c>
      <c r="M1868" s="1" t="s">
        <v>24</v>
      </c>
      <c r="N1868" s="2">
        <v>45992</v>
      </c>
      <c r="O1868">
        <v>2025</v>
      </c>
      <c r="P1868">
        <v>4</v>
      </c>
      <c r="Q1868" s="1" t="s">
        <v>24</v>
      </c>
    </row>
    <row r="1869" spans="1:17" x14ac:dyDescent="0.3">
      <c r="A1869" s="1" t="s">
        <v>1934</v>
      </c>
      <c r="B1869" s="1" t="s">
        <v>35</v>
      </c>
      <c r="C1869" s="1" t="s">
        <v>99</v>
      </c>
      <c r="D1869" s="1" t="s">
        <v>51</v>
      </c>
      <c r="E1869" s="1" t="s">
        <v>21</v>
      </c>
      <c r="F1869" s="1" t="s">
        <v>38</v>
      </c>
      <c r="G1869" s="2">
        <v>45884</v>
      </c>
      <c r="H1869" s="2">
        <v>45889</v>
      </c>
      <c r="I1869" s="1" t="s">
        <v>82</v>
      </c>
      <c r="J1869">
        <v>4</v>
      </c>
      <c r="K1869">
        <v>5</v>
      </c>
      <c r="L1869">
        <v>10</v>
      </c>
      <c r="M1869" s="1" t="s">
        <v>24</v>
      </c>
      <c r="N1869" s="2">
        <v>45870</v>
      </c>
      <c r="O1869">
        <v>2025</v>
      </c>
      <c r="P1869">
        <v>3</v>
      </c>
      <c r="Q1869" s="1" t="s">
        <v>24</v>
      </c>
    </row>
    <row r="1870" spans="1:17" x14ac:dyDescent="0.3">
      <c r="A1870" s="1" t="s">
        <v>1935</v>
      </c>
      <c r="B1870" s="1" t="s">
        <v>18</v>
      </c>
      <c r="C1870" s="1" t="s">
        <v>30</v>
      </c>
      <c r="D1870" s="1" t="s">
        <v>20</v>
      </c>
      <c r="E1870" s="1" t="s">
        <v>21</v>
      </c>
      <c r="F1870" s="1" t="s">
        <v>52</v>
      </c>
      <c r="G1870" s="2">
        <v>45769</v>
      </c>
      <c r="H1870" s="2">
        <v>45777</v>
      </c>
      <c r="I1870" s="1" t="s">
        <v>28</v>
      </c>
      <c r="J1870">
        <v>4</v>
      </c>
      <c r="K1870">
        <v>8</v>
      </c>
      <c r="L1870">
        <v>14</v>
      </c>
      <c r="M1870" s="1" t="s">
        <v>24</v>
      </c>
      <c r="N1870" s="2">
        <v>45748</v>
      </c>
      <c r="O1870">
        <v>2025</v>
      </c>
      <c r="P1870">
        <v>2</v>
      </c>
      <c r="Q1870" s="1" t="s">
        <v>24</v>
      </c>
    </row>
    <row r="1871" spans="1:17" x14ac:dyDescent="0.3">
      <c r="A1871" s="1" t="s">
        <v>1936</v>
      </c>
      <c r="B1871" s="1" t="s">
        <v>18</v>
      </c>
      <c r="C1871" s="1" t="s">
        <v>56</v>
      </c>
      <c r="D1871" s="1" t="s">
        <v>44</v>
      </c>
      <c r="E1871" s="1" t="s">
        <v>21</v>
      </c>
      <c r="F1871" s="1" t="s">
        <v>22</v>
      </c>
      <c r="G1871" s="2">
        <v>45898</v>
      </c>
      <c r="H1871" s="2">
        <v>45899</v>
      </c>
      <c r="I1871" s="1" t="s">
        <v>28</v>
      </c>
      <c r="J1871">
        <v>5</v>
      </c>
      <c r="K1871">
        <v>1</v>
      </c>
      <c r="L1871">
        <v>7</v>
      </c>
      <c r="M1871" s="1" t="s">
        <v>24</v>
      </c>
      <c r="N1871" s="2">
        <v>45870</v>
      </c>
      <c r="O1871">
        <v>2025</v>
      </c>
      <c r="P1871">
        <v>3</v>
      </c>
      <c r="Q1871" s="1" t="s">
        <v>24</v>
      </c>
    </row>
    <row r="1872" spans="1:17" x14ac:dyDescent="0.3">
      <c r="A1872" s="1" t="s">
        <v>1937</v>
      </c>
      <c r="B1872" s="1" t="s">
        <v>18</v>
      </c>
      <c r="C1872" s="1" t="s">
        <v>19</v>
      </c>
      <c r="D1872" s="1" t="s">
        <v>51</v>
      </c>
      <c r="E1872" s="1" t="s">
        <v>37</v>
      </c>
      <c r="F1872" s="1" t="s">
        <v>22</v>
      </c>
      <c r="G1872" s="2">
        <v>45857</v>
      </c>
      <c r="H1872" s="2"/>
      <c r="I1872" s="1" t="s">
        <v>32</v>
      </c>
      <c r="L1872">
        <v>10</v>
      </c>
      <c r="M1872" s="1" t="s">
        <v>40</v>
      </c>
      <c r="N1872" s="2">
        <v>45839</v>
      </c>
      <c r="O1872">
        <v>2025</v>
      </c>
      <c r="P1872">
        <v>3</v>
      </c>
      <c r="Q1872" s="1" t="s">
        <v>33</v>
      </c>
    </row>
    <row r="1873" spans="1:17" x14ac:dyDescent="0.3">
      <c r="A1873" s="1" t="s">
        <v>1938</v>
      </c>
      <c r="B1873" s="1" t="s">
        <v>35</v>
      </c>
      <c r="C1873" s="1" t="s">
        <v>50</v>
      </c>
      <c r="D1873" s="1" t="s">
        <v>20</v>
      </c>
      <c r="E1873" s="1" t="s">
        <v>21</v>
      </c>
      <c r="F1873" s="1" t="s">
        <v>52</v>
      </c>
      <c r="G1873" s="2">
        <v>45886</v>
      </c>
      <c r="H1873" s="2">
        <v>45895</v>
      </c>
      <c r="I1873" s="1" t="s">
        <v>32</v>
      </c>
      <c r="J1873">
        <v>2</v>
      </c>
      <c r="K1873">
        <v>9</v>
      </c>
      <c r="L1873">
        <v>14</v>
      </c>
      <c r="M1873" s="1" t="s">
        <v>24</v>
      </c>
      <c r="N1873" s="2">
        <v>45870</v>
      </c>
      <c r="O1873">
        <v>2025</v>
      </c>
      <c r="P1873">
        <v>3</v>
      </c>
      <c r="Q1873" s="1" t="s">
        <v>24</v>
      </c>
    </row>
    <row r="1874" spans="1:17" x14ac:dyDescent="0.3">
      <c r="A1874" s="1" t="s">
        <v>1939</v>
      </c>
      <c r="B1874" s="1" t="s">
        <v>63</v>
      </c>
      <c r="C1874" s="1" t="s">
        <v>84</v>
      </c>
      <c r="D1874" s="1" t="s">
        <v>51</v>
      </c>
      <c r="E1874" s="1" t="s">
        <v>48</v>
      </c>
      <c r="F1874" s="1" t="s">
        <v>61</v>
      </c>
      <c r="G1874" s="2">
        <v>45903</v>
      </c>
      <c r="H1874" s="2"/>
      <c r="I1874" s="1" t="s">
        <v>28</v>
      </c>
      <c r="L1874">
        <v>10</v>
      </c>
      <c r="M1874" s="1" t="s">
        <v>40</v>
      </c>
      <c r="N1874" s="2">
        <v>45901</v>
      </c>
      <c r="O1874">
        <v>2025</v>
      </c>
      <c r="P1874">
        <v>3</v>
      </c>
      <c r="Q1874" s="1" t="s">
        <v>33</v>
      </c>
    </row>
    <row r="1875" spans="1:17" x14ac:dyDescent="0.3">
      <c r="A1875" s="1" t="s">
        <v>1940</v>
      </c>
      <c r="B1875" s="1" t="s">
        <v>63</v>
      </c>
      <c r="C1875" s="1" t="s">
        <v>64</v>
      </c>
      <c r="D1875" s="1" t="s">
        <v>44</v>
      </c>
      <c r="E1875" s="1" t="s">
        <v>48</v>
      </c>
      <c r="F1875" s="1" t="s">
        <v>38</v>
      </c>
      <c r="G1875" s="2">
        <v>45844</v>
      </c>
      <c r="H1875" s="2"/>
      <c r="I1875" s="1" t="s">
        <v>28</v>
      </c>
      <c r="L1875">
        <v>7</v>
      </c>
      <c r="M1875" s="1" t="s">
        <v>40</v>
      </c>
      <c r="N1875" s="2">
        <v>45839</v>
      </c>
      <c r="O1875">
        <v>2025</v>
      </c>
      <c r="P1875">
        <v>3</v>
      </c>
      <c r="Q1875" s="1" t="s">
        <v>33</v>
      </c>
    </row>
    <row r="1876" spans="1:17" x14ac:dyDescent="0.3">
      <c r="A1876" s="1" t="s">
        <v>1941</v>
      </c>
      <c r="B1876" s="1" t="s">
        <v>42</v>
      </c>
      <c r="C1876" s="1" t="s">
        <v>76</v>
      </c>
      <c r="D1876" s="1" t="s">
        <v>20</v>
      </c>
      <c r="E1876" s="1" t="s">
        <v>21</v>
      </c>
      <c r="F1876" s="1" t="s">
        <v>52</v>
      </c>
      <c r="G1876" s="2">
        <v>45683</v>
      </c>
      <c r="H1876" s="2">
        <v>45690</v>
      </c>
      <c r="I1876" s="1" t="s">
        <v>39</v>
      </c>
      <c r="J1876">
        <v>2</v>
      </c>
      <c r="K1876">
        <v>7</v>
      </c>
      <c r="L1876">
        <v>14</v>
      </c>
      <c r="M1876" s="1" t="s">
        <v>24</v>
      </c>
      <c r="N1876" s="2">
        <v>45658</v>
      </c>
      <c r="O1876">
        <v>2025</v>
      </c>
      <c r="P1876">
        <v>1</v>
      </c>
      <c r="Q1876" s="1" t="s">
        <v>24</v>
      </c>
    </row>
    <row r="1877" spans="1:17" x14ac:dyDescent="0.3">
      <c r="A1877" s="1" t="s">
        <v>1942</v>
      </c>
      <c r="B1877" s="1" t="s">
        <v>63</v>
      </c>
      <c r="C1877" s="1" t="s">
        <v>84</v>
      </c>
      <c r="D1877" s="1" t="s">
        <v>20</v>
      </c>
      <c r="E1877" s="1" t="s">
        <v>21</v>
      </c>
      <c r="F1877" s="1" t="s">
        <v>61</v>
      </c>
      <c r="G1877" s="2">
        <v>45753</v>
      </c>
      <c r="H1877" s="2">
        <v>45759</v>
      </c>
      <c r="I1877" s="1" t="s">
        <v>82</v>
      </c>
      <c r="J1877">
        <v>4</v>
      </c>
      <c r="K1877">
        <v>6</v>
      </c>
      <c r="L1877">
        <v>14</v>
      </c>
      <c r="M1877" s="1" t="s">
        <v>24</v>
      </c>
      <c r="N1877" s="2">
        <v>45748</v>
      </c>
      <c r="O1877">
        <v>2025</v>
      </c>
      <c r="P1877">
        <v>2</v>
      </c>
      <c r="Q1877" s="1" t="s">
        <v>24</v>
      </c>
    </row>
    <row r="1878" spans="1:17" x14ac:dyDescent="0.3">
      <c r="A1878" s="1" t="s">
        <v>1943</v>
      </c>
      <c r="B1878" s="1" t="s">
        <v>42</v>
      </c>
      <c r="C1878" s="1" t="s">
        <v>76</v>
      </c>
      <c r="D1878" s="1" t="s">
        <v>44</v>
      </c>
      <c r="E1878" s="1" t="s">
        <v>21</v>
      </c>
      <c r="F1878" s="1" t="s">
        <v>61</v>
      </c>
      <c r="G1878" s="2">
        <v>45951</v>
      </c>
      <c r="H1878" s="2">
        <v>45957</v>
      </c>
      <c r="I1878" s="1" t="s">
        <v>32</v>
      </c>
      <c r="J1878">
        <v>5</v>
      </c>
      <c r="K1878">
        <v>6</v>
      </c>
      <c r="L1878">
        <v>7</v>
      </c>
      <c r="M1878" s="1" t="s">
        <v>24</v>
      </c>
      <c r="N1878" s="2">
        <v>45931</v>
      </c>
      <c r="O1878">
        <v>2025</v>
      </c>
      <c r="P1878">
        <v>4</v>
      </c>
      <c r="Q1878" s="1" t="s">
        <v>24</v>
      </c>
    </row>
    <row r="1879" spans="1:17" x14ac:dyDescent="0.3">
      <c r="A1879" s="1" t="s">
        <v>1944</v>
      </c>
      <c r="B1879" s="1" t="s">
        <v>26</v>
      </c>
      <c r="C1879" s="1" t="s">
        <v>27</v>
      </c>
      <c r="D1879" s="1" t="s">
        <v>71</v>
      </c>
      <c r="E1879" s="1" t="s">
        <v>48</v>
      </c>
      <c r="F1879" s="1" t="s">
        <v>38</v>
      </c>
      <c r="G1879" s="2">
        <v>45778</v>
      </c>
      <c r="H1879" s="2"/>
      <c r="I1879" s="1" t="s">
        <v>28</v>
      </c>
      <c r="L1879">
        <v>3</v>
      </c>
      <c r="M1879" s="1" t="s">
        <v>40</v>
      </c>
      <c r="N1879" s="2">
        <v>45778</v>
      </c>
      <c r="O1879">
        <v>2025</v>
      </c>
      <c r="P1879">
        <v>2</v>
      </c>
      <c r="Q1879" s="1" t="s">
        <v>33</v>
      </c>
    </row>
    <row r="1880" spans="1:17" x14ac:dyDescent="0.3">
      <c r="A1880" s="1" t="s">
        <v>1945</v>
      </c>
      <c r="B1880" s="1" t="s">
        <v>26</v>
      </c>
      <c r="C1880" s="1" t="s">
        <v>67</v>
      </c>
      <c r="D1880" s="1" t="s">
        <v>20</v>
      </c>
      <c r="E1880" s="1" t="s">
        <v>21</v>
      </c>
      <c r="F1880" s="1" t="s">
        <v>31</v>
      </c>
      <c r="G1880" s="2">
        <v>45749</v>
      </c>
      <c r="H1880" s="2">
        <v>45760</v>
      </c>
      <c r="I1880" s="1" t="s">
        <v>82</v>
      </c>
      <c r="J1880">
        <v>3</v>
      </c>
      <c r="K1880">
        <v>11</v>
      </c>
      <c r="L1880">
        <v>14</v>
      </c>
      <c r="M1880" s="1" t="s">
        <v>24</v>
      </c>
      <c r="N1880" s="2">
        <v>45748</v>
      </c>
      <c r="O1880">
        <v>2025</v>
      </c>
      <c r="P1880">
        <v>2</v>
      </c>
      <c r="Q1880" s="1" t="s">
        <v>24</v>
      </c>
    </row>
    <row r="1881" spans="1:17" x14ac:dyDescent="0.3">
      <c r="A1881" s="1" t="s">
        <v>1946</v>
      </c>
      <c r="B1881" s="1" t="s">
        <v>35</v>
      </c>
      <c r="C1881" s="1" t="s">
        <v>36</v>
      </c>
      <c r="D1881" s="1" t="s">
        <v>20</v>
      </c>
      <c r="E1881" s="1" t="s">
        <v>48</v>
      </c>
      <c r="F1881" s="1" t="s">
        <v>38</v>
      </c>
      <c r="G1881" s="2">
        <v>45783</v>
      </c>
      <c r="H1881" s="2"/>
      <c r="I1881" s="1" t="s">
        <v>32</v>
      </c>
      <c r="L1881">
        <v>14</v>
      </c>
      <c r="M1881" s="1" t="s">
        <v>40</v>
      </c>
      <c r="N1881" s="2">
        <v>45778</v>
      </c>
      <c r="O1881">
        <v>2025</v>
      </c>
      <c r="P1881">
        <v>2</v>
      </c>
      <c r="Q1881" s="1" t="s">
        <v>33</v>
      </c>
    </row>
    <row r="1882" spans="1:17" x14ac:dyDescent="0.3">
      <c r="A1882" s="1" t="s">
        <v>1947</v>
      </c>
      <c r="B1882" s="1" t="s">
        <v>63</v>
      </c>
      <c r="C1882" s="1" t="s">
        <v>84</v>
      </c>
      <c r="D1882" s="1" t="s">
        <v>51</v>
      </c>
      <c r="E1882" s="1" t="s">
        <v>21</v>
      </c>
      <c r="F1882" s="1" t="s">
        <v>61</v>
      </c>
      <c r="G1882" s="2">
        <v>45916</v>
      </c>
      <c r="H1882" s="2">
        <v>45918</v>
      </c>
      <c r="I1882" s="1" t="s">
        <v>23</v>
      </c>
      <c r="J1882">
        <v>4</v>
      </c>
      <c r="K1882">
        <v>2</v>
      </c>
      <c r="L1882">
        <v>10</v>
      </c>
      <c r="M1882" s="1" t="s">
        <v>24</v>
      </c>
      <c r="N1882" s="2">
        <v>45901</v>
      </c>
      <c r="O1882">
        <v>2025</v>
      </c>
      <c r="P1882">
        <v>3</v>
      </c>
      <c r="Q1882" s="1" t="s">
        <v>24</v>
      </c>
    </row>
    <row r="1883" spans="1:17" x14ac:dyDescent="0.3">
      <c r="A1883" s="1" t="s">
        <v>1948</v>
      </c>
      <c r="B1883" s="1" t="s">
        <v>58</v>
      </c>
      <c r="C1883" s="1" t="s">
        <v>108</v>
      </c>
      <c r="D1883" s="1" t="s">
        <v>44</v>
      </c>
      <c r="E1883" s="1" t="s">
        <v>21</v>
      </c>
      <c r="F1883" s="1" t="s">
        <v>52</v>
      </c>
      <c r="G1883" s="2">
        <v>45969</v>
      </c>
      <c r="H1883" s="2">
        <v>45976</v>
      </c>
      <c r="I1883" s="1" t="s">
        <v>39</v>
      </c>
      <c r="J1883">
        <v>4</v>
      </c>
      <c r="K1883">
        <v>7</v>
      </c>
      <c r="L1883">
        <v>7</v>
      </c>
      <c r="M1883" s="1" t="s">
        <v>24</v>
      </c>
      <c r="N1883" s="2">
        <v>45962</v>
      </c>
      <c r="O1883">
        <v>2025</v>
      </c>
      <c r="P1883">
        <v>4</v>
      </c>
      <c r="Q1883" s="1" t="s">
        <v>24</v>
      </c>
    </row>
    <row r="1884" spans="1:17" x14ac:dyDescent="0.3">
      <c r="A1884" s="1" t="s">
        <v>1949</v>
      </c>
      <c r="B1884" s="1" t="s">
        <v>63</v>
      </c>
      <c r="C1884" s="1" t="s">
        <v>89</v>
      </c>
      <c r="D1884" s="1" t="s">
        <v>20</v>
      </c>
      <c r="E1884" s="1" t="s">
        <v>21</v>
      </c>
      <c r="F1884" s="1" t="s">
        <v>38</v>
      </c>
      <c r="G1884" s="2">
        <v>45785</v>
      </c>
      <c r="H1884" s="2">
        <v>45790</v>
      </c>
      <c r="I1884" s="1" t="s">
        <v>23</v>
      </c>
      <c r="J1884">
        <v>4</v>
      </c>
      <c r="K1884">
        <v>5</v>
      </c>
      <c r="L1884">
        <v>14</v>
      </c>
      <c r="M1884" s="1" t="s">
        <v>24</v>
      </c>
      <c r="N1884" s="2">
        <v>45778</v>
      </c>
      <c r="O1884">
        <v>2025</v>
      </c>
      <c r="P1884">
        <v>2</v>
      </c>
      <c r="Q1884" s="1" t="s">
        <v>24</v>
      </c>
    </row>
    <row r="1885" spans="1:17" x14ac:dyDescent="0.3">
      <c r="A1885" s="1" t="s">
        <v>1950</v>
      </c>
      <c r="B1885" s="1" t="s">
        <v>58</v>
      </c>
      <c r="C1885" s="1" t="s">
        <v>108</v>
      </c>
      <c r="D1885" s="1" t="s">
        <v>20</v>
      </c>
      <c r="E1885" s="1" t="s">
        <v>21</v>
      </c>
      <c r="F1885" s="1" t="s">
        <v>22</v>
      </c>
      <c r="G1885" s="2">
        <v>45908</v>
      </c>
      <c r="H1885" s="2">
        <v>45921</v>
      </c>
      <c r="I1885" s="1" t="s">
        <v>82</v>
      </c>
      <c r="J1885">
        <v>5</v>
      </c>
      <c r="K1885">
        <v>13</v>
      </c>
      <c r="L1885">
        <v>14</v>
      </c>
      <c r="M1885" s="1" t="s">
        <v>24</v>
      </c>
      <c r="N1885" s="2">
        <v>45901</v>
      </c>
      <c r="O1885">
        <v>2025</v>
      </c>
      <c r="P1885">
        <v>3</v>
      </c>
      <c r="Q1885" s="1" t="s">
        <v>24</v>
      </c>
    </row>
    <row r="1886" spans="1:17" x14ac:dyDescent="0.3">
      <c r="A1886" s="1" t="s">
        <v>1951</v>
      </c>
      <c r="B1886" s="1" t="s">
        <v>18</v>
      </c>
      <c r="C1886" s="1" t="s">
        <v>30</v>
      </c>
      <c r="D1886" s="1" t="s">
        <v>44</v>
      </c>
      <c r="E1886" s="1" t="s">
        <v>21</v>
      </c>
      <c r="F1886" s="1" t="s">
        <v>22</v>
      </c>
      <c r="G1886" s="2">
        <v>45989</v>
      </c>
      <c r="H1886" s="2">
        <v>45994</v>
      </c>
      <c r="I1886" s="1" t="s">
        <v>82</v>
      </c>
      <c r="J1886">
        <v>4</v>
      </c>
      <c r="K1886">
        <v>5</v>
      </c>
      <c r="L1886">
        <v>7</v>
      </c>
      <c r="M1886" s="1" t="s">
        <v>24</v>
      </c>
      <c r="N1886" s="2">
        <v>45962</v>
      </c>
      <c r="O1886">
        <v>2025</v>
      </c>
      <c r="P1886">
        <v>4</v>
      </c>
      <c r="Q1886" s="1" t="s">
        <v>24</v>
      </c>
    </row>
    <row r="1887" spans="1:17" x14ac:dyDescent="0.3">
      <c r="A1887" s="1" t="s">
        <v>1952</v>
      </c>
      <c r="B1887" s="1" t="s">
        <v>18</v>
      </c>
      <c r="C1887" s="1" t="s">
        <v>30</v>
      </c>
      <c r="D1887" s="1" t="s">
        <v>44</v>
      </c>
      <c r="E1887" s="1" t="s">
        <v>21</v>
      </c>
      <c r="F1887" s="1" t="s">
        <v>31</v>
      </c>
      <c r="G1887" s="2">
        <v>45866</v>
      </c>
      <c r="H1887" s="2">
        <v>45868</v>
      </c>
      <c r="I1887" s="1" t="s">
        <v>28</v>
      </c>
      <c r="J1887">
        <v>4</v>
      </c>
      <c r="K1887">
        <v>2</v>
      </c>
      <c r="L1887">
        <v>7</v>
      </c>
      <c r="M1887" s="1" t="s">
        <v>24</v>
      </c>
      <c r="N1887" s="2">
        <v>45839</v>
      </c>
      <c r="O1887">
        <v>2025</v>
      </c>
      <c r="P1887">
        <v>3</v>
      </c>
      <c r="Q1887" s="1" t="s">
        <v>24</v>
      </c>
    </row>
    <row r="1888" spans="1:17" x14ac:dyDescent="0.3">
      <c r="A1888" s="1" t="s">
        <v>1953</v>
      </c>
      <c r="B1888" s="1" t="s">
        <v>42</v>
      </c>
      <c r="C1888" s="1" t="s">
        <v>76</v>
      </c>
      <c r="D1888" s="1" t="s">
        <v>20</v>
      </c>
      <c r="E1888" s="1" t="s">
        <v>48</v>
      </c>
      <c r="F1888" s="1" t="s">
        <v>38</v>
      </c>
      <c r="G1888" s="2">
        <v>45810</v>
      </c>
      <c r="H1888" s="2"/>
      <c r="I1888" s="1" t="s">
        <v>82</v>
      </c>
      <c r="L1888">
        <v>14</v>
      </c>
      <c r="M1888" s="1" t="s">
        <v>40</v>
      </c>
      <c r="N1888" s="2">
        <v>45809</v>
      </c>
      <c r="O1888">
        <v>2025</v>
      </c>
      <c r="P1888">
        <v>2</v>
      </c>
      <c r="Q1888" s="1" t="s">
        <v>33</v>
      </c>
    </row>
    <row r="1889" spans="1:17" x14ac:dyDescent="0.3">
      <c r="A1889" s="1" t="s">
        <v>1954</v>
      </c>
      <c r="B1889" s="1" t="s">
        <v>58</v>
      </c>
      <c r="C1889" s="1" t="s">
        <v>145</v>
      </c>
      <c r="D1889" s="1" t="s">
        <v>51</v>
      </c>
      <c r="E1889" s="1" t="s">
        <v>21</v>
      </c>
      <c r="F1889" s="1" t="s">
        <v>38</v>
      </c>
      <c r="G1889" s="2">
        <v>45819</v>
      </c>
      <c r="H1889" s="2">
        <v>45828</v>
      </c>
      <c r="I1889" s="1" t="s">
        <v>28</v>
      </c>
      <c r="J1889">
        <v>3</v>
      </c>
      <c r="K1889">
        <v>9</v>
      </c>
      <c r="L1889">
        <v>10</v>
      </c>
      <c r="M1889" s="1" t="s">
        <v>24</v>
      </c>
      <c r="N1889" s="2">
        <v>45809</v>
      </c>
      <c r="O1889">
        <v>2025</v>
      </c>
      <c r="P1889">
        <v>2</v>
      </c>
      <c r="Q1889" s="1" t="s">
        <v>24</v>
      </c>
    </row>
    <row r="1890" spans="1:17" x14ac:dyDescent="0.3">
      <c r="A1890" s="1" t="s">
        <v>1955</v>
      </c>
      <c r="B1890" s="1" t="s">
        <v>58</v>
      </c>
      <c r="C1890" s="1" t="s">
        <v>108</v>
      </c>
      <c r="D1890" s="1" t="s">
        <v>51</v>
      </c>
      <c r="E1890" s="1" t="s">
        <v>21</v>
      </c>
      <c r="F1890" s="1" t="s">
        <v>61</v>
      </c>
      <c r="G1890" s="2">
        <v>45729</v>
      </c>
      <c r="H1890" s="2">
        <v>45735</v>
      </c>
      <c r="I1890" s="1" t="s">
        <v>23</v>
      </c>
      <c r="J1890">
        <v>4</v>
      </c>
      <c r="K1890">
        <v>6</v>
      </c>
      <c r="L1890">
        <v>10</v>
      </c>
      <c r="M1890" s="1" t="s">
        <v>24</v>
      </c>
      <c r="N1890" s="2">
        <v>45717</v>
      </c>
      <c r="O1890">
        <v>2025</v>
      </c>
      <c r="P1890">
        <v>1</v>
      </c>
      <c r="Q1890" s="1" t="s">
        <v>24</v>
      </c>
    </row>
    <row r="1891" spans="1:17" x14ac:dyDescent="0.3">
      <c r="A1891" s="1" t="s">
        <v>1956</v>
      </c>
      <c r="B1891" s="1" t="s">
        <v>63</v>
      </c>
      <c r="C1891" s="1" t="s">
        <v>89</v>
      </c>
      <c r="D1891" s="1" t="s">
        <v>51</v>
      </c>
      <c r="E1891" s="1" t="s">
        <v>21</v>
      </c>
      <c r="F1891" s="1" t="s">
        <v>61</v>
      </c>
      <c r="G1891" s="2">
        <v>46022</v>
      </c>
      <c r="H1891" s="2">
        <v>46031</v>
      </c>
      <c r="I1891" s="1" t="s">
        <v>39</v>
      </c>
      <c r="J1891">
        <v>4</v>
      </c>
      <c r="K1891">
        <v>9</v>
      </c>
      <c r="L1891">
        <v>10</v>
      </c>
      <c r="M1891" s="1" t="s">
        <v>24</v>
      </c>
      <c r="N1891" s="2">
        <v>45992</v>
      </c>
      <c r="O1891">
        <v>2025</v>
      </c>
      <c r="P1891">
        <v>4</v>
      </c>
      <c r="Q1891" s="1" t="s">
        <v>24</v>
      </c>
    </row>
    <row r="1892" spans="1:17" x14ac:dyDescent="0.3">
      <c r="A1892" s="1" t="s">
        <v>1957</v>
      </c>
      <c r="B1892" s="1" t="s">
        <v>63</v>
      </c>
      <c r="C1892" s="1" t="s">
        <v>89</v>
      </c>
      <c r="D1892" s="1" t="s">
        <v>71</v>
      </c>
      <c r="E1892" s="1" t="s">
        <v>21</v>
      </c>
      <c r="F1892" s="1" t="s">
        <v>38</v>
      </c>
      <c r="G1892" s="2">
        <v>45732</v>
      </c>
      <c r="H1892" s="2">
        <v>45732</v>
      </c>
      <c r="I1892" s="1" t="s">
        <v>32</v>
      </c>
      <c r="J1892">
        <v>4</v>
      </c>
      <c r="K1892">
        <v>0</v>
      </c>
      <c r="L1892">
        <v>3</v>
      </c>
      <c r="M1892" s="1" t="s">
        <v>24</v>
      </c>
      <c r="N1892" s="2">
        <v>45717</v>
      </c>
      <c r="O1892">
        <v>2025</v>
      </c>
      <c r="P1892">
        <v>1</v>
      </c>
      <c r="Q1892" s="1" t="s">
        <v>24</v>
      </c>
    </row>
    <row r="1893" spans="1:17" x14ac:dyDescent="0.3">
      <c r="A1893" s="1" t="s">
        <v>1958</v>
      </c>
      <c r="B1893" s="1" t="s">
        <v>58</v>
      </c>
      <c r="C1893" s="1" t="s">
        <v>145</v>
      </c>
      <c r="D1893" s="1" t="s">
        <v>44</v>
      </c>
      <c r="E1893" s="1" t="s">
        <v>48</v>
      </c>
      <c r="F1893" s="1" t="s">
        <v>22</v>
      </c>
      <c r="G1893" s="2">
        <v>45697</v>
      </c>
      <c r="H1893" s="2"/>
      <c r="I1893" s="1" t="s">
        <v>32</v>
      </c>
      <c r="L1893">
        <v>7</v>
      </c>
      <c r="M1893" s="1" t="s">
        <v>40</v>
      </c>
      <c r="N1893" s="2">
        <v>45689</v>
      </c>
      <c r="O1893">
        <v>2025</v>
      </c>
      <c r="P1893">
        <v>1</v>
      </c>
      <c r="Q1893" s="1" t="s">
        <v>33</v>
      </c>
    </row>
    <row r="1894" spans="1:17" x14ac:dyDescent="0.3">
      <c r="A1894" s="1" t="s">
        <v>1959</v>
      </c>
      <c r="B1894" s="1" t="s">
        <v>35</v>
      </c>
      <c r="C1894" s="1" t="s">
        <v>50</v>
      </c>
      <c r="D1894" s="1" t="s">
        <v>20</v>
      </c>
      <c r="E1894" s="1" t="s">
        <v>48</v>
      </c>
      <c r="F1894" s="1" t="s">
        <v>38</v>
      </c>
      <c r="G1894" s="2">
        <v>45903</v>
      </c>
      <c r="H1894" s="2"/>
      <c r="I1894" s="1" t="s">
        <v>32</v>
      </c>
      <c r="L1894">
        <v>14</v>
      </c>
      <c r="M1894" s="1" t="s">
        <v>40</v>
      </c>
      <c r="N1894" s="2">
        <v>45901</v>
      </c>
      <c r="O1894">
        <v>2025</v>
      </c>
      <c r="P1894">
        <v>3</v>
      </c>
      <c r="Q1894" s="1" t="s">
        <v>33</v>
      </c>
    </row>
    <row r="1895" spans="1:17" x14ac:dyDescent="0.3">
      <c r="A1895" s="1" t="s">
        <v>1960</v>
      </c>
      <c r="B1895" s="1" t="s">
        <v>35</v>
      </c>
      <c r="C1895" s="1" t="s">
        <v>36</v>
      </c>
      <c r="D1895" s="1" t="s">
        <v>51</v>
      </c>
      <c r="E1895" s="1" t="s">
        <v>21</v>
      </c>
      <c r="F1895" s="1" t="s">
        <v>22</v>
      </c>
      <c r="G1895" s="2">
        <v>45663</v>
      </c>
      <c r="H1895" s="2">
        <v>45666</v>
      </c>
      <c r="I1895" s="1" t="s">
        <v>32</v>
      </c>
      <c r="J1895">
        <v>3</v>
      </c>
      <c r="K1895">
        <v>3</v>
      </c>
      <c r="L1895">
        <v>10</v>
      </c>
      <c r="M1895" s="1" t="s">
        <v>24</v>
      </c>
      <c r="N1895" s="2">
        <v>45658</v>
      </c>
      <c r="O1895">
        <v>2025</v>
      </c>
      <c r="P1895">
        <v>1</v>
      </c>
      <c r="Q1895" s="1" t="s">
        <v>24</v>
      </c>
    </row>
    <row r="1896" spans="1:17" x14ac:dyDescent="0.3">
      <c r="A1896" s="1" t="s">
        <v>1961</v>
      </c>
      <c r="B1896" s="1" t="s">
        <v>42</v>
      </c>
      <c r="C1896" s="1" t="s">
        <v>81</v>
      </c>
      <c r="D1896" s="1" t="s">
        <v>51</v>
      </c>
      <c r="E1896" s="1" t="s">
        <v>21</v>
      </c>
      <c r="F1896" s="1" t="s">
        <v>52</v>
      </c>
      <c r="G1896" s="2">
        <v>45848</v>
      </c>
      <c r="H1896" s="2">
        <v>45850</v>
      </c>
      <c r="I1896" s="1" t="s">
        <v>82</v>
      </c>
      <c r="J1896">
        <v>4</v>
      </c>
      <c r="K1896">
        <v>2</v>
      </c>
      <c r="L1896">
        <v>10</v>
      </c>
      <c r="M1896" s="1" t="s">
        <v>24</v>
      </c>
      <c r="N1896" s="2">
        <v>45839</v>
      </c>
      <c r="O1896">
        <v>2025</v>
      </c>
      <c r="P1896">
        <v>3</v>
      </c>
      <c r="Q1896" s="1" t="s">
        <v>24</v>
      </c>
    </row>
    <row r="1897" spans="1:17" x14ac:dyDescent="0.3">
      <c r="A1897" s="1" t="s">
        <v>1962</v>
      </c>
      <c r="B1897" s="1" t="s">
        <v>58</v>
      </c>
      <c r="C1897" s="1" t="s">
        <v>59</v>
      </c>
      <c r="D1897" s="1" t="s">
        <v>51</v>
      </c>
      <c r="E1897" s="1" t="s">
        <v>21</v>
      </c>
      <c r="F1897" s="1" t="s">
        <v>31</v>
      </c>
      <c r="G1897" s="2">
        <v>45684</v>
      </c>
      <c r="H1897" s="2">
        <v>45694</v>
      </c>
      <c r="I1897" s="1" t="s">
        <v>39</v>
      </c>
      <c r="J1897">
        <v>4</v>
      </c>
      <c r="K1897">
        <v>10</v>
      </c>
      <c r="L1897">
        <v>10</v>
      </c>
      <c r="M1897" s="1" t="s">
        <v>24</v>
      </c>
      <c r="N1897" s="2">
        <v>45658</v>
      </c>
      <c r="O1897">
        <v>2025</v>
      </c>
      <c r="P1897">
        <v>1</v>
      </c>
      <c r="Q1897" s="1" t="s">
        <v>24</v>
      </c>
    </row>
    <row r="1898" spans="1:17" x14ac:dyDescent="0.3">
      <c r="A1898" s="1" t="s">
        <v>1963</v>
      </c>
      <c r="B1898" s="1" t="s">
        <v>58</v>
      </c>
      <c r="C1898" s="1" t="s">
        <v>70</v>
      </c>
      <c r="D1898" s="1" t="s">
        <v>51</v>
      </c>
      <c r="E1898" s="1" t="s">
        <v>21</v>
      </c>
      <c r="F1898" s="1" t="s">
        <v>61</v>
      </c>
      <c r="G1898" s="2">
        <v>45947</v>
      </c>
      <c r="H1898" s="2">
        <v>45957</v>
      </c>
      <c r="I1898" s="1" t="s">
        <v>39</v>
      </c>
      <c r="J1898">
        <v>2</v>
      </c>
      <c r="K1898">
        <v>10</v>
      </c>
      <c r="L1898">
        <v>10</v>
      </c>
      <c r="M1898" s="1" t="s">
        <v>24</v>
      </c>
      <c r="N1898" s="2">
        <v>45931</v>
      </c>
      <c r="O1898">
        <v>2025</v>
      </c>
      <c r="P1898">
        <v>4</v>
      </c>
      <c r="Q1898" s="1" t="s">
        <v>24</v>
      </c>
    </row>
    <row r="1899" spans="1:17" x14ac:dyDescent="0.3">
      <c r="A1899" s="1" t="s">
        <v>1964</v>
      </c>
      <c r="B1899" s="1" t="s">
        <v>35</v>
      </c>
      <c r="C1899" s="1" t="s">
        <v>50</v>
      </c>
      <c r="D1899" s="1" t="s">
        <v>44</v>
      </c>
      <c r="E1899" s="1" t="s">
        <v>21</v>
      </c>
      <c r="F1899" s="1" t="s">
        <v>61</v>
      </c>
      <c r="G1899" s="2">
        <v>45731</v>
      </c>
      <c r="H1899" s="2">
        <v>45733</v>
      </c>
      <c r="I1899" s="1" t="s">
        <v>23</v>
      </c>
      <c r="J1899">
        <v>5</v>
      </c>
      <c r="K1899">
        <v>2</v>
      </c>
      <c r="L1899">
        <v>7</v>
      </c>
      <c r="M1899" s="1" t="s">
        <v>24</v>
      </c>
      <c r="N1899" s="2">
        <v>45717</v>
      </c>
      <c r="O1899">
        <v>2025</v>
      </c>
      <c r="P1899">
        <v>1</v>
      </c>
      <c r="Q1899" s="1" t="s">
        <v>24</v>
      </c>
    </row>
    <row r="1900" spans="1:17" x14ac:dyDescent="0.3">
      <c r="A1900" s="1" t="s">
        <v>1965</v>
      </c>
      <c r="B1900" s="1" t="s">
        <v>26</v>
      </c>
      <c r="C1900" s="1" t="s">
        <v>27</v>
      </c>
      <c r="D1900" s="1" t="s">
        <v>51</v>
      </c>
      <c r="E1900" s="1" t="s">
        <v>21</v>
      </c>
      <c r="F1900" s="1" t="s">
        <v>61</v>
      </c>
      <c r="G1900" s="2">
        <v>45680</v>
      </c>
      <c r="H1900" s="2">
        <v>45686</v>
      </c>
      <c r="I1900" s="1" t="s">
        <v>28</v>
      </c>
      <c r="J1900">
        <v>1</v>
      </c>
      <c r="K1900">
        <v>6</v>
      </c>
      <c r="L1900">
        <v>10</v>
      </c>
      <c r="M1900" s="1" t="s">
        <v>24</v>
      </c>
      <c r="N1900" s="2">
        <v>45658</v>
      </c>
      <c r="O1900">
        <v>2025</v>
      </c>
      <c r="P1900">
        <v>1</v>
      </c>
      <c r="Q1900" s="1" t="s">
        <v>24</v>
      </c>
    </row>
    <row r="1901" spans="1:17" x14ac:dyDescent="0.3">
      <c r="A1901" s="1" t="s">
        <v>1966</v>
      </c>
      <c r="B1901" s="1" t="s">
        <v>58</v>
      </c>
      <c r="C1901" s="1" t="s">
        <v>108</v>
      </c>
      <c r="D1901" s="1" t="s">
        <v>51</v>
      </c>
      <c r="E1901" s="1" t="s">
        <v>37</v>
      </c>
      <c r="F1901" s="1" t="s">
        <v>31</v>
      </c>
      <c r="G1901" s="2">
        <v>45735</v>
      </c>
      <c r="H1901" s="2"/>
      <c r="I1901" s="1" t="s">
        <v>82</v>
      </c>
      <c r="L1901">
        <v>10</v>
      </c>
      <c r="M1901" s="1" t="s">
        <v>40</v>
      </c>
      <c r="N1901" s="2">
        <v>45717</v>
      </c>
      <c r="O1901">
        <v>2025</v>
      </c>
      <c r="P1901">
        <v>1</v>
      </c>
      <c r="Q1901" s="1" t="s">
        <v>33</v>
      </c>
    </row>
    <row r="1902" spans="1:17" x14ac:dyDescent="0.3">
      <c r="A1902" s="1" t="s">
        <v>1967</v>
      </c>
      <c r="B1902" s="1" t="s">
        <v>26</v>
      </c>
      <c r="C1902" s="1" t="s">
        <v>123</v>
      </c>
      <c r="D1902" s="1" t="s">
        <v>71</v>
      </c>
      <c r="E1902" s="1" t="s">
        <v>21</v>
      </c>
      <c r="F1902" s="1" t="s">
        <v>52</v>
      </c>
      <c r="G1902" s="2">
        <v>45691</v>
      </c>
      <c r="H1902" s="2">
        <v>45692</v>
      </c>
      <c r="I1902" s="1" t="s">
        <v>39</v>
      </c>
      <c r="J1902">
        <v>5</v>
      </c>
      <c r="K1902">
        <v>1</v>
      </c>
      <c r="L1902">
        <v>3</v>
      </c>
      <c r="M1902" s="1" t="s">
        <v>24</v>
      </c>
      <c r="N1902" s="2">
        <v>45689</v>
      </c>
      <c r="O1902">
        <v>2025</v>
      </c>
      <c r="P1902">
        <v>1</v>
      </c>
      <c r="Q1902" s="1" t="s">
        <v>24</v>
      </c>
    </row>
    <row r="1903" spans="1:17" x14ac:dyDescent="0.3">
      <c r="A1903" s="1" t="s">
        <v>1968</v>
      </c>
      <c r="B1903" s="1" t="s">
        <v>42</v>
      </c>
      <c r="C1903" s="1" t="s">
        <v>76</v>
      </c>
      <c r="D1903" s="1" t="s">
        <v>51</v>
      </c>
      <c r="E1903" s="1" t="s">
        <v>48</v>
      </c>
      <c r="F1903" s="1" t="s">
        <v>31</v>
      </c>
      <c r="G1903" s="2">
        <v>46002</v>
      </c>
      <c r="H1903" s="2"/>
      <c r="I1903" s="1" t="s">
        <v>23</v>
      </c>
      <c r="L1903">
        <v>10</v>
      </c>
      <c r="M1903" s="1" t="s">
        <v>40</v>
      </c>
      <c r="N1903" s="2">
        <v>45992</v>
      </c>
      <c r="O1903">
        <v>2025</v>
      </c>
      <c r="P1903">
        <v>4</v>
      </c>
      <c r="Q1903" s="1" t="s">
        <v>33</v>
      </c>
    </row>
    <row r="1904" spans="1:17" x14ac:dyDescent="0.3">
      <c r="A1904" s="1" t="s">
        <v>1969</v>
      </c>
      <c r="B1904" s="1" t="s">
        <v>42</v>
      </c>
      <c r="C1904" s="1" t="s">
        <v>87</v>
      </c>
      <c r="D1904" s="1" t="s">
        <v>44</v>
      </c>
      <c r="E1904" s="1" t="s">
        <v>21</v>
      </c>
      <c r="F1904" s="1" t="s">
        <v>52</v>
      </c>
      <c r="G1904" s="2">
        <v>45848</v>
      </c>
      <c r="H1904" s="2">
        <v>45855</v>
      </c>
      <c r="I1904" s="1" t="s">
        <v>82</v>
      </c>
      <c r="J1904">
        <v>4</v>
      </c>
      <c r="K1904">
        <v>7</v>
      </c>
      <c r="L1904">
        <v>7</v>
      </c>
      <c r="M1904" s="1" t="s">
        <v>24</v>
      </c>
      <c r="N1904" s="2">
        <v>45839</v>
      </c>
      <c r="O1904">
        <v>2025</v>
      </c>
      <c r="P1904">
        <v>3</v>
      </c>
      <c r="Q1904" s="1" t="s">
        <v>24</v>
      </c>
    </row>
    <row r="1905" spans="1:17" x14ac:dyDescent="0.3">
      <c r="A1905" s="1" t="s">
        <v>1970</v>
      </c>
      <c r="B1905" s="1" t="s">
        <v>26</v>
      </c>
      <c r="C1905" s="1" t="s">
        <v>123</v>
      </c>
      <c r="D1905" s="1" t="s">
        <v>51</v>
      </c>
      <c r="E1905" s="1" t="s">
        <v>21</v>
      </c>
      <c r="F1905" s="1" t="s">
        <v>22</v>
      </c>
      <c r="G1905" s="2">
        <v>45737</v>
      </c>
      <c r="H1905" s="2">
        <v>45747</v>
      </c>
      <c r="I1905" s="1" t="s">
        <v>28</v>
      </c>
      <c r="J1905">
        <v>5</v>
      </c>
      <c r="K1905">
        <v>10</v>
      </c>
      <c r="L1905">
        <v>10</v>
      </c>
      <c r="M1905" s="1" t="s">
        <v>24</v>
      </c>
      <c r="N1905" s="2">
        <v>45717</v>
      </c>
      <c r="O1905">
        <v>2025</v>
      </c>
      <c r="P1905">
        <v>1</v>
      </c>
      <c r="Q1905" s="1" t="s">
        <v>24</v>
      </c>
    </row>
    <row r="1906" spans="1:17" x14ac:dyDescent="0.3">
      <c r="A1906" s="1" t="s">
        <v>1971</v>
      </c>
      <c r="B1906" s="1" t="s">
        <v>63</v>
      </c>
      <c r="C1906" s="1" t="s">
        <v>74</v>
      </c>
      <c r="D1906" s="1" t="s">
        <v>51</v>
      </c>
      <c r="E1906" s="1" t="s">
        <v>21</v>
      </c>
      <c r="F1906" s="1" t="s">
        <v>31</v>
      </c>
      <c r="G1906" s="2">
        <v>45918</v>
      </c>
      <c r="H1906" s="2">
        <v>45924</v>
      </c>
      <c r="I1906" s="1" t="s">
        <v>23</v>
      </c>
      <c r="J1906">
        <v>4</v>
      </c>
      <c r="K1906">
        <v>6</v>
      </c>
      <c r="L1906">
        <v>10</v>
      </c>
      <c r="M1906" s="1" t="s">
        <v>24</v>
      </c>
      <c r="N1906" s="2">
        <v>45901</v>
      </c>
      <c r="O1906">
        <v>2025</v>
      </c>
      <c r="P1906">
        <v>3</v>
      </c>
      <c r="Q1906" s="1" t="s">
        <v>24</v>
      </c>
    </row>
    <row r="1907" spans="1:17" x14ac:dyDescent="0.3">
      <c r="A1907" s="1" t="s">
        <v>1972</v>
      </c>
      <c r="B1907" s="1" t="s">
        <v>26</v>
      </c>
      <c r="C1907" s="1" t="s">
        <v>123</v>
      </c>
      <c r="D1907" s="1" t="s">
        <v>44</v>
      </c>
      <c r="E1907" s="1" t="s">
        <v>21</v>
      </c>
      <c r="F1907" s="1" t="s">
        <v>61</v>
      </c>
      <c r="G1907" s="2">
        <v>45733</v>
      </c>
      <c r="H1907" s="2">
        <v>45738</v>
      </c>
      <c r="I1907" s="1" t="s">
        <v>28</v>
      </c>
      <c r="J1907">
        <v>3</v>
      </c>
      <c r="K1907">
        <v>5</v>
      </c>
      <c r="L1907">
        <v>7</v>
      </c>
      <c r="M1907" s="1" t="s">
        <v>24</v>
      </c>
      <c r="N1907" s="2">
        <v>45717</v>
      </c>
      <c r="O1907">
        <v>2025</v>
      </c>
      <c r="P1907">
        <v>1</v>
      </c>
      <c r="Q1907" s="1" t="s">
        <v>24</v>
      </c>
    </row>
    <row r="1908" spans="1:17" x14ac:dyDescent="0.3">
      <c r="A1908" s="1" t="s">
        <v>1973</v>
      </c>
      <c r="B1908" s="1" t="s">
        <v>58</v>
      </c>
      <c r="C1908" s="1" t="s">
        <v>108</v>
      </c>
      <c r="D1908" s="1" t="s">
        <v>44</v>
      </c>
      <c r="E1908" s="1" t="s">
        <v>21</v>
      </c>
      <c r="F1908" s="1" t="s">
        <v>31</v>
      </c>
      <c r="G1908" s="2">
        <v>45916</v>
      </c>
      <c r="H1908" s="2">
        <v>45919</v>
      </c>
      <c r="I1908" s="1" t="s">
        <v>39</v>
      </c>
      <c r="J1908">
        <v>4</v>
      </c>
      <c r="K1908">
        <v>3</v>
      </c>
      <c r="L1908">
        <v>7</v>
      </c>
      <c r="M1908" s="1" t="s">
        <v>24</v>
      </c>
      <c r="N1908" s="2">
        <v>45901</v>
      </c>
      <c r="O1908">
        <v>2025</v>
      </c>
      <c r="P1908">
        <v>3</v>
      </c>
      <c r="Q1908" s="1" t="s">
        <v>24</v>
      </c>
    </row>
    <row r="1909" spans="1:17" x14ac:dyDescent="0.3">
      <c r="A1909" s="1" t="s">
        <v>1974</v>
      </c>
      <c r="B1909" s="1" t="s">
        <v>26</v>
      </c>
      <c r="C1909" s="1" t="s">
        <v>123</v>
      </c>
      <c r="D1909" s="1" t="s">
        <v>51</v>
      </c>
      <c r="E1909" s="1" t="s">
        <v>21</v>
      </c>
      <c r="F1909" s="1" t="s">
        <v>38</v>
      </c>
      <c r="G1909" s="2">
        <v>45977</v>
      </c>
      <c r="H1909" s="2">
        <v>45986</v>
      </c>
      <c r="I1909" s="1" t="s">
        <v>32</v>
      </c>
      <c r="J1909">
        <v>5</v>
      </c>
      <c r="K1909">
        <v>9</v>
      </c>
      <c r="L1909">
        <v>10</v>
      </c>
      <c r="M1909" s="1" t="s">
        <v>24</v>
      </c>
      <c r="N1909" s="2">
        <v>45962</v>
      </c>
      <c r="O1909">
        <v>2025</v>
      </c>
      <c r="P1909">
        <v>4</v>
      </c>
      <c r="Q1909" s="1" t="s">
        <v>24</v>
      </c>
    </row>
    <row r="1910" spans="1:17" x14ac:dyDescent="0.3">
      <c r="A1910" s="1" t="s">
        <v>1975</v>
      </c>
      <c r="B1910" s="1" t="s">
        <v>42</v>
      </c>
      <c r="C1910" s="1" t="s">
        <v>87</v>
      </c>
      <c r="D1910" s="1" t="s">
        <v>51</v>
      </c>
      <c r="E1910" s="1" t="s">
        <v>21</v>
      </c>
      <c r="F1910" s="1" t="s">
        <v>52</v>
      </c>
      <c r="G1910" s="2">
        <v>45870</v>
      </c>
      <c r="H1910" s="2">
        <v>45879</v>
      </c>
      <c r="I1910" s="1" t="s">
        <v>32</v>
      </c>
      <c r="J1910">
        <v>5</v>
      </c>
      <c r="K1910">
        <v>9</v>
      </c>
      <c r="L1910">
        <v>10</v>
      </c>
      <c r="M1910" s="1" t="s">
        <v>24</v>
      </c>
      <c r="N1910" s="2">
        <v>45870</v>
      </c>
      <c r="O1910">
        <v>2025</v>
      </c>
      <c r="P1910">
        <v>3</v>
      </c>
      <c r="Q1910" s="1" t="s">
        <v>24</v>
      </c>
    </row>
    <row r="1911" spans="1:17" x14ac:dyDescent="0.3">
      <c r="A1911" s="1" t="s">
        <v>1976</v>
      </c>
      <c r="B1911" s="1" t="s">
        <v>42</v>
      </c>
      <c r="C1911" s="1" t="s">
        <v>43</v>
      </c>
      <c r="D1911" s="1" t="s">
        <v>20</v>
      </c>
      <c r="E1911" s="1" t="s">
        <v>48</v>
      </c>
      <c r="F1911" s="1" t="s">
        <v>31</v>
      </c>
      <c r="G1911" s="2">
        <v>45909</v>
      </c>
      <c r="H1911" s="2"/>
      <c r="I1911" s="1" t="s">
        <v>82</v>
      </c>
      <c r="L1911">
        <v>14</v>
      </c>
      <c r="M1911" s="1" t="s">
        <v>40</v>
      </c>
      <c r="N1911" s="2">
        <v>45901</v>
      </c>
      <c r="O1911">
        <v>2025</v>
      </c>
      <c r="P1911">
        <v>3</v>
      </c>
      <c r="Q1911" s="1" t="s">
        <v>33</v>
      </c>
    </row>
    <row r="1912" spans="1:17" x14ac:dyDescent="0.3">
      <c r="A1912" s="1" t="s">
        <v>1977</v>
      </c>
      <c r="B1912" s="1" t="s">
        <v>63</v>
      </c>
      <c r="C1912" s="1" t="s">
        <v>89</v>
      </c>
      <c r="D1912" s="1" t="s">
        <v>51</v>
      </c>
      <c r="E1912" s="1" t="s">
        <v>21</v>
      </c>
      <c r="F1912" s="1" t="s">
        <v>22</v>
      </c>
      <c r="G1912" s="2">
        <v>45782</v>
      </c>
      <c r="H1912" s="2">
        <v>45786</v>
      </c>
      <c r="I1912" s="1" t="s">
        <v>32</v>
      </c>
      <c r="J1912">
        <v>4</v>
      </c>
      <c r="K1912">
        <v>4</v>
      </c>
      <c r="L1912">
        <v>10</v>
      </c>
      <c r="M1912" s="1" t="s">
        <v>24</v>
      </c>
      <c r="N1912" s="2">
        <v>45778</v>
      </c>
      <c r="O1912">
        <v>2025</v>
      </c>
      <c r="P1912">
        <v>2</v>
      </c>
      <c r="Q1912" s="1" t="s">
        <v>24</v>
      </c>
    </row>
    <row r="1913" spans="1:17" x14ac:dyDescent="0.3">
      <c r="A1913" s="1" t="s">
        <v>1978</v>
      </c>
      <c r="B1913" s="1" t="s">
        <v>26</v>
      </c>
      <c r="C1913" s="1" t="s">
        <v>27</v>
      </c>
      <c r="D1913" s="1" t="s">
        <v>44</v>
      </c>
      <c r="E1913" s="1" t="s">
        <v>21</v>
      </c>
      <c r="F1913" s="1" t="s">
        <v>61</v>
      </c>
      <c r="G1913" s="2">
        <v>45700</v>
      </c>
      <c r="H1913" s="2">
        <v>45707</v>
      </c>
      <c r="I1913" s="1" t="s">
        <v>82</v>
      </c>
      <c r="J1913">
        <v>5</v>
      </c>
      <c r="K1913">
        <v>7</v>
      </c>
      <c r="L1913">
        <v>7</v>
      </c>
      <c r="M1913" s="1" t="s">
        <v>24</v>
      </c>
      <c r="N1913" s="2">
        <v>45689</v>
      </c>
      <c r="O1913">
        <v>2025</v>
      </c>
      <c r="P1913">
        <v>1</v>
      </c>
      <c r="Q1913" s="1" t="s">
        <v>24</v>
      </c>
    </row>
    <row r="1914" spans="1:17" x14ac:dyDescent="0.3">
      <c r="A1914" s="1" t="s">
        <v>1979</v>
      </c>
      <c r="B1914" s="1" t="s">
        <v>58</v>
      </c>
      <c r="C1914" s="1" t="s">
        <v>145</v>
      </c>
      <c r="D1914" s="1" t="s">
        <v>44</v>
      </c>
      <c r="E1914" s="1" t="s">
        <v>48</v>
      </c>
      <c r="F1914" s="1" t="s">
        <v>61</v>
      </c>
      <c r="G1914" s="2">
        <v>46015</v>
      </c>
      <c r="H1914" s="2"/>
      <c r="I1914" s="1" t="s">
        <v>23</v>
      </c>
      <c r="L1914">
        <v>7</v>
      </c>
      <c r="M1914" s="1" t="s">
        <v>40</v>
      </c>
      <c r="N1914" s="2">
        <v>45992</v>
      </c>
      <c r="O1914">
        <v>2025</v>
      </c>
      <c r="P1914">
        <v>4</v>
      </c>
      <c r="Q1914" s="1" t="s">
        <v>33</v>
      </c>
    </row>
    <row r="1915" spans="1:17" x14ac:dyDescent="0.3">
      <c r="A1915" s="1" t="s">
        <v>1980</v>
      </c>
      <c r="B1915" s="1" t="s">
        <v>42</v>
      </c>
      <c r="C1915" s="1" t="s">
        <v>87</v>
      </c>
      <c r="D1915" s="1" t="s">
        <v>20</v>
      </c>
      <c r="E1915" s="1" t="s">
        <v>21</v>
      </c>
      <c r="F1915" s="1" t="s">
        <v>52</v>
      </c>
      <c r="G1915" s="2">
        <v>45845</v>
      </c>
      <c r="H1915" s="2">
        <v>45858</v>
      </c>
      <c r="I1915" s="1" t="s">
        <v>82</v>
      </c>
      <c r="J1915">
        <v>5</v>
      </c>
      <c r="K1915">
        <v>13</v>
      </c>
      <c r="L1915">
        <v>14</v>
      </c>
      <c r="M1915" s="1" t="s">
        <v>24</v>
      </c>
      <c r="N1915" s="2">
        <v>45839</v>
      </c>
      <c r="O1915">
        <v>2025</v>
      </c>
      <c r="P1915">
        <v>3</v>
      </c>
      <c r="Q1915" s="1" t="s">
        <v>24</v>
      </c>
    </row>
    <row r="1916" spans="1:17" x14ac:dyDescent="0.3">
      <c r="A1916" s="1" t="s">
        <v>1981</v>
      </c>
      <c r="B1916" s="1" t="s">
        <v>42</v>
      </c>
      <c r="C1916" s="1" t="s">
        <v>81</v>
      </c>
      <c r="D1916" s="1" t="s">
        <v>20</v>
      </c>
      <c r="E1916" s="1" t="s">
        <v>21</v>
      </c>
      <c r="F1916" s="1" t="s">
        <v>38</v>
      </c>
      <c r="G1916" s="2">
        <v>45709</v>
      </c>
      <c r="H1916" s="2">
        <v>45712</v>
      </c>
      <c r="I1916" s="1" t="s">
        <v>23</v>
      </c>
      <c r="J1916">
        <v>5</v>
      </c>
      <c r="K1916">
        <v>3</v>
      </c>
      <c r="L1916">
        <v>14</v>
      </c>
      <c r="M1916" s="1" t="s">
        <v>24</v>
      </c>
      <c r="N1916" s="2">
        <v>45689</v>
      </c>
      <c r="O1916">
        <v>2025</v>
      </c>
      <c r="P1916">
        <v>1</v>
      </c>
      <c r="Q1916" s="1" t="s">
        <v>24</v>
      </c>
    </row>
    <row r="1917" spans="1:17" x14ac:dyDescent="0.3">
      <c r="A1917" s="1" t="s">
        <v>1982</v>
      </c>
      <c r="B1917" s="1" t="s">
        <v>26</v>
      </c>
      <c r="C1917" s="1" t="s">
        <v>67</v>
      </c>
      <c r="D1917" s="1" t="s">
        <v>44</v>
      </c>
      <c r="E1917" s="1" t="s">
        <v>21</v>
      </c>
      <c r="F1917" s="1" t="s">
        <v>31</v>
      </c>
      <c r="G1917" s="2">
        <v>45745</v>
      </c>
      <c r="H1917" s="2">
        <v>45749</v>
      </c>
      <c r="I1917" s="1" t="s">
        <v>23</v>
      </c>
      <c r="J1917">
        <v>5</v>
      </c>
      <c r="K1917">
        <v>4</v>
      </c>
      <c r="L1917">
        <v>7</v>
      </c>
      <c r="M1917" s="1" t="s">
        <v>24</v>
      </c>
      <c r="N1917" s="2">
        <v>45717</v>
      </c>
      <c r="O1917">
        <v>2025</v>
      </c>
      <c r="P1917">
        <v>1</v>
      </c>
      <c r="Q1917" s="1" t="s">
        <v>24</v>
      </c>
    </row>
    <row r="1918" spans="1:17" x14ac:dyDescent="0.3">
      <c r="A1918" s="1" t="s">
        <v>1983</v>
      </c>
      <c r="B1918" s="1" t="s">
        <v>35</v>
      </c>
      <c r="C1918" s="1" t="s">
        <v>97</v>
      </c>
      <c r="D1918" s="1" t="s">
        <v>51</v>
      </c>
      <c r="E1918" s="1" t="s">
        <v>21</v>
      </c>
      <c r="F1918" s="1" t="s">
        <v>31</v>
      </c>
      <c r="G1918" s="2">
        <v>45971</v>
      </c>
      <c r="H1918" s="2">
        <v>45977</v>
      </c>
      <c r="I1918" s="1" t="s">
        <v>82</v>
      </c>
      <c r="J1918">
        <v>3</v>
      </c>
      <c r="K1918">
        <v>6</v>
      </c>
      <c r="L1918">
        <v>10</v>
      </c>
      <c r="M1918" s="1" t="s">
        <v>24</v>
      </c>
      <c r="N1918" s="2">
        <v>45962</v>
      </c>
      <c r="O1918">
        <v>2025</v>
      </c>
      <c r="P1918">
        <v>4</v>
      </c>
      <c r="Q1918" s="1" t="s">
        <v>24</v>
      </c>
    </row>
    <row r="1919" spans="1:17" x14ac:dyDescent="0.3">
      <c r="A1919" s="1" t="s">
        <v>1984</v>
      </c>
      <c r="B1919" s="1" t="s">
        <v>35</v>
      </c>
      <c r="C1919" s="1" t="s">
        <v>36</v>
      </c>
      <c r="D1919" s="1" t="s">
        <v>51</v>
      </c>
      <c r="E1919" s="1" t="s">
        <v>21</v>
      </c>
      <c r="F1919" s="1" t="s">
        <v>52</v>
      </c>
      <c r="G1919" s="2">
        <v>45707</v>
      </c>
      <c r="H1919" s="2">
        <v>45716</v>
      </c>
      <c r="I1919" s="1" t="s">
        <v>23</v>
      </c>
      <c r="J1919">
        <v>4</v>
      </c>
      <c r="K1919">
        <v>9</v>
      </c>
      <c r="L1919">
        <v>10</v>
      </c>
      <c r="M1919" s="1" t="s">
        <v>24</v>
      </c>
      <c r="N1919" s="2">
        <v>45689</v>
      </c>
      <c r="O1919">
        <v>2025</v>
      </c>
      <c r="P1919">
        <v>1</v>
      </c>
      <c r="Q1919" s="1" t="s">
        <v>24</v>
      </c>
    </row>
    <row r="1920" spans="1:17" x14ac:dyDescent="0.3">
      <c r="A1920" s="1" t="s">
        <v>1985</v>
      </c>
      <c r="B1920" s="1" t="s">
        <v>58</v>
      </c>
      <c r="C1920" s="1" t="s">
        <v>59</v>
      </c>
      <c r="D1920" s="1" t="s">
        <v>51</v>
      </c>
      <c r="E1920" s="1" t="s">
        <v>21</v>
      </c>
      <c r="F1920" s="1" t="s">
        <v>52</v>
      </c>
      <c r="G1920" s="2">
        <v>45889</v>
      </c>
      <c r="H1920" s="2">
        <v>45896</v>
      </c>
      <c r="I1920" s="1" t="s">
        <v>32</v>
      </c>
      <c r="J1920">
        <v>5</v>
      </c>
      <c r="K1920">
        <v>7</v>
      </c>
      <c r="L1920">
        <v>10</v>
      </c>
      <c r="M1920" s="1" t="s">
        <v>24</v>
      </c>
      <c r="N1920" s="2">
        <v>45870</v>
      </c>
      <c r="O1920">
        <v>2025</v>
      </c>
      <c r="P1920">
        <v>3</v>
      </c>
      <c r="Q1920" s="1" t="s">
        <v>24</v>
      </c>
    </row>
    <row r="1921" spans="1:17" x14ac:dyDescent="0.3">
      <c r="A1921" s="1" t="s">
        <v>1986</v>
      </c>
      <c r="B1921" s="1" t="s">
        <v>18</v>
      </c>
      <c r="C1921" s="1" t="s">
        <v>30</v>
      </c>
      <c r="D1921" s="1" t="s">
        <v>51</v>
      </c>
      <c r="E1921" s="1" t="s">
        <v>48</v>
      </c>
      <c r="F1921" s="1" t="s">
        <v>52</v>
      </c>
      <c r="G1921" s="2">
        <v>45816</v>
      </c>
      <c r="H1921" s="2"/>
      <c r="I1921" s="1" t="s">
        <v>28</v>
      </c>
      <c r="L1921">
        <v>10</v>
      </c>
      <c r="M1921" s="1" t="s">
        <v>40</v>
      </c>
      <c r="N1921" s="2">
        <v>45809</v>
      </c>
      <c r="O1921">
        <v>2025</v>
      </c>
      <c r="P1921">
        <v>2</v>
      </c>
      <c r="Q1921" s="1" t="s">
        <v>33</v>
      </c>
    </row>
    <row r="1922" spans="1:17" x14ac:dyDescent="0.3">
      <c r="A1922" s="1" t="s">
        <v>1987</v>
      </c>
      <c r="B1922" s="1" t="s">
        <v>63</v>
      </c>
      <c r="C1922" s="1" t="s">
        <v>89</v>
      </c>
      <c r="D1922" s="1" t="s">
        <v>20</v>
      </c>
      <c r="E1922" s="1" t="s">
        <v>21</v>
      </c>
      <c r="F1922" s="1" t="s">
        <v>38</v>
      </c>
      <c r="G1922" s="2">
        <v>45698</v>
      </c>
      <c r="H1922" s="2">
        <v>45701</v>
      </c>
      <c r="I1922" s="1" t="s">
        <v>28</v>
      </c>
      <c r="J1922">
        <v>4</v>
      </c>
      <c r="K1922">
        <v>3</v>
      </c>
      <c r="L1922">
        <v>14</v>
      </c>
      <c r="M1922" s="1" t="s">
        <v>24</v>
      </c>
      <c r="N1922" s="2">
        <v>45689</v>
      </c>
      <c r="O1922">
        <v>2025</v>
      </c>
      <c r="P1922">
        <v>1</v>
      </c>
      <c r="Q1922" s="1" t="s">
        <v>24</v>
      </c>
    </row>
    <row r="1923" spans="1:17" x14ac:dyDescent="0.3">
      <c r="A1923" s="1" t="s">
        <v>1988</v>
      </c>
      <c r="B1923" s="1" t="s">
        <v>42</v>
      </c>
      <c r="C1923" s="1" t="s">
        <v>87</v>
      </c>
      <c r="D1923" s="1" t="s">
        <v>20</v>
      </c>
      <c r="E1923" s="1" t="s">
        <v>21</v>
      </c>
      <c r="F1923" s="1" t="s">
        <v>52</v>
      </c>
      <c r="G1923" s="2">
        <v>45802</v>
      </c>
      <c r="H1923" s="2">
        <v>45817</v>
      </c>
      <c r="I1923" s="1" t="s">
        <v>82</v>
      </c>
      <c r="J1923">
        <v>4</v>
      </c>
      <c r="K1923">
        <v>15</v>
      </c>
      <c r="L1923">
        <v>14</v>
      </c>
      <c r="M1923" s="1" t="s">
        <v>33</v>
      </c>
      <c r="N1923" s="2">
        <v>45778</v>
      </c>
      <c r="O1923">
        <v>2025</v>
      </c>
      <c r="P1923">
        <v>2</v>
      </c>
      <c r="Q1923" s="1" t="s">
        <v>24</v>
      </c>
    </row>
    <row r="1924" spans="1:17" x14ac:dyDescent="0.3">
      <c r="A1924" s="1" t="s">
        <v>1989</v>
      </c>
      <c r="B1924" s="1" t="s">
        <v>63</v>
      </c>
      <c r="C1924" s="1" t="s">
        <v>89</v>
      </c>
      <c r="D1924" s="1" t="s">
        <v>51</v>
      </c>
      <c r="E1924" s="1" t="s">
        <v>21</v>
      </c>
      <c r="F1924" s="1" t="s">
        <v>52</v>
      </c>
      <c r="G1924" s="2">
        <v>45987</v>
      </c>
      <c r="H1924" s="2">
        <v>45997</v>
      </c>
      <c r="I1924" s="1" t="s">
        <v>28</v>
      </c>
      <c r="J1924">
        <v>5</v>
      </c>
      <c r="K1924">
        <v>10</v>
      </c>
      <c r="L1924">
        <v>10</v>
      </c>
      <c r="M1924" s="1" t="s">
        <v>24</v>
      </c>
      <c r="N1924" s="2">
        <v>45962</v>
      </c>
      <c r="O1924">
        <v>2025</v>
      </c>
      <c r="P1924">
        <v>4</v>
      </c>
      <c r="Q1924" s="1" t="s">
        <v>24</v>
      </c>
    </row>
    <row r="1925" spans="1:17" x14ac:dyDescent="0.3">
      <c r="A1925" s="1" t="s">
        <v>1990</v>
      </c>
      <c r="B1925" s="1" t="s">
        <v>58</v>
      </c>
      <c r="C1925" s="1" t="s">
        <v>70</v>
      </c>
      <c r="D1925" s="1" t="s">
        <v>51</v>
      </c>
      <c r="E1925" s="1" t="s">
        <v>21</v>
      </c>
      <c r="F1925" s="1" t="s">
        <v>52</v>
      </c>
      <c r="G1925" s="2">
        <v>45834</v>
      </c>
      <c r="H1925" s="2">
        <v>45837</v>
      </c>
      <c r="I1925" s="1" t="s">
        <v>39</v>
      </c>
      <c r="J1925">
        <v>2</v>
      </c>
      <c r="K1925">
        <v>3</v>
      </c>
      <c r="L1925">
        <v>10</v>
      </c>
      <c r="M1925" s="1" t="s">
        <v>24</v>
      </c>
      <c r="N1925" s="2">
        <v>45809</v>
      </c>
      <c r="O1925">
        <v>2025</v>
      </c>
      <c r="P1925">
        <v>2</v>
      </c>
      <c r="Q1925" s="1" t="s">
        <v>24</v>
      </c>
    </row>
    <row r="1926" spans="1:17" x14ac:dyDescent="0.3">
      <c r="A1926" s="1" t="s">
        <v>1991</v>
      </c>
      <c r="B1926" s="1" t="s">
        <v>63</v>
      </c>
      <c r="C1926" s="1" t="s">
        <v>89</v>
      </c>
      <c r="D1926" s="1" t="s">
        <v>51</v>
      </c>
      <c r="E1926" s="1" t="s">
        <v>48</v>
      </c>
      <c r="F1926" s="1" t="s">
        <v>52</v>
      </c>
      <c r="G1926" s="2">
        <v>46021</v>
      </c>
      <c r="H1926" s="2"/>
      <c r="I1926" s="1" t="s">
        <v>39</v>
      </c>
      <c r="L1926">
        <v>10</v>
      </c>
      <c r="M1926" s="1" t="s">
        <v>40</v>
      </c>
      <c r="N1926" s="2">
        <v>45992</v>
      </c>
      <c r="O1926">
        <v>2025</v>
      </c>
      <c r="P1926">
        <v>4</v>
      </c>
      <c r="Q1926" s="1" t="s">
        <v>33</v>
      </c>
    </row>
    <row r="1927" spans="1:17" x14ac:dyDescent="0.3">
      <c r="A1927" s="1" t="s">
        <v>1992</v>
      </c>
      <c r="B1927" s="1" t="s">
        <v>63</v>
      </c>
      <c r="C1927" s="1" t="s">
        <v>84</v>
      </c>
      <c r="D1927" s="1" t="s">
        <v>44</v>
      </c>
      <c r="E1927" s="1" t="s">
        <v>21</v>
      </c>
      <c r="F1927" s="1" t="s">
        <v>22</v>
      </c>
      <c r="G1927" s="2">
        <v>45995</v>
      </c>
      <c r="H1927" s="2">
        <v>45998</v>
      </c>
      <c r="I1927" s="1" t="s">
        <v>28</v>
      </c>
      <c r="J1927">
        <v>5</v>
      </c>
      <c r="K1927">
        <v>3</v>
      </c>
      <c r="L1927">
        <v>7</v>
      </c>
      <c r="M1927" s="1" t="s">
        <v>24</v>
      </c>
      <c r="N1927" s="2">
        <v>45992</v>
      </c>
      <c r="O1927">
        <v>2025</v>
      </c>
      <c r="P1927">
        <v>4</v>
      </c>
      <c r="Q1927" s="1" t="s">
        <v>24</v>
      </c>
    </row>
    <row r="1928" spans="1:17" x14ac:dyDescent="0.3">
      <c r="A1928" s="1" t="s">
        <v>1993</v>
      </c>
      <c r="B1928" s="1" t="s">
        <v>42</v>
      </c>
      <c r="C1928" s="1" t="s">
        <v>76</v>
      </c>
      <c r="D1928" s="1" t="s">
        <v>71</v>
      </c>
      <c r="E1928" s="1" t="s">
        <v>21</v>
      </c>
      <c r="F1928" s="1" t="s">
        <v>61</v>
      </c>
      <c r="G1928" s="2">
        <v>45907</v>
      </c>
      <c r="H1928" s="2">
        <v>45909</v>
      </c>
      <c r="I1928" s="1" t="s">
        <v>28</v>
      </c>
      <c r="J1928">
        <v>3</v>
      </c>
      <c r="K1928">
        <v>2</v>
      </c>
      <c r="L1928">
        <v>3</v>
      </c>
      <c r="M1928" s="1" t="s">
        <v>24</v>
      </c>
      <c r="N1928" s="2">
        <v>45901</v>
      </c>
      <c r="O1928">
        <v>2025</v>
      </c>
      <c r="P1928">
        <v>3</v>
      </c>
      <c r="Q1928" s="1" t="s">
        <v>24</v>
      </c>
    </row>
    <row r="1929" spans="1:17" x14ac:dyDescent="0.3">
      <c r="A1929" s="1" t="s">
        <v>1994</v>
      </c>
      <c r="B1929" s="1" t="s">
        <v>26</v>
      </c>
      <c r="C1929" s="1" t="s">
        <v>27</v>
      </c>
      <c r="D1929" s="1" t="s">
        <v>71</v>
      </c>
      <c r="E1929" s="1" t="s">
        <v>48</v>
      </c>
      <c r="F1929" s="1" t="s">
        <v>31</v>
      </c>
      <c r="G1929" s="2">
        <v>45750</v>
      </c>
      <c r="H1929" s="2"/>
      <c r="I1929" s="1" t="s">
        <v>23</v>
      </c>
      <c r="L1929">
        <v>3</v>
      </c>
      <c r="M1929" s="1" t="s">
        <v>40</v>
      </c>
      <c r="N1929" s="2">
        <v>45748</v>
      </c>
      <c r="O1929">
        <v>2025</v>
      </c>
      <c r="P1929">
        <v>2</v>
      </c>
      <c r="Q1929" s="1" t="s">
        <v>33</v>
      </c>
    </row>
    <row r="1930" spans="1:17" x14ac:dyDescent="0.3">
      <c r="A1930" s="1" t="s">
        <v>1995</v>
      </c>
      <c r="B1930" s="1" t="s">
        <v>42</v>
      </c>
      <c r="C1930" s="1" t="s">
        <v>43</v>
      </c>
      <c r="D1930" s="1" t="s">
        <v>44</v>
      </c>
      <c r="E1930" s="1" t="s">
        <v>37</v>
      </c>
      <c r="F1930" s="1" t="s">
        <v>52</v>
      </c>
      <c r="G1930" s="2">
        <v>45848</v>
      </c>
      <c r="H1930" s="2"/>
      <c r="I1930" s="1" t="s">
        <v>23</v>
      </c>
      <c r="L1930">
        <v>7</v>
      </c>
      <c r="M1930" s="1" t="s">
        <v>40</v>
      </c>
      <c r="N1930" s="2">
        <v>45839</v>
      </c>
      <c r="O1930">
        <v>2025</v>
      </c>
      <c r="P1930">
        <v>3</v>
      </c>
      <c r="Q1930" s="1" t="s">
        <v>33</v>
      </c>
    </row>
    <row r="1931" spans="1:17" x14ac:dyDescent="0.3">
      <c r="A1931" s="1" t="s">
        <v>1996</v>
      </c>
      <c r="B1931" s="1" t="s">
        <v>42</v>
      </c>
      <c r="C1931" s="1" t="s">
        <v>87</v>
      </c>
      <c r="D1931" s="1" t="s">
        <v>44</v>
      </c>
      <c r="E1931" s="1" t="s">
        <v>48</v>
      </c>
      <c r="F1931" s="1" t="s">
        <v>61</v>
      </c>
      <c r="G1931" s="2">
        <v>45761</v>
      </c>
      <c r="H1931" s="2"/>
      <c r="I1931" s="1" t="s">
        <v>28</v>
      </c>
      <c r="L1931">
        <v>7</v>
      </c>
      <c r="M1931" s="1" t="s">
        <v>40</v>
      </c>
      <c r="N1931" s="2">
        <v>45748</v>
      </c>
      <c r="O1931">
        <v>2025</v>
      </c>
      <c r="P1931">
        <v>2</v>
      </c>
      <c r="Q1931" s="1" t="s">
        <v>33</v>
      </c>
    </row>
    <row r="1932" spans="1:17" x14ac:dyDescent="0.3">
      <c r="A1932" s="1" t="s">
        <v>1997</v>
      </c>
      <c r="B1932" s="1" t="s">
        <v>35</v>
      </c>
      <c r="C1932" s="1" t="s">
        <v>97</v>
      </c>
      <c r="D1932" s="1" t="s">
        <v>51</v>
      </c>
      <c r="E1932" s="1" t="s">
        <v>48</v>
      </c>
      <c r="F1932" s="1" t="s">
        <v>22</v>
      </c>
      <c r="G1932" s="2">
        <v>45960</v>
      </c>
      <c r="H1932" s="2"/>
      <c r="I1932" s="1" t="s">
        <v>82</v>
      </c>
      <c r="L1932">
        <v>10</v>
      </c>
      <c r="M1932" s="1" t="s">
        <v>40</v>
      </c>
      <c r="N1932" s="2">
        <v>45931</v>
      </c>
      <c r="O1932">
        <v>2025</v>
      </c>
      <c r="P1932">
        <v>4</v>
      </c>
      <c r="Q1932" s="1" t="s">
        <v>33</v>
      </c>
    </row>
    <row r="1933" spans="1:17" x14ac:dyDescent="0.3">
      <c r="A1933" s="1" t="s">
        <v>1998</v>
      </c>
      <c r="B1933" s="1" t="s">
        <v>63</v>
      </c>
      <c r="C1933" s="1" t="s">
        <v>89</v>
      </c>
      <c r="D1933" s="1" t="s">
        <v>44</v>
      </c>
      <c r="E1933" s="1" t="s">
        <v>21</v>
      </c>
      <c r="F1933" s="1" t="s">
        <v>22</v>
      </c>
      <c r="G1933" s="2">
        <v>45678</v>
      </c>
      <c r="H1933" s="2">
        <v>45682</v>
      </c>
      <c r="I1933" s="1" t="s">
        <v>82</v>
      </c>
      <c r="J1933">
        <v>5</v>
      </c>
      <c r="K1933">
        <v>4</v>
      </c>
      <c r="L1933">
        <v>7</v>
      </c>
      <c r="M1933" s="1" t="s">
        <v>24</v>
      </c>
      <c r="N1933" s="2">
        <v>45658</v>
      </c>
      <c r="O1933">
        <v>2025</v>
      </c>
      <c r="P1933">
        <v>1</v>
      </c>
      <c r="Q1933" s="1" t="s">
        <v>24</v>
      </c>
    </row>
    <row r="1934" spans="1:17" x14ac:dyDescent="0.3">
      <c r="A1934" s="1" t="s">
        <v>1999</v>
      </c>
      <c r="B1934" s="1" t="s">
        <v>35</v>
      </c>
      <c r="C1934" s="1" t="s">
        <v>50</v>
      </c>
      <c r="D1934" s="1" t="s">
        <v>20</v>
      </c>
      <c r="E1934" s="1" t="s">
        <v>21</v>
      </c>
      <c r="F1934" s="1" t="s">
        <v>38</v>
      </c>
      <c r="G1934" s="2">
        <v>45866</v>
      </c>
      <c r="H1934" s="2">
        <v>45878</v>
      </c>
      <c r="I1934" s="1" t="s">
        <v>39</v>
      </c>
      <c r="J1934">
        <v>4</v>
      </c>
      <c r="K1934">
        <v>12</v>
      </c>
      <c r="L1934">
        <v>14</v>
      </c>
      <c r="M1934" s="1" t="s">
        <v>24</v>
      </c>
      <c r="N1934" s="2">
        <v>45839</v>
      </c>
      <c r="O1934">
        <v>2025</v>
      </c>
      <c r="P1934">
        <v>3</v>
      </c>
      <c r="Q1934" s="1" t="s">
        <v>24</v>
      </c>
    </row>
    <row r="1935" spans="1:17" x14ac:dyDescent="0.3">
      <c r="A1935" s="1" t="s">
        <v>2000</v>
      </c>
      <c r="B1935" s="1" t="s">
        <v>58</v>
      </c>
      <c r="C1935" s="1" t="s">
        <v>145</v>
      </c>
      <c r="D1935" s="1" t="s">
        <v>44</v>
      </c>
      <c r="E1935" s="1" t="s">
        <v>21</v>
      </c>
      <c r="F1935" s="1" t="s">
        <v>61</v>
      </c>
      <c r="G1935" s="2">
        <v>45776</v>
      </c>
      <c r="H1935" s="2">
        <v>45779</v>
      </c>
      <c r="I1935" s="1" t="s">
        <v>39</v>
      </c>
      <c r="J1935">
        <v>5</v>
      </c>
      <c r="K1935">
        <v>3</v>
      </c>
      <c r="L1935">
        <v>7</v>
      </c>
      <c r="M1935" s="1" t="s">
        <v>24</v>
      </c>
      <c r="N1935" s="2">
        <v>45748</v>
      </c>
      <c r="O1935">
        <v>2025</v>
      </c>
      <c r="P1935">
        <v>2</v>
      </c>
      <c r="Q1935" s="1" t="s">
        <v>24</v>
      </c>
    </row>
    <row r="1936" spans="1:17" x14ac:dyDescent="0.3">
      <c r="A1936" s="1" t="s">
        <v>2001</v>
      </c>
      <c r="B1936" s="1" t="s">
        <v>35</v>
      </c>
      <c r="C1936" s="1" t="s">
        <v>97</v>
      </c>
      <c r="D1936" s="1" t="s">
        <v>44</v>
      </c>
      <c r="E1936" s="1" t="s">
        <v>37</v>
      </c>
      <c r="F1936" s="1" t="s">
        <v>22</v>
      </c>
      <c r="G1936" s="2">
        <v>45775</v>
      </c>
      <c r="H1936" s="2"/>
      <c r="I1936" s="1" t="s">
        <v>32</v>
      </c>
      <c r="L1936">
        <v>7</v>
      </c>
      <c r="M1936" s="1" t="s">
        <v>40</v>
      </c>
      <c r="N1936" s="2">
        <v>45748</v>
      </c>
      <c r="O1936">
        <v>2025</v>
      </c>
      <c r="P1936">
        <v>2</v>
      </c>
      <c r="Q1936" s="1" t="s">
        <v>33</v>
      </c>
    </row>
    <row r="1937" spans="1:17" x14ac:dyDescent="0.3">
      <c r="A1937" s="1" t="s">
        <v>2002</v>
      </c>
      <c r="B1937" s="1" t="s">
        <v>58</v>
      </c>
      <c r="C1937" s="1" t="s">
        <v>59</v>
      </c>
      <c r="D1937" s="1" t="s">
        <v>20</v>
      </c>
      <c r="E1937" s="1" t="s">
        <v>21</v>
      </c>
      <c r="F1937" s="1" t="s">
        <v>38</v>
      </c>
      <c r="G1937" s="2">
        <v>45771</v>
      </c>
      <c r="H1937" s="2">
        <v>45781</v>
      </c>
      <c r="I1937" s="1" t="s">
        <v>39</v>
      </c>
      <c r="J1937">
        <v>3</v>
      </c>
      <c r="K1937">
        <v>10</v>
      </c>
      <c r="L1937">
        <v>14</v>
      </c>
      <c r="M1937" s="1" t="s">
        <v>24</v>
      </c>
      <c r="N1937" s="2">
        <v>45748</v>
      </c>
      <c r="O1937">
        <v>2025</v>
      </c>
      <c r="P1937">
        <v>2</v>
      </c>
      <c r="Q1937" s="1" t="s">
        <v>24</v>
      </c>
    </row>
    <row r="1938" spans="1:17" x14ac:dyDescent="0.3">
      <c r="A1938" s="1" t="s">
        <v>2003</v>
      </c>
      <c r="B1938" s="1" t="s">
        <v>42</v>
      </c>
      <c r="C1938" s="1" t="s">
        <v>81</v>
      </c>
      <c r="D1938" s="1" t="s">
        <v>44</v>
      </c>
      <c r="E1938" s="1" t="s">
        <v>21</v>
      </c>
      <c r="F1938" s="1" t="s">
        <v>52</v>
      </c>
      <c r="G1938" s="2">
        <v>45937</v>
      </c>
      <c r="H1938" s="2">
        <v>45941</v>
      </c>
      <c r="I1938" s="1" t="s">
        <v>82</v>
      </c>
      <c r="J1938">
        <v>1</v>
      </c>
      <c r="K1938">
        <v>4</v>
      </c>
      <c r="L1938">
        <v>7</v>
      </c>
      <c r="M1938" s="1" t="s">
        <v>24</v>
      </c>
      <c r="N1938" s="2">
        <v>45931</v>
      </c>
      <c r="O1938">
        <v>2025</v>
      </c>
      <c r="P1938">
        <v>4</v>
      </c>
      <c r="Q1938" s="1" t="s">
        <v>24</v>
      </c>
    </row>
    <row r="1939" spans="1:17" x14ac:dyDescent="0.3">
      <c r="A1939" s="1" t="s">
        <v>2004</v>
      </c>
      <c r="B1939" s="1" t="s">
        <v>18</v>
      </c>
      <c r="C1939" s="1" t="s">
        <v>19</v>
      </c>
      <c r="D1939" s="1" t="s">
        <v>51</v>
      </c>
      <c r="E1939" s="1" t="s">
        <v>21</v>
      </c>
      <c r="F1939" s="1" t="s">
        <v>38</v>
      </c>
      <c r="G1939" s="2">
        <v>45931</v>
      </c>
      <c r="H1939" s="2">
        <v>45941</v>
      </c>
      <c r="I1939" s="1" t="s">
        <v>28</v>
      </c>
      <c r="J1939">
        <v>3</v>
      </c>
      <c r="K1939">
        <v>10</v>
      </c>
      <c r="L1939">
        <v>10</v>
      </c>
      <c r="M1939" s="1" t="s">
        <v>24</v>
      </c>
      <c r="N1939" s="2">
        <v>45931</v>
      </c>
      <c r="O1939">
        <v>2025</v>
      </c>
      <c r="P1939">
        <v>4</v>
      </c>
      <c r="Q1939" s="1" t="s">
        <v>24</v>
      </c>
    </row>
    <row r="1940" spans="1:17" x14ac:dyDescent="0.3">
      <c r="A1940" s="1" t="s">
        <v>2005</v>
      </c>
      <c r="B1940" s="1" t="s">
        <v>58</v>
      </c>
      <c r="C1940" s="1" t="s">
        <v>59</v>
      </c>
      <c r="D1940" s="1" t="s">
        <v>20</v>
      </c>
      <c r="E1940" s="1" t="s">
        <v>21</v>
      </c>
      <c r="F1940" s="1" t="s">
        <v>52</v>
      </c>
      <c r="G1940" s="2">
        <v>45665</v>
      </c>
      <c r="H1940" s="2">
        <v>45678</v>
      </c>
      <c r="I1940" s="1" t="s">
        <v>28</v>
      </c>
      <c r="J1940">
        <v>4</v>
      </c>
      <c r="K1940">
        <v>13</v>
      </c>
      <c r="L1940">
        <v>14</v>
      </c>
      <c r="M1940" s="1" t="s">
        <v>24</v>
      </c>
      <c r="N1940" s="2">
        <v>45658</v>
      </c>
      <c r="O1940">
        <v>2025</v>
      </c>
      <c r="P1940">
        <v>1</v>
      </c>
      <c r="Q1940" s="1" t="s">
        <v>24</v>
      </c>
    </row>
    <row r="1941" spans="1:17" x14ac:dyDescent="0.3">
      <c r="A1941" s="1" t="s">
        <v>2006</v>
      </c>
      <c r="B1941" s="1" t="s">
        <v>58</v>
      </c>
      <c r="C1941" s="1" t="s">
        <v>70</v>
      </c>
      <c r="D1941" s="1" t="s">
        <v>20</v>
      </c>
      <c r="E1941" s="1" t="s">
        <v>48</v>
      </c>
      <c r="F1941" s="1" t="s">
        <v>61</v>
      </c>
      <c r="G1941" s="2">
        <v>45790</v>
      </c>
      <c r="H1941" s="2"/>
      <c r="I1941" s="1" t="s">
        <v>32</v>
      </c>
      <c r="L1941">
        <v>14</v>
      </c>
      <c r="M1941" s="1" t="s">
        <v>40</v>
      </c>
      <c r="N1941" s="2">
        <v>45778</v>
      </c>
      <c r="O1941">
        <v>2025</v>
      </c>
      <c r="P1941">
        <v>2</v>
      </c>
      <c r="Q1941" s="1" t="s">
        <v>33</v>
      </c>
    </row>
    <row r="1942" spans="1:17" x14ac:dyDescent="0.3">
      <c r="A1942" s="1" t="s">
        <v>2007</v>
      </c>
      <c r="B1942" s="1" t="s">
        <v>18</v>
      </c>
      <c r="C1942" s="1" t="s">
        <v>56</v>
      </c>
      <c r="D1942" s="1" t="s">
        <v>51</v>
      </c>
      <c r="E1942" s="1" t="s">
        <v>48</v>
      </c>
      <c r="F1942" s="1" t="s">
        <v>61</v>
      </c>
      <c r="G1942" s="2">
        <v>45762</v>
      </c>
      <c r="H1942" s="2"/>
      <c r="I1942" s="1" t="s">
        <v>32</v>
      </c>
      <c r="L1942">
        <v>10</v>
      </c>
      <c r="M1942" s="1" t="s">
        <v>40</v>
      </c>
      <c r="N1942" s="2">
        <v>45748</v>
      </c>
      <c r="O1942">
        <v>2025</v>
      </c>
      <c r="P1942">
        <v>2</v>
      </c>
      <c r="Q1942" s="1" t="s">
        <v>33</v>
      </c>
    </row>
    <row r="1943" spans="1:17" x14ac:dyDescent="0.3">
      <c r="A1943" s="1" t="s">
        <v>2008</v>
      </c>
      <c r="B1943" s="1" t="s">
        <v>42</v>
      </c>
      <c r="C1943" s="1" t="s">
        <v>43</v>
      </c>
      <c r="D1943" s="1" t="s">
        <v>51</v>
      </c>
      <c r="E1943" s="1" t="s">
        <v>21</v>
      </c>
      <c r="F1943" s="1" t="s">
        <v>61</v>
      </c>
      <c r="G1943" s="2">
        <v>45938</v>
      </c>
      <c r="H1943" s="2">
        <v>45941</v>
      </c>
      <c r="I1943" s="1" t="s">
        <v>23</v>
      </c>
      <c r="J1943">
        <v>2</v>
      </c>
      <c r="K1943">
        <v>3</v>
      </c>
      <c r="L1943">
        <v>10</v>
      </c>
      <c r="M1943" s="1" t="s">
        <v>24</v>
      </c>
      <c r="N1943" s="2">
        <v>45931</v>
      </c>
      <c r="O1943">
        <v>2025</v>
      </c>
      <c r="P1943">
        <v>4</v>
      </c>
      <c r="Q1943" s="1" t="s">
        <v>24</v>
      </c>
    </row>
    <row r="1944" spans="1:17" x14ac:dyDescent="0.3">
      <c r="A1944" s="1" t="s">
        <v>2009</v>
      </c>
      <c r="B1944" s="1" t="s">
        <v>42</v>
      </c>
      <c r="C1944" s="1" t="s">
        <v>76</v>
      </c>
      <c r="D1944" s="1" t="s">
        <v>20</v>
      </c>
      <c r="E1944" s="1" t="s">
        <v>37</v>
      </c>
      <c r="F1944" s="1" t="s">
        <v>61</v>
      </c>
      <c r="G1944" s="2">
        <v>45796</v>
      </c>
      <c r="H1944" s="2"/>
      <c r="I1944" s="1" t="s">
        <v>23</v>
      </c>
      <c r="L1944">
        <v>14</v>
      </c>
      <c r="M1944" s="1" t="s">
        <v>40</v>
      </c>
      <c r="N1944" s="2">
        <v>45778</v>
      </c>
      <c r="O1944">
        <v>2025</v>
      </c>
      <c r="P1944">
        <v>2</v>
      </c>
      <c r="Q1944" s="1" t="s">
        <v>33</v>
      </c>
    </row>
    <row r="1945" spans="1:17" x14ac:dyDescent="0.3">
      <c r="A1945" s="1" t="s">
        <v>2010</v>
      </c>
      <c r="B1945" s="1" t="s">
        <v>58</v>
      </c>
      <c r="C1945" s="1" t="s">
        <v>59</v>
      </c>
      <c r="D1945" s="1" t="s">
        <v>20</v>
      </c>
      <c r="E1945" s="1" t="s">
        <v>37</v>
      </c>
      <c r="F1945" s="1" t="s">
        <v>31</v>
      </c>
      <c r="G1945" s="2">
        <v>45931</v>
      </c>
      <c r="H1945" s="2"/>
      <c r="I1945" s="1" t="s">
        <v>82</v>
      </c>
      <c r="L1945">
        <v>14</v>
      </c>
      <c r="M1945" s="1" t="s">
        <v>40</v>
      </c>
      <c r="N1945" s="2">
        <v>45931</v>
      </c>
      <c r="O1945">
        <v>2025</v>
      </c>
      <c r="P1945">
        <v>4</v>
      </c>
      <c r="Q1945" s="1" t="s">
        <v>33</v>
      </c>
    </row>
    <row r="1946" spans="1:17" x14ac:dyDescent="0.3">
      <c r="A1946" s="1" t="s">
        <v>2011</v>
      </c>
      <c r="B1946" s="1" t="s">
        <v>42</v>
      </c>
      <c r="C1946" s="1" t="s">
        <v>87</v>
      </c>
      <c r="D1946" s="1" t="s">
        <v>51</v>
      </c>
      <c r="E1946" s="1" t="s">
        <v>21</v>
      </c>
      <c r="F1946" s="1" t="s">
        <v>52</v>
      </c>
      <c r="G1946" s="2">
        <v>45700</v>
      </c>
      <c r="H1946" s="2">
        <v>45707</v>
      </c>
      <c r="I1946" s="1" t="s">
        <v>28</v>
      </c>
      <c r="J1946">
        <v>5</v>
      </c>
      <c r="K1946">
        <v>7</v>
      </c>
      <c r="L1946">
        <v>10</v>
      </c>
      <c r="M1946" s="1" t="s">
        <v>24</v>
      </c>
      <c r="N1946" s="2">
        <v>45689</v>
      </c>
      <c r="O1946">
        <v>2025</v>
      </c>
      <c r="P1946">
        <v>1</v>
      </c>
      <c r="Q1946" s="1" t="s">
        <v>24</v>
      </c>
    </row>
    <row r="1947" spans="1:17" x14ac:dyDescent="0.3">
      <c r="A1947" s="1" t="s">
        <v>2012</v>
      </c>
      <c r="B1947" s="1" t="s">
        <v>58</v>
      </c>
      <c r="C1947" s="1" t="s">
        <v>108</v>
      </c>
      <c r="D1947" s="1" t="s">
        <v>51</v>
      </c>
      <c r="E1947" s="1" t="s">
        <v>21</v>
      </c>
      <c r="F1947" s="1" t="s">
        <v>61</v>
      </c>
      <c r="G1947" s="2">
        <v>45667</v>
      </c>
      <c r="H1947" s="2">
        <v>45670</v>
      </c>
      <c r="I1947" s="1" t="s">
        <v>28</v>
      </c>
      <c r="J1947">
        <v>5</v>
      </c>
      <c r="K1947">
        <v>3</v>
      </c>
      <c r="L1947">
        <v>10</v>
      </c>
      <c r="M1947" s="1" t="s">
        <v>24</v>
      </c>
      <c r="N1947" s="2">
        <v>45658</v>
      </c>
      <c r="O1947">
        <v>2025</v>
      </c>
      <c r="P1947">
        <v>1</v>
      </c>
      <c r="Q1947" s="1" t="s">
        <v>24</v>
      </c>
    </row>
    <row r="1948" spans="1:17" x14ac:dyDescent="0.3">
      <c r="A1948" s="1" t="s">
        <v>2013</v>
      </c>
      <c r="B1948" s="1" t="s">
        <v>35</v>
      </c>
      <c r="C1948" s="1" t="s">
        <v>36</v>
      </c>
      <c r="D1948" s="1" t="s">
        <v>51</v>
      </c>
      <c r="E1948" s="1" t="s">
        <v>21</v>
      </c>
      <c r="F1948" s="1" t="s">
        <v>52</v>
      </c>
      <c r="G1948" s="2">
        <v>45757</v>
      </c>
      <c r="H1948" s="2">
        <v>45766</v>
      </c>
      <c r="I1948" s="1" t="s">
        <v>23</v>
      </c>
      <c r="J1948">
        <v>5</v>
      </c>
      <c r="K1948">
        <v>9</v>
      </c>
      <c r="L1948">
        <v>10</v>
      </c>
      <c r="M1948" s="1" t="s">
        <v>24</v>
      </c>
      <c r="N1948" s="2">
        <v>45748</v>
      </c>
      <c r="O1948">
        <v>2025</v>
      </c>
      <c r="P1948">
        <v>2</v>
      </c>
      <c r="Q1948" s="1" t="s">
        <v>24</v>
      </c>
    </row>
    <row r="1949" spans="1:17" x14ac:dyDescent="0.3">
      <c r="A1949" s="1" t="s">
        <v>2014</v>
      </c>
      <c r="B1949" s="1" t="s">
        <v>35</v>
      </c>
      <c r="C1949" s="1" t="s">
        <v>50</v>
      </c>
      <c r="D1949" s="1" t="s">
        <v>44</v>
      </c>
      <c r="E1949" s="1" t="s">
        <v>21</v>
      </c>
      <c r="F1949" s="1" t="s">
        <v>61</v>
      </c>
      <c r="G1949" s="2">
        <v>45920</v>
      </c>
      <c r="H1949" s="2">
        <v>45927</v>
      </c>
      <c r="I1949" s="1" t="s">
        <v>28</v>
      </c>
      <c r="J1949">
        <v>5</v>
      </c>
      <c r="K1949">
        <v>7</v>
      </c>
      <c r="L1949">
        <v>7</v>
      </c>
      <c r="M1949" s="1" t="s">
        <v>24</v>
      </c>
      <c r="N1949" s="2">
        <v>45901</v>
      </c>
      <c r="O1949">
        <v>2025</v>
      </c>
      <c r="P1949">
        <v>3</v>
      </c>
      <c r="Q1949" s="1" t="s">
        <v>24</v>
      </c>
    </row>
    <row r="1950" spans="1:17" x14ac:dyDescent="0.3">
      <c r="A1950" s="1" t="s">
        <v>2015</v>
      </c>
      <c r="B1950" s="1" t="s">
        <v>63</v>
      </c>
      <c r="C1950" s="1" t="s">
        <v>89</v>
      </c>
      <c r="D1950" s="1" t="s">
        <v>44</v>
      </c>
      <c r="E1950" s="1" t="s">
        <v>37</v>
      </c>
      <c r="F1950" s="1" t="s">
        <v>61</v>
      </c>
      <c r="G1950" s="2">
        <v>45692</v>
      </c>
      <c r="H1950" s="2"/>
      <c r="I1950" s="1" t="s">
        <v>39</v>
      </c>
      <c r="L1950">
        <v>7</v>
      </c>
      <c r="M1950" s="1" t="s">
        <v>40</v>
      </c>
      <c r="N1950" s="2">
        <v>45689</v>
      </c>
      <c r="O1950">
        <v>2025</v>
      </c>
      <c r="P1950">
        <v>1</v>
      </c>
      <c r="Q1950" s="1" t="s">
        <v>33</v>
      </c>
    </row>
    <row r="1951" spans="1:17" x14ac:dyDescent="0.3">
      <c r="A1951" s="1" t="s">
        <v>2016</v>
      </c>
      <c r="B1951" s="1" t="s">
        <v>26</v>
      </c>
      <c r="C1951" s="1" t="s">
        <v>27</v>
      </c>
      <c r="D1951" s="1" t="s">
        <v>51</v>
      </c>
      <c r="E1951" s="1" t="s">
        <v>21</v>
      </c>
      <c r="F1951" s="1" t="s">
        <v>61</v>
      </c>
      <c r="G1951" s="2">
        <v>45759</v>
      </c>
      <c r="H1951" s="2">
        <v>45761</v>
      </c>
      <c r="I1951" s="1" t="s">
        <v>23</v>
      </c>
      <c r="J1951">
        <v>1</v>
      </c>
      <c r="K1951">
        <v>2</v>
      </c>
      <c r="L1951">
        <v>10</v>
      </c>
      <c r="M1951" s="1" t="s">
        <v>24</v>
      </c>
      <c r="N1951" s="2">
        <v>45748</v>
      </c>
      <c r="O1951">
        <v>2025</v>
      </c>
      <c r="P1951">
        <v>2</v>
      </c>
      <c r="Q1951" s="1" t="s">
        <v>24</v>
      </c>
    </row>
    <row r="1952" spans="1:17" x14ac:dyDescent="0.3">
      <c r="A1952" s="1" t="s">
        <v>2017</v>
      </c>
      <c r="B1952" s="1" t="s">
        <v>26</v>
      </c>
      <c r="C1952" s="1" t="s">
        <v>123</v>
      </c>
      <c r="D1952" s="1" t="s">
        <v>20</v>
      </c>
      <c r="E1952" s="1" t="s">
        <v>21</v>
      </c>
      <c r="F1952" s="1" t="s">
        <v>38</v>
      </c>
      <c r="G1952" s="2">
        <v>45848</v>
      </c>
      <c r="H1952" s="2">
        <v>45861</v>
      </c>
      <c r="I1952" s="1" t="s">
        <v>32</v>
      </c>
      <c r="J1952">
        <v>4</v>
      </c>
      <c r="K1952">
        <v>13</v>
      </c>
      <c r="L1952">
        <v>14</v>
      </c>
      <c r="M1952" s="1" t="s">
        <v>24</v>
      </c>
      <c r="N1952" s="2">
        <v>45839</v>
      </c>
      <c r="O1952">
        <v>2025</v>
      </c>
      <c r="P1952">
        <v>3</v>
      </c>
      <c r="Q1952" s="1" t="s">
        <v>24</v>
      </c>
    </row>
    <row r="1953" spans="1:17" x14ac:dyDescent="0.3">
      <c r="A1953" s="1" t="s">
        <v>2018</v>
      </c>
      <c r="B1953" s="1" t="s">
        <v>58</v>
      </c>
      <c r="C1953" s="1" t="s">
        <v>70</v>
      </c>
      <c r="D1953" s="1" t="s">
        <v>20</v>
      </c>
      <c r="E1953" s="1" t="s">
        <v>21</v>
      </c>
      <c r="F1953" s="1" t="s">
        <v>22</v>
      </c>
      <c r="G1953" s="2">
        <v>45924</v>
      </c>
      <c r="H1953" s="2">
        <v>45935</v>
      </c>
      <c r="I1953" s="1" t="s">
        <v>28</v>
      </c>
      <c r="J1953">
        <v>5</v>
      </c>
      <c r="K1953">
        <v>11</v>
      </c>
      <c r="L1953">
        <v>14</v>
      </c>
      <c r="M1953" s="1" t="s">
        <v>24</v>
      </c>
      <c r="N1953" s="2">
        <v>45901</v>
      </c>
      <c r="O1953">
        <v>2025</v>
      </c>
      <c r="P1953">
        <v>3</v>
      </c>
      <c r="Q1953" s="1" t="s">
        <v>24</v>
      </c>
    </row>
    <row r="1954" spans="1:17" x14ac:dyDescent="0.3">
      <c r="A1954" s="1" t="s">
        <v>2019</v>
      </c>
      <c r="B1954" s="1" t="s">
        <v>58</v>
      </c>
      <c r="C1954" s="1" t="s">
        <v>145</v>
      </c>
      <c r="D1954" s="1" t="s">
        <v>51</v>
      </c>
      <c r="E1954" s="1" t="s">
        <v>21</v>
      </c>
      <c r="F1954" s="1" t="s">
        <v>38</v>
      </c>
      <c r="G1954" s="2">
        <v>45832</v>
      </c>
      <c r="H1954" s="2">
        <v>45835</v>
      </c>
      <c r="I1954" s="1" t="s">
        <v>32</v>
      </c>
      <c r="J1954">
        <v>4</v>
      </c>
      <c r="K1954">
        <v>3</v>
      </c>
      <c r="L1954">
        <v>10</v>
      </c>
      <c r="M1954" s="1" t="s">
        <v>24</v>
      </c>
      <c r="N1954" s="2">
        <v>45809</v>
      </c>
      <c r="O1954">
        <v>2025</v>
      </c>
      <c r="P1954">
        <v>2</v>
      </c>
      <c r="Q1954" s="1" t="s">
        <v>24</v>
      </c>
    </row>
    <row r="1955" spans="1:17" x14ac:dyDescent="0.3">
      <c r="A1955" s="1" t="s">
        <v>2020</v>
      </c>
      <c r="B1955" s="1" t="s">
        <v>63</v>
      </c>
      <c r="C1955" s="1" t="s">
        <v>84</v>
      </c>
      <c r="D1955" s="1" t="s">
        <v>51</v>
      </c>
      <c r="E1955" s="1" t="s">
        <v>21</v>
      </c>
      <c r="F1955" s="1" t="s">
        <v>52</v>
      </c>
      <c r="G1955" s="2">
        <v>45677</v>
      </c>
      <c r="H1955" s="2">
        <v>45680</v>
      </c>
      <c r="I1955" s="1" t="s">
        <v>28</v>
      </c>
      <c r="J1955">
        <v>2</v>
      </c>
      <c r="K1955">
        <v>3</v>
      </c>
      <c r="L1955">
        <v>10</v>
      </c>
      <c r="M1955" s="1" t="s">
        <v>24</v>
      </c>
      <c r="N1955" s="2">
        <v>45658</v>
      </c>
      <c r="O1955">
        <v>2025</v>
      </c>
      <c r="P1955">
        <v>1</v>
      </c>
      <c r="Q1955" s="1" t="s">
        <v>24</v>
      </c>
    </row>
    <row r="1956" spans="1:17" x14ac:dyDescent="0.3">
      <c r="A1956" s="1" t="s">
        <v>2021</v>
      </c>
      <c r="B1956" s="1" t="s">
        <v>18</v>
      </c>
      <c r="C1956" s="1" t="s">
        <v>56</v>
      </c>
      <c r="D1956" s="1" t="s">
        <v>44</v>
      </c>
      <c r="E1956" s="1" t="s">
        <v>48</v>
      </c>
      <c r="F1956" s="1" t="s">
        <v>52</v>
      </c>
      <c r="G1956" s="2">
        <v>45801</v>
      </c>
      <c r="H1956" s="2"/>
      <c r="I1956" s="1" t="s">
        <v>39</v>
      </c>
      <c r="L1956">
        <v>7</v>
      </c>
      <c r="M1956" s="1" t="s">
        <v>40</v>
      </c>
      <c r="N1956" s="2">
        <v>45778</v>
      </c>
      <c r="O1956">
        <v>2025</v>
      </c>
      <c r="P1956">
        <v>2</v>
      </c>
      <c r="Q1956" s="1" t="s">
        <v>33</v>
      </c>
    </row>
    <row r="1957" spans="1:17" x14ac:dyDescent="0.3">
      <c r="A1957" s="1" t="s">
        <v>2022</v>
      </c>
      <c r="B1957" s="1" t="s">
        <v>42</v>
      </c>
      <c r="C1957" s="1" t="s">
        <v>43</v>
      </c>
      <c r="D1957" s="1" t="s">
        <v>20</v>
      </c>
      <c r="E1957" s="1" t="s">
        <v>21</v>
      </c>
      <c r="F1957" s="1" t="s">
        <v>52</v>
      </c>
      <c r="G1957" s="2">
        <v>45811</v>
      </c>
      <c r="H1957" s="2">
        <v>45820</v>
      </c>
      <c r="I1957" s="1" t="s">
        <v>32</v>
      </c>
      <c r="J1957">
        <v>1</v>
      </c>
      <c r="K1957">
        <v>9</v>
      </c>
      <c r="L1957">
        <v>14</v>
      </c>
      <c r="M1957" s="1" t="s">
        <v>24</v>
      </c>
      <c r="N1957" s="2">
        <v>45809</v>
      </c>
      <c r="O1957">
        <v>2025</v>
      </c>
      <c r="P1957">
        <v>2</v>
      </c>
      <c r="Q1957" s="1" t="s">
        <v>24</v>
      </c>
    </row>
    <row r="1958" spans="1:17" x14ac:dyDescent="0.3">
      <c r="A1958" s="1" t="s">
        <v>2023</v>
      </c>
      <c r="B1958" s="1" t="s">
        <v>63</v>
      </c>
      <c r="C1958" s="1" t="s">
        <v>74</v>
      </c>
      <c r="D1958" s="1" t="s">
        <v>44</v>
      </c>
      <c r="E1958" s="1" t="s">
        <v>48</v>
      </c>
      <c r="F1958" s="1" t="s">
        <v>22</v>
      </c>
      <c r="G1958" s="2">
        <v>45966</v>
      </c>
      <c r="H1958" s="2"/>
      <c r="I1958" s="1" t="s">
        <v>23</v>
      </c>
      <c r="L1958">
        <v>7</v>
      </c>
      <c r="M1958" s="1" t="s">
        <v>40</v>
      </c>
      <c r="N1958" s="2">
        <v>45962</v>
      </c>
      <c r="O1958">
        <v>2025</v>
      </c>
      <c r="P1958">
        <v>4</v>
      </c>
      <c r="Q1958" s="1" t="s">
        <v>33</v>
      </c>
    </row>
    <row r="1959" spans="1:17" x14ac:dyDescent="0.3">
      <c r="A1959" s="1" t="s">
        <v>2024</v>
      </c>
      <c r="B1959" s="1" t="s">
        <v>35</v>
      </c>
      <c r="C1959" s="1" t="s">
        <v>99</v>
      </c>
      <c r="D1959" s="1" t="s">
        <v>20</v>
      </c>
      <c r="E1959" s="1" t="s">
        <v>21</v>
      </c>
      <c r="F1959" s="1" t="s">
        <v>61</v>
      </c>
      <c r="G1959" s="2">
        <v>45828</v>
      </c>
      <c r="H1959" s="2">
        <v>45836</v>
      </c>
      <c r="I1959" s="1" t="s">
        <v>82</v>
      </c>
      <c r="J1959">
        <v>5</v>
      </c>
      <c r="K1959">
        <v>8</v>
      </c>
      <c r="L1959">
        <v>14</v>
      </c>
      <c r="M1959" s="1" t="s">
        <v>24</v>
      </c>
      <c r="N1959" s="2">
        <v>45809</v>
      </c>
      <c r="O1959">
        <v>2025</v>
      </c>
      <c r="P1959">
        <v>2</v>
      </c>
      <c r="Q1959" s="1" t="s">
        <v>24</v>
      </c>
    </row>
    <row r="1960" spans="1:17" x14ac:dyDescent="0.3">
      <c r="A1960" s="1" t="s">
        <v>2025</v>
      </c>
      <c r="B1960" s="1" t="s">
        <v>63</v>
      </c>
      <c r="C1960" s="1" t="s">
        <v>74</v>
      </c>
      <c r="D1960" s="1" t="s">
        <v>20</v>
      </c>
      <c r="E1960" s="1" t="s">
        <v>21</v>
      </c>
      <c r="F1960" s="1" t="s">
        <v>38</v>
      </c>
      <c r="G1960" s="2">
        <v>45939</v>
      </c>
      <c r="H1960" s="2">
        <v>45954</v>
      </c>
      <c r="I1960" s="1" t="s">
        <v>82</v>
      </c>
      <c r="J1960">
        <v>4</v>
      </c>
      <c r="K1960">
        <v>15</v>
      </c>
      <c r="L1960">
        <v>14</v>
      </c>
      <c r="M1960" s="1" t="s">
        <v>33</v>
      </c>
      <c r="N1960" s="2">
        <v>45931</v>
      </c>
      <c r="O1960">
        <v>2025</v>
      </c>
      <c r="P1960">
        <v>4</v>
      </c>
      <c r="Q1960" s="1" t="s">
        <v>24</v>
      </c>
    </row>
    <row r="1961" spans="1:17" x14ac:dyDescent="0.3">
      <c r="A1961" s="1" t="s">
        <v>2026</v>
      </c>
      <c r="B1961" s="1" t="s">
        <v>26</v>
      </c>
      <c r="C1961" s="1" t="s">
        <v>123</v>
      </c>
      <c r="D1961" s="1" t="s">
        <v>44</v>
      </c>
      <c r="E1961" s="1" t="s">
        <v>21</v>
      </c>
      <c r="F1961" s="1" t="s">
        <v>38</v>
      </c>
      <c r="G1961" s="2">
        <v>45709</v>
      </c>
      <c r="H1961" s="2">
        <v>45713</v>
      </c>
      <c r="I1961" s="1" t="s">
        <v>32</v>
      </c>
      <c r="J1961">
        <v>5</v>
      </c>
      <c r="K1961">
        <v>4</v>
      </c>
      <c r="L1961">
        <v>7</v>
      </c>
      <c r="M1961" s="1" t="s">
        <v>24</v>
      </c>
      <c r="N1961" s="2">
        <v>45689</v>
      </c>
      <c r="O1961">
        <v>2025</v>
      </c>
      <c r="P1961">
        <v>1</v>
      </c>
      <c r="Q1961" s="1" t="s">
        <v>24</v>
      </c>
    </row>
    <row r="1962" spans="1:17" x14ac:dyDescent="0.3">
      <c r="A1962" s="1" t="s">
        <v>2027</v>
      </c>
      <c r="B1962" s="1" t="s">
        <v>58</v>
      </c>
      <c r="C1962" s="1" t="s">
        <v>70</v>
      </c>
      <c r="D1962" s="1" t="s">
        <v>51</v>
      </c>
      <c r="E1962" s="1" t="s">
        <v>21</v>
      </c>
      <c r="F1962" s="1" t="s">
        <v>22</v>
      </c>
      <c r="G1962" s="2">
        <v>45684</v>
      </c>
      <c r="H1962" s="2">
        <v>45688</v>
      </c>
      <c r="I1962" s="1" t="s">
        <v>23</v>
      </c>
      <c r="J1962">
        <v>2</v>
      </c>
      <c r="K1962">
        <v>4</v>
      </c>
      <c r="L1962">
        <v>10</v>
      </c>
      <c r="M1962" s="1" t="s">
        <v>24</v>
      </c>
      <c r="N1962" s="2">
        <v>45658</v>
      </c>
      <c r="O1962">
        <v>2025</v>
      </c>
      <c r="P1962">
        <v>1</v>
      </c>
      <c r="Q1962" s="1" t="s">
        <v>24</v>
      </c>
    </row>
    <row r="1963" spans="1:17" x14ac:dyDescent="0.3">
      <c r="A1963" s="1" t="s">
        <v>2028</v>
      </c>
      <c r="B1963" s="1" t="s">
        <v>42</v>
      </c>
      <c r="C1963" s="1" t="s">
        <v>87</v>
      </c>
      <c r="D1963" s="1" t="s">
        <v>20</v>
      </c>
      <c r="E1963" s="1" t="s">
        <v>37</v>
      </c>
      <c r="F1963" s="1" t="s">
        <v>22</v>
      </c>
      <c r="G1963" s="2">
        <v>45865</v>
      </c>
      <c r="H1963" s="2"/>
      <c r="I1963" s="1" t="s">
        <v>23</v>
      </c>
      <c r="L1963">
        <v>14</v>
      </c>
      <c r="M1963" s="1" t="s">
        <v>40</v>
      </c>
      <c r="N1963" s="2">
        <v>45839</v>
      </c>
      <c r="O1963">
        <v>2025</v>
      </c>
      <c r="P1963">
        <v>3</v>
      </c>
      <c r="Q1963" s="1" t="s">
        <v>33</v>
      </c>
    </row>
    <row r="1964" spans="1:17" x14ac:dyDescent="0.3">
      <c r="A1964" s="1" t="s">
        <v>2029</v>
      </c>
      <c r="B1964" s="1" t="s">
        <v>35</v>
      </c>
      <c r="C1964" s="1" t="s">
        <v>36</v>
      </c>
      <c r="D1964" s="1" t="s">
        <v>51</v>
      </c>
      <c r="E1964" s="1" t="s">
        <v>21</v>
      </c>
      <c r="F1964" s="1" t="s">
        <v>61</v>
      </c>
      <c r="G1964" s="2">
        <v>45784</v>
      </c>
      <c r="H1964" s="2">
        <v>45787</v>
      </c>
      <c r="I1964" s="1" t="s">
        <v>82</v>
      </c>
      <c r="J1964">
        <v>4</v>
      </c>
      <c r="K1964">
        <v>3</v>
      </c>
      <c r="L1964">
        <v>10</v>
      </c>
      <c r="M1964" s="1" t="s">
        <v>24</v>
      </c>
      <c r="N1964" s="2">
        <v>45778</v>
      </c>
      <c r="O1964">
        <v>2025</v>
      </c>
      <c r="P1964">
        <v>2</v>
      </c>
      <c r="Q1964" s="1" t="s">
        <v>24</v>
      </c>
    </row>
    <row r="1965" spans="1:17" x14ac:dyDescent="0.3">
      <c r="A1965" s="1" t="s">
        <v>2030</v>
      </c>
      <c r="B1965" s="1" t="s">
        <v>18</v>
      </c>
      <c r="C1965" s="1" t="s">
        <v>19</v>
      </c>
      <c r="D1965" s="1" t="s">
        <v>51</v>
      </c>
      <c r="E1965" s="1" t="s">
        <v>21</v>
      </c>
      <c r="F1965" s="1" t="s">
        <v>22</v>
      </c>
      <c r="G1965" s="2">
        <v>45769</v>
      </c>
      <c r="H1965" s="2">
        <v>45773</v>
      </c>
      <c r="I1965" s="1" t="s">
        <v>28</v>
      </c>
      <c r="J1965">
        <v>3</v>
      </c>
      <c r="K1965">
        <v>4</v>
      </c>
      <c r="L1965">
        <v>10</v>
      </c>
      <c r="M1965" s="1" t="s">
        <v>24</v>
      </c>
      <c r="N1965" s="2">
        <v>45748</v>
      </c>
      <c r="O1965">
        <v>2025</v>
      </c>
      <c r="P1965">
        <v>2</v>
      </c>
      <c r="Q1965" s="1" t="s">
        <v>24</v>
      </c>
    </row>
    <row r="1966" spans="1:17" x14ac:dyDescent="0.3">
      <c r="A1966" s="1" t="s">
        <v>2031</v>
      </c>
      <c r="B1966" s="1" t="s">
        <v>58</v>
      </c>
      <c r="C1966" s="1" t="s">
        <v>70</v>
      </c>
      <c r="D1966" s="1" t="s">
        <v>51</v>
      </c>
      <c r="E1966" s="1" t="s">
        <v>48</v>
      </c>
      <c r="F1966" s="1" t="s">
        <v>61</v>
      </c>
      <c r="G1966" s="2">
        <v>45953</v>
      </c>
      <c r="H1966" s="2"/>
      <c r="I1966" s="1" t="s">
        <v>39</v>
      </c>
      <c r="L1966">
        <v>10</v>
      </c>
      <c r="M1966" s="1" t="s">
        <v>40</v>
      </c>
      <c r="N1966" s="2">
        <v>45931</v>
      </c>
      <c r="O1966">
        <v>2025</v>
      </c>
      <c r="P1966">
        <v>4</v>
      </c>
      <c r="Q1966" s="1" t="s">
        <v>33</v>
      </c>
    </row>
    <row r="1967" spans="1:17" x14ac:dyDescent="0.3">
      <c r="A1967" s="1" t="s">
        <v>2032</v>
      </c>
      <c r="B1967" s="1" t="s">
        <v>26</v>
      </c>
      <c r="C1967" s="1" t="s">
        <v>54</v>
      </c>
      <c r="D1967" s="1" t="s">
        <v>20</v>
      </c>
      <c r="E1967" s="1" t="s">
        <v>21</v>
      </c>
      <c r="F1967" s="1" t="s">
        <v>22</v>
      </c>
      <c r="G1967" s="2">
        <v>45999</v>
      </c>
      <c r="H1967" s="2">
        <v>46008</v>
      </c>
      <c r="I1967" s="1" t="s">
        <v>32</v>
      </c>
      <c r="J1967">
        <v>3</v>
      </c>
      <c r="K1967">
        <v>9</v>
      </c>
      <c r="L1967">
        <v>14</v>
      </c>
      <c r="M1967" s="1" t="s">
        <v>24</v>
      </c>
      <c r="N1967" s="2">
        <v>45992</v>
      </c>
      <c r="O1967">
        <v>2025</v>
      </c>
      <c r="P1967">
        <v>4</v>
      </c>
      <c r="Q1967" s="1" t="s">
        <v>24</v>
      </c>
    </row>
    <row r="1968" spans="1:17" x14ac:dyDescent="0.3">
      <c r="A1968" s="1" t="s">
        <v>2033</v>
      </c>
      <c r="B1968" s="1" t="s">
        <v>35</v>
      </c>
      <c r="C1968" s="1" t="s">
        <v>36</v>
      </c>
      <c r="D1968" s="1" t="s">
        <v>51</v>
      </c>
      <c r="E1968" s="1" t="s">
        <v>21</v>
      </c>
      <c r="F1968" s="1" t="s">
        <v>22</v>
      </c>
      <c r="G1968" s="2">
        <v>45954</v>
      </c>
      <c r="H1968" s="2">
        <v>45960</v>
      </c>
      <c r="I1968" s="1" t="s">
        <v>23</v>
      </c>
      <c r="J1968">
        <v>3</v>
      </c>
      <c r="K1968">
        <v>6</v>
      </c>
      <c r="L1968">
        <v>10</v>
      </c>
      <c r="M1968" s="1" t="s">
        <v>24</v>
      </c>
      <c r="N1968" s="2">
        <v>45931</v>
      </c>
      <c r="O1968">
        <v>2025</v>
      </c>
      <c r="P1968">
        <v>4</v>
      </c>
      <c r="Q1968" s="1" t="s">
        <v>24</v>
      </c>
    </row>
    <row r="1969" spans="1:17" x14ac:dyDescent="0.3">
      <c r="A1969" s="1" t="s">
        <v>2034</v>
      </c>
      <c r="B1969" s="1" t="s">
        <v>18</v>
      </c>
      <c r="C1969" s="1" t="s">
        <v>30</v>
      </c>
      <c r="D1969" s="1" t="s">
        <v>51</v>
      </c>
      <c r="E1969" s="1" t="s">
        <v>21</v>
      </c>
      <c r="F1969" s="1" t="s">
        <v>61</v>
      </c>
      <c r="G1969" s="2">
        <v>45658</v>
      </c>
      <c r="H1969" s="2">
        <v>45661</v>
      </c>
      <c r="I1969" s="1" t="s">
        <v>32</v>
      </c>
      <c r="J1969">
        <v>4</v>
      </c>
      <c r="K1969">
        <v>3</v>
      </c>
      <c r="L1969">
        <v>10</v>
      </c>
      <c r="M1969" s="1" t="s">
        <v>24</v>
      </c>
      <c r="N1969" s="2">
        <v>45658</v>
      </c>
      <c r="O1969">
        <v>2025</v>
      </c>
      <c r="P1969">
        <v>1</v>
      </c>
      <c r="Q1969" s="1" t="s">
        <v>24</v>
      </c>
    </row>
    <row r="1970" spans="1:17" x14ac:dyDescent="0.3">
      <c r="A1970" s="1" t="s">
        <v>2035</v>
      </c>
      <c r="B1970" s="1" t="s">
        <v>18</v>
      </c>
      <c r="C1970" s="1" t="s">
        <v>47</v>
      </c>
      <c r="D1970" s="1" t="s">
        <v>51</v>
      </c>
      <c r="E1970" s="1" t="s">
        <v>37</v>
      </c>
      <c r="F1970" s="1" t="s">
        <v>38</v>
      </c>
      <c r="G1970" s="2">
        <v>45955</v>
      </c>
      <c r="H1970" s="2"/>
      <c r="I1970" s="1" t="s">
        <v>28</v>
      </c>
      <c r="L1970">
        <v>10</v>
      </c>
      <c r="M1970" s="1" t="s">
        <v>40</v>
      </c>
      <c r="N1970" s="2">
        <v>45931</v>
      </c>
      <c r="O1970">
        <v>2025</v>
      </c>
      <c r="P1970">
        <v>4</v>
      </c>
      <c r="Q1970" s="1" t="s">
        <v>33</v>
      </c>
    </row>
    <row r="1971" spans="1:17" x14ac:dyDescent="0.3">
      <c r="A1971" s="1" t="s">
        <v>2036</v>
      </c>
      <c r="B1971" s="1" t="s">
        <v>63</v>
      </c>
      <c r="C1971" s="1" t="s">
        <v>74</v>
      </c>
      <c r="D1971" s="1" t="s">
        <v>20</v>
      </c>
      <c r="E1971" s="1" t="s">
        <v>21</v>
      </c>
      <c r="F1971" s="1" t="s">
        <v>31</v>
      </c>
      <c r="G1971" s="2">
        <v>45681</v>
      </c>
      <c r="H1971" s="2">
        <v>45695</v>
      </c>
      <c r="I1971" s="1" t="s">
        <v>28</v>
      </c>
      <c r="J1971">
        <v>2</v>
      </c>
      <c r="K1971">
        <v>14</v>
      </c>
      <c r="L1971">
        <v>14</v>
      </c>
      <c r="M1971" s="1" t="s">
        <v>24</v>
      </c>
      <c r="N1971" s="2">
        <v>45658</v>
      </c>
      <c r="O1971">
        <v>2025</v>
      </c>
      <c r="P1971">
        <v>1</v>
      </c>
      <c r="Q1971" s="1" t="s">
        <v>24</v>
      </c>
    </row>
    <row r="1972" spans="1:17" x14ac:dyDescent="0.3">
      <c r="A1972" s="1" t="s">
        <v>2037</v>
      </c>
      <c r="B1972" s="1" t="s">
        <v>63</v>
      </c>
      <c r="C1972" s="1" t="s">
        <v>84</v>
      </c>
      <c r="D1972" s="1" t="s">
        <v>71</v>
      </c>
      <c r="E1972" s="1" t="s">
        <v>21</v>
      </c>
      <c r="F1972" s="1" t="s">
        <v>38</v>
      </c>
      <c r="G1972" s="2">
        <v>45991</v>
      </c>
      <c r="H1972" s="2">
        <v>45992</v>
      </c>
      <c r="I1972" s="1" t="s">
        <v>39</v>
      </c>
      <c r="J1972">
        <v>5</v>
      </c>
      <c r="K1972">
        <v>1</v>
      </c>
      <c r="L1972">
        <v>3</v>
      </c>
      <c r="M1972" s="1" t="s">
        <v>24</v>
      </c>
      <c r="N1972" s="2">
        <v>45962</v>
      </c>
      <c r="O1972">
        <v>2025</v>
      </c>
      <c r="P1972">
        <v>4</v>
      </c>
      <c r="Q1972" s="1" t="s">
        <v>24</v>
      </c>
    </row>
    <row r="1973" spans="1:17" x14ac:dyDescent="0.3">
      <c r="A1973" s="1" t="s">
        <v>2038</v>
      </c>
      <c r="B1973" s="1" t="s">
        <v>42</v>
      </c>
      <c r="C1973" s="1" t="s">
        <v>43</v>
      </c>
      <c r="D1973" s="1" t="s">
        <v>20</v>
      </c>
      <c r="E1973" s="1" t="s">
        <v>21</v>
      </c>
      <c r="F1973" s="1" t="s">
        <v>52</v>
      </c>
      <c r="G1973" s="2">
        <v>45989</v>
      </c>
      <c r="H1973" s="2">
        <v>46004</v>
      </c>
      <c r="I1973" s="1" t="s">
        <v>32</v>
      </c>
      <c r="J1973">
        <v>3</v>
      </c>
      <c r="K1973">
        <v>15</v>
      </c>
      <c r="L1973">
        <v>14</v>
      </c>
      <c r="M1973" s="1" t="s">
        <v>33</v>
      </c>
      <c r="N1973" s="2">
        <v>45962</v>
      </c>
      <c r="O1973">
        <v>2025</v>
      </c>
      <c r="P1973">
        <v>4</v>
      </c>
      <c r="Q1973" s="1" t="s">
        <v>24</v>
      </c>
    </row>
    <row r="1974" spans="1:17" x14ac:dyDescent="0.3">
      <c r="A1974" s="1" t="s">
        <v>2039</v>
      </c>
      <c r="B1974" s="1" t="s">
        <v>58</v>
      </c>
      <c r="C1974" s="1" t="s">
        <v>145</v>
      </c>
      <c r="D1974" s="1" t="s">
        <v>51</v>
      </c>
      <c r="E1974" s="1" t="s">
        <v>21</v>
      </c>
      <c r="F1974" s="1" t="s">
        <v>61</v>
      </c>
      <c r="G1974" s="2">
        <v>45885</v>
      </c>
      <c r="H1974" s="2">
        <v>45890</v>
      </c>
      <c r="I1974" s="1" t="s">
        <v>28</v>
      </c>
      <c r="J1974">
        <v>5</v>
      </c>
      <c r="K1974">
        <v>5</v>
      </c>
      <c r="L1974">
        <v>10</v>
      </c>
      <c r="M1974" s="1" t="s">
        <v>24</v>
      </c>
      <c r="N1974" s="2">
        <v>45870</v>
      </c>
      <c r="O1974">
        <v>2025</v>
      </c>
      <c r="P1974">
        <v>3</v>
      </c>
      <c r="Q1974" s="1" t="s">
        <v>24</v>
      </c>
    </row>
    <row r="1975" spans="1:17" x14ac:dyDescent="0.3">
      <c r="A1975" s="1" t="s">
        <v>2040</v>
      </c>
      <c r="B1975" s="1" t="s">
        <v>58</v>
      </c>
      <c r="C1975" s="1" t="s">
        <v>59</v>
      </c>
      <c r="D1975" s="1" t="s">
        <v>20</v>
      </c>
      <c r="E1975" s="1" t="s">
        <v>21</v>
      </c>
      <c r="F1975" s="1" t="s">
        <v>52</v>
      </c>
      <c r="G1975" s="2">
        <v>45997</v>
      </c>
      <c r="H1975" s="2">
        <v>46003</v>
      </c>
      <c r="I1975" s="1" t="s">
        <v>39</v>
      </c>
      <c r="J1975">
        <v>4</v>
      </c>
      <c r="K1975">
        <v>6</v>
      </c>
      <c r="L1975">
        <v>14</v>
      </c>
      <c r="M1975" s="1" t="s">
        <v>24</v>
      </c>
      <c r="N1975" s="2">
        <v>45992</v>
      </c>
      <c r="O1975">
        <v>2025</v>
      </c>
      <c r="P1975">
        <v>4</v>
      </c>
      <c r="Q1975" s="1" t="s">
        <v>24</v>
      </c>
    </row>
    <row r="1976" spans="1:17" x14ac:dyDescent="0.3">
      <c r="A1976" s="1" t="s">
        <v>2041</v>
      </c>
      <c r="B1976" s="1" t="s">
        <v>42</v>
      </c>
      <c r="C1976" s="1" t="s">
        <v>43</v>
      </c>
      <c r="D1976" s="1" t="s">
        <v>20</v>
      </c>
      <c r="E1976" s="1" t="s">
        <v>21</v>
      </c>
      <c r="F1976" s="1" t="s">
        <v>38</v>
      </c>
      <c r="G1976" s="2">
        <v>45689</v>
      </c>
      <c r="H1976" s="2">
        <v>45704</v>
      </c>
      <c r="I1976" s="1" t="s">
        <v>39</v>
      </c>
      <c r="J1976">
        <v>5</v>
      </c>
      <c r="K1976">
        <v>15</v>
      </c>
      <c r="L1976">
        <v>14</v>
      </c>
      <c r="M1976" s="1" t="s">
        <v>33</v>
      </c>
      <c r="N1976" s="2">
        <v>45689</v>
      </c>
      <c r="O1976">
        <v>2025</v>
      </c>
      <c r="P1976">
        <v>1</v>
      </c>
      <c r="Q1976" s="1" t="s">
        <v>24</v>
      </c>
    </row>
    <row r="1977" spans="1:17" x14ac:dyDescent="0.3">
      <c r="A1977" s="1" t="s">
        <v>2042</v>
      </c>
      <c r="B1977" s="1" t="s">
        <v>26</v>
      </c>
      <c r="C1977" s="1" t="s">
        <v>123</v>
      </c>
      <c r="D1977" s="1" t="s">
        <v>20</v>
      </c>
      <c r="E1977" s="1" t="s">
        <v>21</v>
      </c>
      <c r="F1977" s="1" t="s">
        <v>61</v>
      </c>
      <c r="G1977" s="2">
        <v>45805</v>
      </c>
      <c r="H1977" s="2">
        <v>45810</v>
      </c>
      <c r="I1977" s="1" t="s">
        <v>39</v>
      </c>
      <c r="J1977">
        <v>3</v>
      </c>
      <c r="K1977">
        <v>5</v>
      </c>
      <c r="L1977">
        <v>14</v>
      </c>
      <c r="M1977" s="1" t="s">
        <v>24</v>
      </c>
      <c r="N1977" s="2">
        <v>45778</v>
      </c>
      <c r="O1977">
        <v>2025</v>
      </c>
      <c r="P1977">
        <v>2</v>
      </c>
      <c r="Q1977" s="1" t="s">
        <v>24</v>
      </c>
    </row>
    <row r="1978" spans="1:17" x14ac:dyDescent="0.3">
      <c r="A1978" s="1" t="s">
        <v>2043</v>
      </c>
      <c r="B1978" s="1" t="s">
        <v>42</v>
      </c>
      <c r="C1978" s="1" t="s">
        <v>87</v>
      </c>
      <c r="D1978" s="1" t="s">
        <v>44</v>
      </c>
      <c r="E1978" s="1" t="s">
        <v>21</v>
      </c>
      <c r="F1978" s="1" t="s">
        <v>61</v>
      </c>
      <c r="G1978" s="2">
        <v>45958</v>
      </c>
      <c r="H1978" s="2">
        <v>45962</v>
      </c>
      <c r="I1978" s="1" t="s">
        <v>39</v>
      </c>
      <c r="J1978">
        <v>4</v>
      </c>
      <c r="K1978">
        <v>4</v>
      </c>
      <c r="L1978">
        <v>7</v>
      </c>
      <c r="M1978" s="1" t="s">
        <v>24</v>
      </c>
      <c r="N1978" s="2">
        <v>45931</v>
      </c>
      <c r="O1978">
        <v>2025</v>
      </c>
      <c r="P1978">
        <v>4</v>
      </c>
      <c r="Q1978" s="1" t="s">
        <v>24</v>
      </c>
    </row>
    <row r="1979" spans="1:17" x14ac:dyDescent="0.3">
      <c r="A1979" s="1" t="s">
        <v>2044</v>
      </c>
      <c r="B1979" s="1" t="s">
        <v>63</v>
      </c>
      <c r="C1979" s="1" t="s">
        <v>84</v>
      </c>
      <c r="D1979" s="1" t="s">
        <v>44</v>
      </c>
      <c r="E1979" s="1" t="s">
        <v>48</v>
      </c>
      <c r="F1979" s="1" t="s">
        <v>61</v>
      </c>
      <c r="G1979" s="2">
        <v>45796</v>
      </c>
      <c r="H1979" s="2"/>
      <c r="I1979" s="1" t="s">
        <v>39</v>
      </c>
      <c r="L1979">
        <v>7</v>
      </c>
      <c r="M1979" s="1" t="s">
        <v>40</v>
      </c>
      <c r="N1979" s="2">
        <v>45778</v>
      </c>
      <c r="O1979">
        <v>2025</v>
      </c>
      <c r="P1979">
        <v>2</v>
      </c>
      <c r="Q1979" s="1" t="s">
        <v>33</v>
      </c>
    </row>
    <row r="1980" spans="1:17" x14ac:dyDescent="0.3">
      <c r="A1980" s="1" t="s">
        <v>2045</v>
      </c>
      <c r="B1980" s="1" t="s">
        <v>63</v>
      </c>
      <c r="C1980" s="1" t="s">
        <v>89</v>
      </c>
      <c r="D1980" s="1" t="s">
        <v>44</v>
      </c>
      <c r="E1980" s="1" t="s">
        <v>21</v>
      </c>
      <c r="F1980" s="1" t="s">
        <v>61</v>
      </c>
      <c r="G1980" s="2">
        <v>45778</v>
      </c>
      <c r="H1980" s="2">
        <v>45784</v>
      </c>
      <c r="I1980" s="1" t="s">
        <v>82</v>
      </c>
      <c r="J1980">
        <v>4</v>
      </c>
      <c r="K1980">
        <v>6</v>
      </c>
      <c r="L1980">
        <v>7</v>
      </c>
      <c r="M1980" s="1" t="s">
        <v>24</v>
      </c>
      <c r="N1980" s="2">
        <v>45778</v>
      </c>
      <c r="O1980">
        <v>2025</v>
      </c>
      <c r="P1980">
        <v>2</v>
      </c>
      <c r="Q1980" s="1" t="s">
        <v>24</v>
      </c>
    </row>
    <row r="1981" spans="1:17" x14ac:dyDescent="0.3">
      <c r="A1981" s="1" t="s">
        <v>2046</v>
      </c>
      <c r="B1981" s="1" t="s">
        <v>26</v>
      </c>
      <c r="C1981" s="1" t="s">
        <v>54</v>
      </c>
      <c r="D1981" s="1" t="s">
        <v>20</v>
      </c>
      <c r="E1981" s="1" t="s">
        <v>21</v>
      </c>
      <c r="F1981" s="1" t="s">
        <v>52</v>
      </c>
      <c r="G1981" s="2">
        <v>45925</v>
      </c>
      <c r="H1981" s="2">
        <v>45932</v>
      </c>
      <c r="I1981" s="1" t="s">
        <v>82</v>
      </c>
      <c r="J1981">
        <v>5</v>
      </c>
      <c r="K1981">
        <v>7</v>
      </c>
      <c r="L1981">
        <v>14</v>
      </c>
      <c r="M1981" s="1" t="s">
        <v>24</v>
      </c>
      <c r="N1981" s="2">
        <v>45901</v>
      </c>
      <c r="O1981">
        <v>2025</v>
      </c>
      <c r="P1981">
        <v>3</v>
      </c>
      <c r="Q1981" s="1" t="s">
        <v>24</v>
      </c>
    </row>
    <row r="1982" spans="1:17" x14ac:dyDescent="0.3">
      <c r="A1982" s="1" t="s">
        <v>2047</v>
      </c>
      <c r="B1982" s="1" t="s">
        <v>35</v>
      </c>
      <c r="C1982" s="1" t="s">
        <v>50</v>
      </c>
      <c r="D1982" s="1" t="s">
        <v>20</v>
      </c>
      <c r="E1982" s="1" t="s">
        <v>21</v>
      </c>
      <c r="F1982" s="1" t="s">
        <v>52</v>
      </c>
      <c r="G1982" s="2">
        <v>45712</v>
      </c>
      <c r="H1982" s="2">
        <v>45718</v>
      </c>
      <c r="I1982" s="1" t="s">
        <v>28</v>
      </c>
      <c r="J1982">
        <v>5</v>
      </c>
      <c r="K1982">
        <v>6</v>
      </c>
      <c r="L1982">
        <v>14</v>
      </c>
      <c r="M1982" s="1" t="s">
        <v>24</v>
      </c>
      <c r="N1982" s="2">
        <v>45689</v>
      </c>
      <c r="O1982">
        <v>2025</v>
      </c>
      <c r="P1982">
        <v>1</v>
      </c>
      <c r="Q1982" s="1" t="s">
        <v>24</v>
      </c>
    </row>
    <row r="1983" spans="1:17" x14ac:dyDescent="0.3">
      <c r="A1983" s="1" t="s">
        <v>2048</v>
      </c>
      <c r="B1983" s="1" t="s">
        <v>18</v>
      </c>
      <c r="C1983" s="1" t="s">
        <v>47</v>
      </c>
      <c r="D1983" s="1" t="s">
        <v>51</v>
      </c>
      <c r="E1983" s="1" t="s">
        <v>48</v>
      </c>
      <c r="F1983" s="1" t="s">
        <v>61</v>
      </c>
      <c r="G1983" s="2">
        <v>45659</v>
      </c>
      <c r="H1983" s="2"/>
      <c r="I1983" s="1" t="s">
        <v>23</v>
      </c>
      <c r="L1983">
        <v>10</v>
      </c>
      <c r="M1983" s="1" t="s">
        <v>40</v>
      </c>
      <c r="N1983" s="2">
        <v>45658</v>
      </c>
      <c r="O1983">
        <v>2025</v>
      </c>
      <c r="P1983">
        <v>1</v>
      </c>
      <c r="Q1983" s="1" t="s">
        <v>33</v>
      </c>
    </row>
    <row r="1984" spans="1:17" x14ac:dyDescent="0.3">
      <c r="A1984" s="1" t="s">
        <v>2049</v>
      </c>
      <c r="B1984" s="1" t="s">
        <v>35</v>
      </c>
      <c r="C1984" s="1" t="s">
        <v>50</v>
      </c>
      <c r="D1984" s="1" t="s">
        <v>51</v>
      </c>
      <c r="E1984" s="1" t="s">
        <v>21</v>
      </c>
      <c r="F1984" s="1" t="s">
        <v>52</v>
      </c>
      <c r="G1984" s="2">
        <v>45757</v>
      </c>
      <c r="H1984" s="2">
        <v>45761</v>
      </c>
      <c r="I1984" s="1" t="s">
        <v>39</v>
      </c>
      <c r="J1984">
        <v>2</v>
      </c>
      <c r="K1984">
        <v>4</v>
      </c>
      <c r="L1984">
        <v>10</v>
      </c>
      <c r="M1984" s="1" t="s">
        <v>24</v>
      </c>
      <c r="N1984" s="2">
        <v>45748</v>
      </c>
      <c r="O1984">
        <v>2025</v>
      </c>
      <c r="P1984">
        <v>2</v>
      </c>
      <c r="Q1984" s="1" t="s">
        <v>24</v>
      </c>
    </row>
    <row r="1985" spans="1:17" x14ac:dyDescent="0.3">
      <c r="A1985" s="1" t="s">
        <v>2050</v>
      </c>
      <c r="B1985" s="1" t="s">
        <v>35</v>
      </c>
      <c r="C1985" s="1" t="s">
        <v>97</v>
      </c>
      <c r="D1985" s="1" t="s">
        <v>51</v>
      </c>
      <c r="E1985" s="1" t="s">
        <v>21</v>
      </c>
      <c r="F1985" s="1" t="s">
        <v>31</v>
      </c>
      <c r="G1985" s="2">
        <v>46000</v>
      </c>
      <c r="H1985" s="2">
        <v>46007</v>
      </c>
      <c r="I1985" s="1" t="s">
        <v>82</v>
      </c>
      <c r="J1985">
        <v>2</v>
      </c>
      <c r="K1985">
        <v>7</v>
      </c>
      <c r="L1985">
        <v>10</v>
      </c>
      <c r="M1985" s="1" t="s">
        <v>24</v>
      </c>
      <c r="N1985" s="2">
        <v>45992</v>
      </c>
      <c r="O1985">
        <v>2025</v>
      </c>
      <c r="P1985">
        <v>4</v>
      </c>
      <c r="Q1985" s="1" t="s">
        <v>24</v>
      </c>
    </row>
    <row r="1986" spans="1:17" x14ac:dyDescent="0.3">
      <c r="A1986" s="1" t="s">
        <v>2051</v>
      </c>
      <c r="B1986" s="1" t="s">
        <v>63</v>
      </c>
      <c r="C1986" s="1" t="s">
        <v>64</v>
      </c>
      <c r="D1986" s="1" t="s">
        <v>51</v>
      </c>
      <c r="E1986" s="1" t="s">
        <v>37</v>
      </c>
      <c r="F1986" s="1" t="s">
        <v>31</v>
      </c>
      <c r="G1986" s="2">
        <v>45840</v>
      </c>
      <c r="H1986" s="2"/>
      <c r="I1986" s="1" t="s">
        <v>28</v>
      </c>
      <c r="L1986">
        <v>10</v>
      </c>
      <c r="M1986" s="1" t="s">
        <v>40</v>
      </c>
      <c r="N1986" s="2">
        <v>45839</v>
      </c>
      <c r="O1986">
        <v>2025</v>
      </c>
      <c r="P1986">
        <v>3</v>
      </c>
      <c r="Q1986" s="1" t="s">
        <v>33</v>
      </c>
    </row>
    <row r="1987" spans="1:17" x14ac:dyDescent="0.3">
      <c r="A1987" s="1" t="s">
        <v>2052</v>
      </c>
      <c r="B1987" s="1" t="s">
        <v>26</v>
      </c>
      <c r="C1987" s="1" t="s">
        <v>123</v>
      </c>
      <c r="D1987" s="1" t="s">
        <v>51</v>
      </c>
      <c r="E1987" s="1" t="s">
        <v>21</v>
      </c>
      <c r="F1987" s="1" t="s">
        <v>38</v>
      </c>
      <c r="G1987" s="2">
        <v>45945</v>
      </c>
      <c r="H1987" s="2">
        <v>45947</v>
      </c>
      <c r="I1987" s="1" t="s">
        <v>82</v>
      </c>
      <c r="J1987">
        <v>5</v>
      </c>
      <c r="K1987">
        <v>2</v>
      </c>
      <c r="L1987">
        <v>10</v>
      </c>
      <c r="M1987" s="1" t="s">
        <v>24</v>
      </c>
      <c r="N1987" s="2">
        <v>45931</v>
      </c>
      <c r="O1987">
        <v>2025</v>
      </c>
      <c r="P1987">
        <v>4</v>
      </c>
      <c r="Q1987" s="1" t="s">
        <v>24</v>
      </c>
    </row>
    <row r="1988" spans="1:17" x14ac:dyDescent="0.3">
      <c r="A1988" s="1" t="s">
        <v>2053</v>
      </c>
      <c r="B1988" s="1" t="s">
        <v>63</v>
      </c>
      <c r="C1988" s="1" t="s">
        <v>64</v>
      </c>
      <c r="D1988" s="1" t="s">
        <v>51</v>
      </c>
      <c r="E1988" s="1" t="s">
        <v>21</v>
      </c>
      <c r="F1988" s="1" t="s">
        <v>38</v>
      </c>
      <c r="G1988" s="2">
        <v>45897</v>
      </c>
      <c r="H1988" s="2">
        <v>45905</v>
      </c>
      <c r="I1988" s="1" t="s">
        <v>23</v>
      </c>
      <c r="J1988">
        <v>4</v>
      </c>
      <c r="K1988">
        <v>8</v>
      </c>
      <c r="L1988">
        <v>10</v>
      </c>
      <c r="M1988" s="1" t="s">
        <v>24</v>
      </c>
      <c r="N1988" s="2">
        <v>45870</v>
      </c>
      <c r="O1988">
        <v>2025</v>
      </c>
      <c r="P1988">
        <v>3</v>
      </c>
      <c r="Q1988" s="1" t="s">
        <v>24</v>
      </c>
    </row>
    <row r="1989" spans="1:17" x14ac:dyDescent="0.3">
      <c r="A1989" s="1" t="s">
        <v>2054</v>
      </c>
      <c r="B1989" s="1" t="s">
        <v>18</v>
      </c>
      <c r="C1989" s="1" t="s">
        <v>30</v>
      </c>
      <c r="D1989" s="1" t="s">
        <v>44</v>
      </c>
      <c r="E1989" s="1" t="s">
        <v>21</v>
      </c>
      <c r="F1989" s="1" t="s">
        <v>38</v>
      </c>
      <c r="G1989" s="2">
        <v>45767</v>
      </c>
      <c r="H1989" s="2">
        <v>45769</v>
      </c>
      <c r="I1989" s="1" t="s">
        <v>32</v>
      </c>
      <c r="J1989">
        <v>4</v>
      </c>
      <c r="K1989">
        <v>2</v>
      </c>
      <c r="L1989">
        <v>7</v>
      </c>
      <c r="M1989" s="1" t="s">
        <v>24</v>
      </c>
      <c r="N1989" s="2">
        <v>45748</v>
      </c>
      <c r="O1989">
        <v>2025</v>
      </c>
      <c r="P1989">
        <v>2</v>
      </c>
      <c r="Q1989" s="1" t="s">
        <v>24</v>
      </c>
    </row>
    <row r="1990" spans="1:17" x14ac:dyDescent="0.3">
      <c r="A1990" s="1" t="s">
        <v>2055</v>
      </c>
      <c r="B1990" s="1" t="s">
        <v>42</v>
      </c>
      <c r="C1990" s="1" t="s">
        <v>87</v>
      </c>
      <c r="D1990" s="1" t="s">
        <v>20</v>
      </c>
      <c r="E1990" s="1" t="s">
        <v>21</v>
      </c>
      <c r="F1990" s="1" t="s">
        <v>38</v>
      </c>
      <c r="G1990" s="2">
        <v>45959</v>
      </c>
      <c r="H1990" s="2">
        <v>45969</v>
      </c>
      <c r="I1990" s="1" t="s">
        <v>32</v>
      </c>
      <c r="J1990">
        <v>5</v>
      </c>
      <c r="K1990">
        <v>10</v>
      </c>
      <c r="L1990">
        <v>14</v>
      </c>
      <c r="M1990" s="1" t="s">
        <v>24</v>
      </c>
      <c r="N1990" s="2">
        <v>45931</v>
      </c>
      <c r="O1990">
        <v>2025</v>
      </c>
      <c r="P1990">
        <v>4</v>
      </c>
      <c r="Q1990" s="1" t="s">
        <v>24</v>
      </c>
    </row>
    <row r="1991" spans="1:17" x14ac:dyDescent="0.3">
      <c r="A1991" s="1" t="s">
        <v>2056</v>
      </c>
      <c r="B1991" s="1" t="s">
        <v>63</v>
      </c>
      <c r="C1991" s="1" t="s">
        <v>74</v>
      </c>
      <c r="D1991" s="1" t="s">
        <v>20</v>
      </c>
      <c r="E1991" s="1" t="s">
        <v>21</v>
      </c>
      <c r="F1991" s="1" t="s">
        <v>61</v>
      </c>
      <c r="G1991" s="2">
        <v>45964</v>
      </c>
      <c r="H1991" s="2">
        <v>45975</v>
      </c>
      <c r="I1991" s="1" t="s">
        <v>23</v>
      </c>
      <c r="J1991">
        <v>5</v>
      </c>
      <c r="K1991">
        <v>11</v>
      </c>
      <c r="L1991">
        <v>14</v>
      </c>
      <c r="M1991" s="1" t="s">
        <v>24</v>
      </c>
      <c r="N1991" s="2">
        <v>45962</v>
      </c>
      <c r="O1991">
        <v>2025</v>
      </c>
      <c r="P1991">
        <v>4</v>
      </c>
      <c r="Q1991" s="1" t="s">
        <v>24</v>
      </c>
    </row>
    <row r="1992" spans="1:17" x14ac:dyDescent="0.3">
      <c r="A1992" s="1" t="s">
        <v>2057</v>
      </c>
      <c r="B1992" s="1" t="s">
        <v>58</v>
      </c>
      <c r="C1992" s="1" t="s">
        <v>59</v>
      </c>
      <c r="D1992" s="1" t="s">
        <v>51</v>
      </c>
      <c r="E1992" s="1" t="s">
        <v>21</v>
      </c>
      <c r="F1992" s="1" t="s">
        <v>31</v>
      </c>
      <c r="G1992" s="2">
        <v>46014</v>
      </c>
      <c r="H1992" s="2">
        <v>46016</v>
      </c>
      <c r="I1992" s="1" t="s">
        <v>28</v>
      </c>
      <c r="J1992">
        <v>5</v>
      </c>
      <c r="K1992">
        <v>2</v>
      </c>
      <c r="L1992">
        <v>10</v>
      </c>
      <c r="M1992" s="1" t="s">
        <v>24</v>
      </c>
      <c r="N1992" s="2">
        <v>45992</v>
      </c>
      <c r="O1992">
        <v>2025</v>
      </c>
      <c r="P1992">
        <v>4</v>
      </c>
      <c r="Q1992" s="1" t="s">
        <v>24</v>
      </c>
    </row>
    <row r="1993" spans="1:17" x14ac:dyDescent="0.3">
      <c r="A1993" s="1" t="s">
        <v>2058</v>
      </c>
      <c r="B1993" s="1" t="s">
        <v>58</v>
      </c>
      <c r="C1993" s="1" t="s">
        <v>59</v>
      </c>
      <c r="D1993" s="1" t="s">
        <v>20</v>
      </c>
      <c r="E1993" s="1" t="s">
        <v>21</v>
      </c>
      <c r="F1993" s="1" t="s">
        <v>31</v>
      </c>
      <c r="G1993" s="2">
        <v>45775</v>
      </c>
      <c r="H1993" s="2">
        <v>45787</v>
      </c>
      <c r="I1993" s="1" t="s">
        <v>32</v>
      </c>
      <c r="J1993">
        <v>3</v>
      </c>
      <c r="K1993">
        <v>12</v>
      </c>
      <c r="L1993">
        <v>14</v>
      </c>
      <c r="M1993" s="1" t="s">
        <v>24</v>
      </c>
      <c r="N1993" s="2">
        <v>45748</v>
      </c>
      <c r="O1993">
        <v>2025</v>
      </c>
      <c r="P1993">
        <v>2</v>
      </c>
      <c r="Q1993" s="1" t="s">
        <v>24</v>
      </c>
    </row>
    <row r="1994" spans="1:17" x14ac:dyDescent="0.3">
      <c r="A1994" s="1" t="s">
        <v>2059</v>
      </c>
      <c r="B1994" s="1" t="s">
        <v>35</v>
      </c>
      <c r="C1994" s="1" t="s">
        <v>50</v>
      </c>
      <c r="D1994" s="1" t="s">
        <v>51</v>
      </c>
      <c r="E1994" s="1" t="s">
        <v>21</v>
      </c>
      <c r="F1994" s="1" t="s">
        <v>61</v>
      </c>
      <c r="G1994" s="2">
        <v>45707</v>
      </c>
      <c r="H1994" s="2">
        <v>45709</v>
      </c>
      <c r="I1994" s="1" t="s">
        <v>28</v>
      </c>
      <c r="J1994">
        <v>5</v>
      </c>
      <c r="K1994">
        <v>2</v>
      </c>
      <c r="L1994">
        <v>10</v>
      </c>
      <c r="M1994" s="1" t="s">
        <v>24</v>
      </c>
      <c r="N1994" s="2">
        <v>45689</v>
      </c>
      <c r="O1994">
        <v>2025</v>
      </c>
      <c r="P1994">
        <v>1</v>
      </c>
      <c r="Q1994" s="1" t="s">
        <v>24</v>
      </c>
    </row>
    <row r="1995" spans="1:17" x14ac:dyDescent="0.3">
      <c r="A1995" s="1" t="s">
        <v>2060</v>
      </c>
      <c r="B1995" s="1" t="s">
        <v>63</v>
      </c>
      <c r="C1995" s="1" t="s">
        <v>64</v>
      </c>
      <c r="D1995" s="1" t="s">
        <v>44</v>
      </c>
      <c r="E1995" s="1" t="s">
        <v>21</v>
      </c>
      <c r="F1995" s="1" t="s">
        <v>61</v>
      </c>
      <c r="G1995" s="2">
        <v>45758</v>
      </c>
      <c r="H1995" s="2">
        <v>45765</v>
      </c>
      <c r="I1995" s="1" t="s">
        <v>32</v>
      </c>
      <c r="J1995">
        <v>3</v>
      </c>
      <c r="K1995">
        <v>7</v>
      </c>
      <c r="L1995">
        <v>7</v>
      </c>
      <c r="M1995" s="1" t="s">
        <v>24</v>
      </c>
      <c r="N1995" s="2">
        <v>45748</v>
      </c>
      <c r="O1995">
        <v>2025</v>
      </c>
      <c r="P1995">
        <v>2</v>
      </c>
      <c r="Q1995" s="1" t="s">
        <v>24</v>
      </c>
    </row>
    <row r="1996" spans="1:17" x14ac:dyDescent="0.3">
      <c r="A1996" s="1" t="s">
        <v>2061</v>
      </c>
      <c r="B1996" s="1" t="s">
        <v>58</v>
      </c>
      <c r="C1996" s="1" t="s">
        <v>70</v>
      </c>
      <c r="D1996" s="1" t="s">
        <v>51</v>
      </c>
      <c r="E1996" s="1" t="s">
        <v>21</v>
      </c>
      <c r="F1996" s="1" t="s">
        <v>61</v>
      </c>
      <c r="G1996" s="2">
        <v>45726</v>
      </c>
      <c r="H1996" s="2">
        <v>45728</v>
      </c>
      <c r="I1996" s="1" t="s">
        <v>32</v>
      </c>
      <c r="J1996">
        <v>3</v>
      </c>
      <c r="K1996">
        <v>2</v>
      </c>
      <c r="L1996">
        <v>10</v>
      </c>
      <c r="M1996" s="1" t="s">
        <v>24</v>
      </c>
      <c r="N1996" s="2">
        <v>45717</v>
      </c>
      <c r="O1996">
        <v>2025</v>
      </c>
      <c r="P1996">
        <v>1</v>
      </c>
      <c r="Q1996" s="1" t="s">
        <v>24</v>
      </c>
    </row>
    <row r="1997" spans="1:17" x14ac:dyDescent="0.3">
      <c r="A1997" s="1" t="s">
        <v>2062</v>
      </c>
      <c r="B1997" s="1" t="s">
        <v>18</v>
      </c>
      <c r="C1997" s="1" t="s">
        <v>56</v>
      </c>
      <c r="D1997" s="1" t="s">
        <v>44</v>
      </c>
      <c r="E1997" s="1" t="s">
        <v>21</v>
      </c>
      <c r="F1997" s="1" t="s">
        <v>61</v>
      </c>
      <c r="G1997" s="2">
        <v>46010</v>
      </c>
      <c r="H1997" s="2">
        <v>46011</v>
      </c>
      <c r="I1997" s="1" t="s">
        <v>39</v>
      </c>
      <c r="J1997">
        <v>5</v>
      </c>
      <c r="K1997">
        <v>1</v>
      </c>
      <c r="L1997">
        <v>7</v>
      </c>
      <c r="M1997" s="1" t="s">
        <v>24</v>
      </c>
      <c r="N1997" s="2">
        <v>45992</v>
      </c>
      <c r="O1997">
        <v>2025</v>
      </c>
      <c r="P1997">
        <v>4</v>
      </c>
      <c r="Q1997" s="1" t="s">
        <v>24</v>
      </c>
    </row>
    <row r="1998" spans="1:17" x14ac:dyDescent="0.3">
      <c r="A1998" s="1" t="s">
        <v>2063</v>
      </c>
      <c r="B1998" s="1" t="s">
        <v>58</v>
      </c>
      <c r="C1998" s="1" t="s">
        <v>70</v>
      </c>
      <c r="D1998" s="1" t="s">
        <v>20</v>
      </c>
      <c r="E1998" s="1" t="s">
        <v>21</v>
      </c>
      <c r="F1998" s="1" t="s">
        <v>31</v>
      </c>
      <c r="G1998" s="2">
        <v>45747</v>
      </c>
      <c r="H1998" s="2">
        <v>45760</v>
      </c>
      <c r="I1998" s="1" t="s">
        <v>23</v>
      </c>
      <c r="J1998">
        <v>5</v>
      </c>
      <c r="K1998">
        <v>13</v>
      </c>
      <c r="L1998">
        <v>14</v>
      </c>
      <c r="M1998" s="1" t="s">
        <v>24</v>
      </c>
      <c r="N1998" s="2">
        <v>45717</v>
      </c>
      <c r="O1998">
        <v>2025</v>
      </c>
      <c r="P1998">
        <v>1</v>
      </c>
      <c r="Q1998" s="1" t="s">
        <v>24</v>
      </c>
    </row>
    <row r="1999" spans="1:17" x14ac:dyDescent="0.3">
      <c r="A1999" s="1" t="s">
        <v>2064</v>
      </c>
      <c r="B1999" s="1" t="s">
        <v>42</v>
      </c>
      <c r="C1999" s="1" t="s">
        <v>76</v>
      </c>
      <c r="D1999" s="1" t="s">
        <v>20</v>
      </c>
      <c r="E1999" s="1" t="s">
        <v>21</v>
      </c>
      <c r="F1999" s="1" t="s">
        <v>61</v>
      </c>
      <c r="G1999" s="2">
        <v>45713</v>
      </c>
      <c r="H1999" s="2">
        <v>45722</v>
      </c>
      <c r="I1999" s="1" t="s">
        <v>32</v>
      </c>
      <c r="J1999">
        <v>3</v>
      </c>
      <c r="K1999">
        <v>9</v>
      </c>
      <c r="L1999">
        <v>14</v>
      </c>
      <c r="M1999" s="1" t="s">
        <v>24</v>
      </c>
      <c r="N1999" s="2">
        <v>45689</v>
      </c>
      <c r="O1999">
        <v>2025</v>
      </c>
      <c r="P1999">
        <v>1</v>
      </c>
      <c r="Q1999" s="1" t="s">
        <v>24</v>
      </c>
    </row>
    <row r="2000" spans="1:17" x14ac:dyDescent="0.3">
      <c r="A2000" s="1" t="s">
        <v>2065</v>
      </c>
      <c r="B2000" s="1" t="s">
        <v>18</v>
      </c>
      <c r="C2000" s="1" t="s">
        <v>56</v>
      </c>
      <c r="D2000" s="1" t="s">
        <v>44</v>
      </c>
      <c r="E2000" s="1" t="s">
        <v>21</v>
      </c>
      <c r="F2000" s="1" t="s">
        <v>61</v>
      </c>
      <c r="G2000" s="2">
        <v>45962</v>
      </c>
      <c r="H2000" s="2">
        <v>45967</v>
      </c>
      <c r="I2000" s="1" t="s">
        <v>39</v>
      </c>
      <c r="J2000">
        <v>5</v>
      </c>
      <c r="K2000">
        <v>5</v>
      </c>
      <c r="L2000">
        <v>7</v>
      </c>
      <c r="M2000" s="1" t="s">
        <v>24</v>
      </c>
      <c r="N2000" s="2">
        <v>45962</v>
      </c>
      <c r="O2000">
        <v>2025</v>
      </c>
      <c r="P2000">
        <v>4</v>
      </c>
      <c r="Q2000" s="1" t="s">
        <v>24</v>
      </c>
    </row>
    <row r="2001" spans="1:17" x14ac:dyDescent="0.3">
      <c r="A2001" s="1" t="s">
        <v>2066</v>
      </c>
      <c r="B2001" s="1" t="s">
        <v>58</v>
      </c>
      <c r="C2001" s="1" t="s">
        <v>108</v>
      </c>
      <c r="D2001" s="1" t="s">
        <v>51</v>
      </c>
      <c r="E2001" s="1" t="s">
        <v>37</v>
      </c>
      <c r="F2001" s="1" t="s">
        <v>52</v>
      </c>
      <c r="G2001" s="2">
        <v>45800</v>
      </c>
      <c r="H2001" s="2"/>
      <c r="I2001" s="1" t="s">
        <v>32</v>
      </c>
      <c r="L2001">
        <v>10</v>
      </c>
      <c r="M2001" s="1" t="s">
        <v>40</v>
      </c>
      <c r="N2001" s="2">
        <v>45778</v>
      </c>
      <c r="O2001">
        <v>2025</v>
      </c>
      <c r="P2001">
        <v>2</v>
      </c>
      <c r="Q200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B384-C853-48A0-95E4-FEA88F1FAABA}">
  <dimension ref="A1:G10"/>
  <sheetViews>
    <sheetView zoomScale="115" zoomScaleNormal="115" workbookViewId="0">
      <selection activeCell="G20" sqref="G20"/>
    </sheetView>
  </sheetViews>
  <sheetFormatPr defaultRowHeight="14.4" x14ac:dyDescent="0.3"/>
  <cols>
    <col min="1" max="1" width="20" style="6" bestFit="1" customWidth="1"/>
    <col min="2" max="2" width="12.6640625" style="6" bestFit="1" customWidth="1"/>
    <col min="3" max="3" width="14.44140625" style="6" bestFit="1" customWidth="1"/>
    <col min="4" max="4" width="15.6640625" style="6" bestFit="1" customWidth="1"/>
    <col min="5" max="5" width="16.88671875" style="6" bestFit="1" customWidth="1"/>
    <col min="6" max="6" width="13.6640625" style="6" bestFit="1" customWidth="1"/>
    <col min="7" max="7" width="13.44140625" style="6" bestFit="1" customWidth="1"/>
  </cols>
  <sheetData>
    <row r="1" spans="1:7" x14ac:dyDescent="0.3">
      <c r="A1" s="4" t="s">
        <v>2067</v>
      </c>
      <c r="B1" s="5"/>
      <c r="C1" s="5"/>
      <c r="D1" s="5"/>
      <c r="E1" s="5"/>
      <c r="F1" s="5"/>
      <c r="G1" s="5"/>
    </row>
    <row r="2" spans="1:7" x14ac:dyDescent="0.3">
      <c r="A2" s="5"/>
      <c r="B2" s="5"/>
      <c r="C2" s="5"/>
      <c r="D2" s="5"/>
      <c r="E2" s="5"/>
      <c r="F2" s="5"/>
      <c r="G2" s="5"/>
    </row>
    <row r="4" spans="1:7" x14ac:dyDescent="0.3">
      <c r="A4" s="6" t="s">
        <v>1</v>
      </c>
      <c r="B4" s="6" t="s">
        <v>2068</v>
      </c>
      <c r="C4" s="6" t="s">
        <v>2069</v>
      </c>
      <c r="D4" s="6" t="s">
        <v>2070</v>
      </c>
      <c r="E4" s="6" t="s">
        <v>2071</v>
      </c>
      <c r="F4" s="6" t="s">
        <v>2072</v>
      </c>
      <c r="G4" s="6" t="s">
        <v>2073</v>
      </c>
    </row>
    <row r="5" spans="1:7" x14ac:dyDescent="0.3">
      <c r="A5" s="6" t="s">
        <v>42</v>
      </c>
      <c r="B5" s="6">
        <f>COUNTIF(ServiceRequests[Department],A5)</f>
        <v>312</v>
      </c>
      <c r="C5" s="6">
        <f>COUNTIFS(ServiceRequests[Department],A5,ServiceRequests[Status],"Closed")</f>
        <v>235</v>
      </c>
      <c r="D5" s="6">
        <f>B5-C5</f>
        <v>77</v>
      </c>
      <c r="E5" s="7">
        <f>IFERROR(AVERAGEIFS(ServiceRequests[Resolution Days],ServiceRequests[Department],A5,ServiceRequests[Status],"Closed"),0)</f>
        <v>6.3829787234042552</v>
      </c>
      <c r="F5" s="7">
        <f>IFERROR(AVERAGEIFS(ServiceRequests[Citizen Satisfaction],ServiceRequests[Department],A5,ServiceRequests[Status],"Closed"),0)</f>
        <v>3.7914893617021277</v>
      </c>
      <c r="G5" s="8">
        <f>IFERROR(COUNTIFS(ServiceRequests[Department],A5,ServiceRequests[Resolved Within Target],"Yes")/C5,0)</f>
        <v>0.96170212765957441</v>
      </c>
    </row>
    <row r="6" spans="1:7" x14ac:dyDescent="0.3">
      <c r="A6" s="6" t="s">
        <v>63</v>
      </c>
      <c r="B6" s="6">
        <f>COUNTIF(ServiceRequests[Department],A6)</f>
        <v>344</v>
      </c>
      <c r="C6" s="6">
        <f>COUNTIFS(ServiceRequests[Department],A6,ServiceRequests[Status],"Closed")</f>
        <v>262</v>
      </c>
      <c r="D6" s="6">
        <f t="shared" ref="D6:D10" si="0">B6-C6</f>
        <v>82</v>
      </c>
      <c r="E6" s="7">
        <f>IFERROR(AVERAGEIFS(ServiceRequests[Resolution Days],ServiceRequests[Department],A6,ServiceRequests[Status],"Closed"),0)</f>
        <v>5.7748091603053435</v>
      </c>
      <c r="F6" s="7">
        <f>IFERROR(AVERAGEIFS(ServiceRequests[Citizen Satisfaction],ServiceRequests[Department],A6,ServiceRequests[Status],"Closed"),0)</f>
        <v>4.0572519083969469</v>
      </c>
      <c r="G6" s="8">
        <f>IFERROR(COUNTIFS(ServiceRequests[Department],A6,ServiceRequests[Resolved Within Target],"Yes")/C6,0)</f>
        <v>0.97328244274809161</v>
      </c>
    </row>
    <row r="7" spans="1:7" x14ac:dyDescent="0.3">
      <c r="A7" s="6" t="s">
        <v>35</v>
      </c>
      <c r="B7" s="6">
        <f>COUNTIF(ServiceRequests[Department],A7)</f>
        <v>311</v>
      </c>
      <c r="C7" s="6">
        <f>COUNTIFS(ServiceRequests[Department],A7,ServiceRequests[Status],"Closed")</f>
        <v>231</v>
      </c>
      <c r="D7" s="6">
        <f t="shared" si="0"/>
        <v>80</v>
      </c>
      <c r="E7" s="7">
        <f>IFERROR(AVERAGEIFS(ServiceRequests[Resolution Days],ServiceRequests[Department],A7,ServiceRequests[Status],"Closed"),0)</f>
        <v>5.9264069264069263</v>
      </c>
      <c r="F7" s="7">
        <f>IFERROR(AVERAGEIFS(ServiceRequests[Citizen Satisfaction],ServiceRequests[Department],A7,ServiceRequests[Status],"Closed"),0)</f>
        <v>3.83982683982684</v>
      </c>
      <c r="G7" s="8">
        <f>IFERROR(COUNTIFS(ServiceRequests[Department],A7,ServiceRequests[Resolved Within Target],"Yes")/C7,0)</f>
        <v>0.9913419913419913</v>
      </c>
    </row>
    <row r="8" spans="1:7" x14ac:dyDescent="0.3">
      <c r="A8" s="6" t="s">
        <v>58</v>
      </c>
      <c r="B8" s="6">
        <f>COUNTIF(ServiceRequests[Department],A8)</f>
        <v>377</v>
      </c>
      <c r="C8" s="6">
        <f>COUNTIFS(ServiceRequests[Department],A8,ServiceRequests[Status],"Closed")</f>
        <v>288</v>
      </c>
      <c r="D8" s="6">
        <f t="shared" si="0"/>
        <v>89</v>
      </c>
      <c r="E8" s="7">
        <f>IFERROR(AVERAGEIFS(ServiceRequests[Resolution Days],ServiceRequests[Department],A8,ServiceRequests[Status],"Closed"),0)</f>
        <v>6.2326388888888893</v>
      </c>
      <c r="F8" s="7">
        <f>IFERROR(AVERAGEIFS(ServiceRequests[Citizen Satisfaction],ServiceRequests[Department],A8,ServiceRequests[Status],"Closed"),0)</f>
        <v>3.8888888888888888</v>
      </c>
      <c r="G8" s="8">
        <f>IFERROR(COUNTIFS(ServiceRequests[Department],A8,ServiceRequests[Resolved Within Target],"Yes")/C8,0)</f>
        <v>0.96875</v>
      </c>
    </row>
    <row r="9" spans="1:7" x14ac:dyDescent="0.3">
      <c r="A9" s="6" t="s">
        <v>26</v>
      </c>
      <c r="B9" s="6">
        <f>COUNTIF(ServiceRequests[Department],A9)</f>
        <v>333</v>
      </c>
      <c r="C9" s="6">
        <f>COUNTIFS(ServiceRequests[Department],A9,ServiceRequests[Status],"Closed")</f>
        <v>244</v>
      </c>
      <c r="D9" s="6">
        <f t="shared" si="0"/>
        <v>89</v>
      </c>
      <c r="E9" s="7">
        <f>IFERROR(AVERAGEIFS(ServiceRequests[Resolution Days],ServiceRequests[Department],A9,ServiceRequests[Status],"Closed"),0)</f>
        <v>6.471311475409836</v>
      </c>
      <c r="F9" s="7">
        <f>IFERROR(AVERAGEIFS(ServiceRequests[Citizen Satisfaction],ServiceRequests[Department],A9,ServiceRequests[Status],"Closed"),0)</f>
        <v>3.8360655737704916</v>
      </c>
      <c r="G9" s="8">
        <f>IFERROR(COUNTIFS(ServiceRequests[Department],A9,ServiceRequests[Resolved Within Target],"Yes")/C9,0)</f>
        <v>0.98770491803278693</v>
      </c>
    </row>
    <row r="10" spans="1:7" x14ac:dyDescent="0.3">
      <c r="A10" s="6" t="s">
        <v>18</v>
      </c>
      <c r="B10" s="6">
        <f>COUNTIF(ServiceRequests[Department],A10)</f>
        <v>323</v>
      </c>
      <c r="C10" s="6">
        <f>COUNTIFS(ServiceRequests[Department],A10,ServiceRequests[Status],"Closed")</f>
        <v>234</v>
      </c>
      <c r="D10" s="6">
        <f t="shared" si="0"/>
        <v>89</v>
      </c>
      <c r="E10" s="7">
        <f>IFERROR(AVERAGEIFS(ServiceRequests[Resolution Days],ServiceRequests[Department],A10,ServiceRequests[Status],"Closed"),0)</f>
        <v>5.833333333333333</v>
      </c>
      <c r="F10" s="7">
        <f>IFERROR(AVERAGEIFS(ServiceRequests[Citizen Satisfaction],ServiceRequests[Department],A10,ServiceRequests[Status],"Closed"),0)</f>
        <v>3.9615384615384617</v>
      </c>
      <c r="G10" s="8">
        <f>IFERROR(COUNTIFS(ServiceRequests[Department],A10,ServiceRequests[Resolved Within Target],"Yes")/C10,0)</f>
        <v>0.9786324786324786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BB2F-6B07-403F-8E0F-58716A0DD872}">
  <dimension ref="A3:B10"/>
  <sheetViews>
    <sheetView topLeftCell="A2" workbookViewId="0">
      <selection activeCell="B5" sqref="B5"/>
    </sheetView>
  </sheetViews>
  <sheetFormatPr defaultRowHeight="14.4" x14ac:dyDescent="0.3"/>
  <cols>
    <col min="1" max="1" width="20" bestFit="1" customWidth="1"/>
    <col min="2" max="2" width="17.21875" bestFit="1" customWidth="1"/>
  </cols>
  <sheetData>
    <row r="3" spans="1:2" x14ac:dyDescent="0.3">
      <c r="A3" s="29" t="s">
        <v>2076</v>
      </c>
      <c r="B3" t="s">
        <v>2078</v>
      </c>
    </row>
    <row r="4" spans="1:2" x14ac:dyDescent="0.3">
      <c r="A4" s="30" t="s">
        <v>58</v>
      </c>
      <c r="B4" s="1">
        <v>377</v>
      </c>
    </row>
    <row r="5" spans="1:2" x14ac:dyDescent="0.3">
      <c r="A5" s="30" t="s">
        <v>63</v>
      </c>
      <c r="B5" s="1">
        <v>344</v>
      </c>
    </row>
    <row r="6" spans="1:2" x14ac:dyDescent="0.3">
      <c r="A6" s="30" t="s">
        <v>26</v>
      </c>
      <c r="B6" s="1">
        <v>333</v>
      </c>
    </row>
    <row r="7" spans="1:2" x14ac:dyDescent="0.3">
      <c r="A7" s="30" t="s">
        <v>18</v>
      </c>
      <c r="B7" s="1">
        <v>323</v>
      </c>
    </row>
    <row r="8" spans="1:2" x14ac:dyDescent="0.3">
      <c r="A8" s="30" t="s">
        <v>42</v>
      </c>
      <c r="B8" s="1">
        <v>312</v>
      </c>
    </row>
    <row r="9" spans="1:2" x14ac:dyDescent="0.3">
      <c r="A9" s="30" t="s">
        <v>35</v>
      </c>
      <c r="B9" s="1">
        <v>311</v>
      </c>
    </row>
    <row r="10" spans="1:2" x14ac:dyDescent="0.3">
      <c r="A10" s="30" t="s">
        <v>2077</v>
      </c>
      <c r="B10" s="1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0FAD-60FA-4755-974C-DC4B68A89702}">
  <dimension ref="A3:B17"/>
  <sheetViews>
    <sheetView workbookViewId="0">
      <selection activeCell="N15" sqref="N15"/>
    </sheetView>
  </sheetViews>
  <sheetFormatPr defaultRowHeight="14.4" x14ac:dyDescent="0.3"/>
  <cols>
    <col min="1" max="1" width="12.44140625" bestFit="1" customWidth="1"/>
    <col min="2" max="2" width="17.21875" bestFit="1" customWidth="1"/>
  </cols>
  <sheetData>
    <row r="3" spans="1:2" x14ac:dyDescent="0.3">
      <c r="A3" s="29" t="s">
        <v>2076</v>
      </c>
      <c r="B3" t="s">
        <v>2078</v>
      </c>
    </row>
    <row r="4" spans="1:2" x14ac:dyDescent="0.3">
      <c r="A4" s="30" t="s">
        <v>2091</v>
      </c>
      <c r="B4" s="1">
        <v>2000</v>
      </c>
    </row>
    <row r="5" spans="1:2" x14ac:dyDescent="0.3">
      <c r="A5" s="31" t="s">
        <v>2079</v>
      </c>
      <c r="B5" s="1">
        <v>164</v>
      </c>
    </row>
    <row r="6" spans="1:2" x14ac:dyDescent="0.3">
      <c r="A6" s="31" t="s">
        <v>2080</v>
      </c>
      <c r="B6" s="1">
        <v>162</v>
      </c>
    </row>
    <row r="7" spans="1:2" x14ac:dyDescent="0.3">
      <c r="A7" s="31" t="s">
        <v>2081</v>
      </c>
      <c r="B7" s="1">
        <v>164</v>
      </c>
    </row>
    <row r="8" spans="1:2" x14ac:dyDescent="0.3">
      <c r="A8" s="31" t="s">
        <v>2082</v>
      </c>
      <c r="B8" s="1">
        <v>139</v>
      </c>
    </row>
    <row r="9" spans="1:2" x14ac:dyDescent="0.3">
      <c r="A9" s="31" t="s">
        <v>2083</v>
      </c>
      <c r="B9" s="1">
        <v>174</v>
      </c>
    </row>
    <row r="10" spans="1:2" x14ac:dyDescent="0.3">
      <c r="A10" s="31" t="s">
        <v>2084</v>
      </c>
      <c r="B10" s="1">
        <v>171</v>
      </c>
    </row>
    <row r="11" spans="1:2" x14ac:dyDescent="0.3">
      <c r="A11" s="31" t="s">
        <v>2085</v>
      </c>
      <c r="B11" s="1">
        <v>187</v>
      </c>
    </row>
    <row r="12" spans="1:2" x14ac:dyDescent="0.3">
      <c r="A12" s="31" t="s">
        <v>2086</v>
      </c>
      <c r="B12" s="1">
        <v>174</v>
      </c>
    </row>
    <row r="13" spans="1:2" x14ac:dyDescent="0.3">
      <c r="A13" s="31" t="s">
        <v>2087</v>
      </c>
      <c r="B13" s="1">
        <v>174</v>
      </c>
    </row>
    <row r="14" spans="1:2" x14ac:dyDescent="0.3">
      <c r="A14" s="31" t="s">
        <v>2088</v>
      </c>
      <c r="B14" s="1">
        <v>173</v>
      </c>
    </row>
    <row r="15" spans="1:2" x14ac:dyDescent="0.3">
      <c r="A15" s="31" t="s">
        <v>2089</v>
      </c>
      <c r="B15" s="1">
        <v>159</v>
      </c>
    </row>
    <row r="16" spans="1:2" x14ac:dyDescent="0.3">
      <c r="A16" s="31" t="s">
        <v>2090</v>
      </c>
      <c r="B16" s="1">
        <v>159</v>
      </c>
    </row>
    <row r="17" spans="1:2" x14ac:dyDescent="0.3">
      <c r="A17" s="30" t="s">
        <v>2077</v>
      </c>
      <c r="B17" s="1">
        <v>2000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CCB60E7-56C1-42FF-A90E-58041EABD9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Monthly'!D2</xm:f>
              <xm:sqref>D2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0874-BBD1-4B41-9B8C-FBA5E668EBB6}">
  <dimension ref="A1:L8"/>
  <sheetViews>
    <sheetView tabSelected="1" zoomScale="70" zoomScaleNormal="70" workbookViewId="0">
      <selection activeCell="N4" sqref="N4"/>
    </sheetView>
  </sheetViews>
  <sheetFormatPr defaultRowHeight="14.4" x14ac:dyDescent="0.3"/>
  <sheetData>
    <row r="1" spans="1:12" x14ac:dyDescent="0.3">
      <c r="A1" s="9" t="s">
        <v>2074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ht="15" thickBot="1" x14ac:dyDescent="0.35">
      <c r="A4" s="3" t="s">
        <v>2068</v>
      </c>
      <c r="B4" s="3"/>
      <c r="C4" s="3"/>
      <c r="D4" s="3" t="s">
        <v>2069</v>
      </c>
      <c r="E4" s="3"/>
      <c r="F4" s="3"/>
      <c r="G4" s="3" t="s">
        <v>2075</v>
      </c>
      <c r="H4" s="3"/>
      <c r="I4" s="3"/>
      <c r="J4" s="3" t="s">
        <v>12</v>
      </c>
      <c r="K4" s="3"/>
      <c r="L4" s="3"/>
    </row>
    <row r="5" spans="1:12" x14ac:dyDescent="0.3">
      <c r="A5" s="11">
        <f>COUNTA(ServiceRequests[Request ID])</f>
        <v>2000</v>
      </c>
      <c r="B5" s="12"/>
      <c r="C5" s="23"/>
      <c r="D5" s="11">
        <f>COUNTIF(ServiceRequests[Status],"Closed")</f>
        <v>1494</v>
      </c>
      <c r="E5" s="12"/>
      <c r="F5" s="12"/>
      <c r="G5" s="11">
        <f>ROUND(AVERAGE(ServiceRequests[Resolution Days]),1)</f>
        <v>6.1</v>
      </c>
      <c r="H5" s="12"/>
      <c r="I5" s="23"/>
      <c r="J5" s="26">
        <f>COUNTIF(ServiceRequests[Resolved Within Target],"Yes")/COUNTIF(ServiceRequests[Status],"Closed")</f>
        <v>0.97657295850066939</v>
      </c>
      <c r="K5" s="13"/>
      <c r="L5" s="14"/>
    </row>
    <row r="6" spans="1:12" x14ac:dyDescent="0.3">
      <c r="A6" s="15"/>
      <c r="B6" s="16"/>
      <c r="C6" s="24"/>
      <c r="D6" s="15"/>
      <c r="E6" s="16"/>
      <c r="F6" s="16"/>
      <c r="G6" s="15"/>
      <c r="H6" s="16"/>
      <c r="I6" s="24"/>
      <c r="J6" s="27"/>
      <c r="K6" s="17"/>
      <c r="L6" s="18"/>
    </row>
    <row r="7" spans="1:12" ht="15" thickBot="1" x14ac:dyDescent="0.35">
      <c r="A7" s="19"/>
      <c r="B7" s="20"/>
      <c r="C7" s="25"/>
      <c r="D7" s="19"/>
      <c r="E7" s="20"/>
      <c r="F7" s="20"/>
      <c r="G7" s="19"/>
      <c r="H7" s="20"/>
      <c r="I7" s="25"/>
      <c r="J7" s="28"/>
      <c r="K7" s="21"/>
      <c r="L7" s="22"/>
    </row>
    <row r="8" spans="1:12" x14ac:dyDescent="0.3">
      <c r="J8" s="10"/>
    </row>
  </sheetData>
  <mergeCells count="9">
    <mergeCell ref="J4:L4"/>
    <mergeCell ref="J5:L7"/>
    <mergeCell ref="A1:L2"/>
    <mergeCell ref="A4:C4"/>
    <mergeCell ref="A5:C7"/>
    <mergeCell ref="D4:F4"/>
    <mergeCell ref="D5:F7"/>
    <mergeCell ref="G4:I4"/>
    <mergeCell ref="G5:I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A5B9A2CDB0F4BB02894CA999D0B81" ma:contentTypeVersion="9" ma:contentTypeDescription="Create a new document." ma:contentTypeScope="" ma:versionID="b3731dcfbd414f3644a9a977fe18ee9d">
  <xsd:schema xmlns:xsd="http://www.w3.org/2001/XMLSchema" xmlns:xs="http://www.w3.org/2001/XMLSchema" xmlns:p="http://schemas.microsoft.com/office/2006/metadata/properties" xmlns:ns3="daa70f26-fd78-4d0a-8d5f-12f46eec16b3" targetNamespace="http://schemas.microsoft.com/office/2006/metadata/properties" ma:root="true" ma:fieldsID="0a6ca5267cba9dfbdab6313bbec8c86a" ns3:_="">
    <xsd:import namespace="daa70f26-fd78-4d0a-8d5f-12f46eec16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70f26-fd78-4d0a-8d5f-12f46eec16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a70f26-fd78-4d0a-8d5f-12f46eec16b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CF61A28-16F7-4523-8F6F-F1D553BB1E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a70f26-fd78-4d0a-8d5f-12f46eec16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9C25AD-3CDB-449B-AD14-45DCD9C2E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7E4798-B05D-4191-929B-E3D83115E7D1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daa70f26-fd78-4d0a-8d5f-12f46eec16b3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3E53D4EC-5A3C-487D-913E-48C004130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Pivot_status</vt:lpstr>
      <vt:lpstr>RawData</vt:lpstr>
      <vt:lpstr>Summary</vt:lpstr>
      <vt:lpstr>Pivot Department</vt:lpstr>
      <vt:lpstr>Pivot Monthly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Prakashbhai Rathod</dc:creator>
  <cp:lastModifiedBy>Eric Prakashbhai Rathod</cp:lastModifiedBy>
  <dcterms:created xsi:type="dcterms:W3CDTF">2026-07-19T07:34:35Z</dcterms:created>
  <dcterms:modified xsi:type="dcterms:W3CDTF">2026-07-19T22:29:32Z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0x010100F4CA5B9A2CDB0F4BB02894CA999D0B81</vt:lpwstr>
  </property>
</Properties>
</file>